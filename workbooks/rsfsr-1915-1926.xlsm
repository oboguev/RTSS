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3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5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6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Metadata/LabelInfo.xml" ContentType="application/vnd.ms-office.classificationlabel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microsoft.com/office/2020/02/relationships/classificationlabels" Target="docMetadata/LabelInfo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F:\WINAPPS\SLOVO\UKR\github\RTSS\workbooks\"/>
    </mc:Choice>
  </mc:AlternateContent>
  <xr:revisionPtr revIDLastSave="0" documentId="13_ncr:1_{494EBB39-E0CB-46FA-A8D6-6F4B3B198B41}" xr6:coauthVersionLast="45" xr6:coauthVersionMax="47" xr10:uidLastSave="{00000000-0000-0000-0000-000000000000}"/>
  <bookViews>
    <workbookView xWindow="-60" yWindow="-60" windowWidth="38520" windowHeight="23700" activeTab="7" xr2:uid="{BAE639CB-DAB1-445C-9C5C-41417807C10A}"/>
  </bookViews>
  <sheets>
    <sheet name="Оценки" sheetId="6" r:id="rId1"/>
    <sheet name="Боярский" sheetId="2" r:id="rId2"/>
    <sheet name="Боярский-мод" sheetId="13" r:id="rId3"/>
    <sheet name="Максудов" sheetId="5" r:id="rId4"/>
    <sheet name="Бирабен" sheetId="3" r:id="rId5"/>
    <sheet name="смесь-1" sheetId="4" r:id="rId6"/>
    <sheet name="поля конверта" sheetId="7" r:id="rId7"/>
    <sheet name="work" sheetId="14" r:id="rId8"/>
    <sheet name="Новосельский" sheetId="8" r:id="rId9"/>
    <sheet name="Новосельский-РСФСР" sheetId="9" r:id="rId10"/>
    <sheet name="Новосельский-РСФСР-рождения" sheetId="10" r:id="rId11"/>
    <sheet name="Новосельский-РСФСР-смерти" sheetId="11" r:id="rId12"/>
    <sheet name="Новосельский-РСФСР-графики" sheetId="12" r:id="rId13"/>
  </sheets>
  <functionGroups builtInGroupCount="19"/>
  <externalReferences>
    <externalReference r:id="rId14"/>
  </externalReferences>
  <definedNames>
    <definedName name="WEIGHT">'Боярский-мод'!$U$1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15" i="14" l="1"/>
  <c r="C14" i="14"/>
  <c r="E14" i="14" s="1"/>
  <c r="C13" i="14"/>
  <c r="C12" i="14"/>
  <c r="C11" i="14"/>
  <c r="C10" i="14"/>
  <c r="C9" i="14"/>
  <c r="E9" i="14" s="1"/>
  <c r="C8" i="14"/>
  <c r="E8" i="14" s="1"/>
  <c r="C7" i="14"/>
  <c r="C6" i="14"/>
  <c r="E6" i="14" s="1"/>
  <c r="C4" i="14"/>
  <c r="C5" i="14"/>
  <c r="E5" i="14" s="1"/>
  <c r="E4" i="14"/>
  <c r="E15" i="14"/>
  <c r="E13" i="14"/>
  <c r="E12" i="14"/>
  <c r="E11" i="14"/>
  <c r="E10" i="14"/>
  <c r="E7" i="14"/>
  <c r="I131" i="10" l="1"/>
  <c r="I130" i="10"/>
  <c r="I129" i="10"/>
  <c r="I128" i="10"/>
  <c r="I127" i="10"/>
  <c r="I126" i="10"/>
  <c r="I125" i="10"/>
  <c r="I124" i="10"/>
  <c r="I123" i="10"/>
  <c r="I122" i="10"/>
  <c r="I121" i="10"/>
  <c r="I120" i="10"/>
  <c r="J133" i="10"/>
  <c r="J132" i="10"/>
  <c r="J131" i="10"/>
  <c r="J130" i="10"/>
  <c r="J129" i="10"/>
  <c r="J128" i="10"/>
  <c r="J127" i="10"/>
  <c r="J126" i="10"/>
  <c r="J125" i="10"/>
  <c r="J124" i="10"/>
  <c r="J123" i="10"/>
  <c r="J122" i="10"/>
  <c r="J121" i="10"/>
  <c r="J120" i="10"/>
  <c r="H131" i="10"/>
  <c r="H130" i="10"/>
  <c r="H129" i="10"/>
  <c r="H128" i="10"/>
  <c r="H127" i="10"/>
  <c r="H126" i="10"/>
  <c r="H125" i="10"/>
  <c r="H124" i="10"/>
  <c r="H123" i="10"/>
  <c r="H122" i="10"/>
  <c r="H121" i="10"/>
  <c r="H120" i="10"/>
  <c r="F133" i="10"/>
  <c r="F132" i="10"/>
  <c r="F131" i="10"/>
  <c r="F130" i="10"/>
  <c r="F129" i="10"/>
  <c r="F128" i="10"/>
  <c r="F127" i="10"/>
  <c r="F126" i="10"/>
  <c r="F125" i="10"/>
  <c r="F124" i="10"/>
  <c r="F123" i="10"/>
  <c r="F122" i="10"/>
  <c r="F121" i="10"/>
  <c r="F120" i="10"/>
  <c r="A126" i="10"/>
  <c r="A127" i="10" s="1"/>
  <c r="A128" i="10" s="1"/>
  <c r="A129" i="10" s="1"/>
  <c r="A130" i="10" s="1"/>
  <c r="A131" i="10" s="1"/>
  <c r="A132" i="10" s="1"/>
  <c r="A133" i="10" s="1"/>
  <c r="A125" i="10"/>
  <c r="R39" i="10" l="1"/>
  <c r="R38" i="10"/>
  <c r="R35" i="10"/>
  <c r="R34" i="10"/>
  <c r="R32" i="10"/>
  <c r="R31" i="10"/>
  <c r="K12" i="10"/>
  <c r="K11" i="10"/>
  <c r="K10" i="10"/>
  <c r="K9" i="10"/>
  <c r="K8" i="10"/>
  <c r="K7" i="10"/>
  <c r="K6" i="10"/>
  <c r="K5" i="10"/>
  <c r="K4" i="10"/>
  <c r="J21" i="10"/>
  <c r="J20" i="10"/>
  <c r="J19" i="10"/>
  <c r="J18" i="10"/>
  <c r="J17" i="10"/>
  <c r="J16" i="10"/>
  <c r="J15" i="10"/>
  <c r="J14" i="10"/>
  <c r="J13" i="10"/>
  <c r="J12" i="10"/>
  <c r="J11" i="10"/>
  <c r="J10" i="10"/>
  <c r="J9" i="10"/>
  <c r="J8" i="10"/>
  <c r="J7" i="10"/>
  <c r="J6" i="10"/>
  <c r="J5" i="10"/>
  <c r="J4" i="10"/>
  <c r="I33" i="10"/>
  <c r="I32" i="10"/>
  <c r="I31" i="10"/>
  <c r="I30" i="10"/>
  <c r="I29" i="10"/>
  <c r="I28" i="10"/>
  <c r="I27" i="10"/>
  <c r="I26" i="10"/>
  <c r="I25" i="10"/>
  <c r="I24" i="10"/>
  <c r="I23" i="10"/>
  <c r="I22" i="10"/>
  <c r="I21" i="10"/>
  <c r="I20" i="10"/>
  <c r="I19" i="10"/>
  <c r="I18" i="10"/>
  <c r="I17" i="10"/>
  <c r="I16" i="10"/>
  <c r="I15" i="10"/>
  <c r="I14" i="10"/>
  <c r="I13" i="10"/>
  <c r="I12" i="10"/>
  <c r="I11" i="10"/>
  <c r="I10" i="10"/>
  <c r="I9" i="10"/>
  <c r="I8" i="10"/>
  <c r="I7" i="10"/>
  <c r="I6" i="10"/>
  <c r="I5" i="10"/>
  <c r="I4" i="10"/>
  <c r="C53" i="10"/>
  <c r="C52" i="10"/>
  <c r="C51" i="10"/>
  <c r="C50" i="10"/>
  <c r="C49" i="10"/>
  <c r="C74" i="10"/>
  <c r="C73" i="10"/>
  <c r="B74" i="10"/>
  <c r="B73" i="10"/>
  <c r="C68" i="10"/>
  <c r="C67" i="10"/>
  <c r="C66" i="10"/>
  <c r="B68" i="10"/>
  <c r="B67" i="10"/>
  <c r="B66" i="10"/>
  <c r="C61" i="10"/>
  <c r="C60" i="10"/>
  <c r="C59" i="10"/>
  <c r="C58" i="10"/>
  <c r="B61" i="10"/>
  <c r="B60" i="10"/>
  <c r="B59" i="10"/>
  <c r="B58" i="10"/>
  <c r="B53" i="10"/>
  <c r="B52" i="10"/>
  <c r="B51" i="10"/>
  <c r="B50" i="10"/>
  <c r="B49" i="10"/>
  <c r="C76" i="11"/>
  <c r="C75" i="11"/>
  <c r="B76" i="11"/>
  <c r="B75" i="11"/>
  <c r="C70" i="11"/>
  <c r="C69" i="11"/>
  <c r="C68" i="11"/>
  <c r="B70" i="11"/>
  <c r="B69" i="11"/>
  <c r="B68" i="11"/>
  <c r="C63" i="11"/>
  <c r="C62" i="11"/>
  <c r="C61" i="11"/>
  <c r="C60" i="11"/>
  <c r="B60" i="11"/>
  <c r="B61" i="11"/>
  <c r="B62" i="11"/>
  <c r="B63" i="11"/>
  <c r="C54" i="11"/>
  <c r="C53" i="11"/>
  <c r="C52" i="11"/>
  <c r="C51" i="11"/>
  <c r="C50" i="11"/>
  <c r="B50" i="11"/>
  <c r="B54" i="11"/>
  <c r="B53" i="11"/>
  <c r="B52" i="11"/>
  <c r="B51" i="11"/>
  <c r="Q16" i="13" l="1"/>
  <c r="F16" i="13" s="1"/>
  <c r="Q15" i="13"/>
  <c r="F15" i="13" s="1"/>
  <c r="Q14" i="13"/>
  <c r="F14" i="13" s="1"/>
  <c r="Q13" i="13"/>
  <c r="E13" i="13" s="1"/>
  <c r="Q12" i="13"/>
  <c r="E12" i="13" s="1"/>
  <c r="Q11" i="13"/>
  <c r="E11" i="13" s="1"/>
  <c r="Q10" i="13"/>
  <c r="E10" i="13" s="1"/>
  <c r="Q9" i="13"/>
  <c r="E9" i="13" s="1"/>
  <c r="Q8" i="13"/>
  <c r="F8" i="13" s="1"/>
  <c r="Q7" i="13"/>
  <c r="F7" i="13" s="1"/>
  <c r="Q6" i="13"/>
  <c r="F6" i="13" s="1"/>
  <c r="Q5" i="13"/>
  <c r="F5" i="13" s="1"/>
  <c r="U18" i="6"/>
  <c r="U17" i="6"/>
  <c r="U16" i="6"/>
  <c r="U15" i="6"/>
  <c r="U14" i="6"/>
  <c r="U13" i="6"/>
  <c r="U12" i="6"/>
  <c r="T19" i="6"/>
  <c r="T18" i="6"/>
  <c r="T17" i="6"/>
  <c r="T16" i="6"/>
  <c r="T15" i="6"/>
  <c r="T14" i="6"/>
  <c r="T13" i="6"/>
  <c r="T12" i="6"/>
  <c r="D16" i="13"/>
  <c r="D15" i="13"/>
  <c r="D14" i="13"/>
  <c r="D13" i="13"/>
  <c r="D12" i="13"/>
  <c r="D11" i="13"/>
  <c r="D10" i="13"/>
  <c r="D9" i="13"/>
  <c r="D8" i="13"/>
  <c r="D7" i="13"/>
  <c r="D6" i="13"/>
  <c r="D5" i="13"/>
  <c r="J39" i="12"/>
  <c r="J38" i="12"/>
  <c r="J37" i="12"/>
  <c r="J36" i="12"/>
  <c r="J35" i="12"/>
  <c r="K17" i="12"/>
  <c r="K16" i="12"/>
  <c r="K15" i="12"/>
  <c r="K14" i="12"/>
  <c r="K13" i="12"/>
  <c r="I39" i="12"/>
  <c r="H39" i="12"/>
  <c r="G39" i="12"/>
  <c r="F39" i="12"/>
  <c r="E39" i="12"/>
  <c r="D39" i="12"/>
  <c r="C39" i="12"/>
  <c r="I38" i="12"/>
  <c r="H38" i="12"/>
  <c r="G38" i="12"/>
  <c r="F38" i="12"/>
  <c r="E38" i="12"/>
  <c r="D38" i="12"/>
  <c r="C38" i="12"/>
  <c r="I37" i="12"/>
  <c r="H37" i="12"/>
  <c r="G37" i="12"/>
  <c r="F37" i="12"/>
  <c r="E37" i="12"/>
  <c r="D37" i="12"/>
  <c r="C37" i="12"/>
  <c r="I36" i="12"/>
  <c r="H36" i="12"/>
  <c r="G36" i="12"/>
  <c r="F36" i="12"/>
  <c r="E36" i="12"/>
  <c r="D36" i="12"/>
  <c r="C36" i="12"/>
  <c r="I35" i="12"/>
  <c r="H35" i="12"/>
  <c r="G35" i="12"/>
  <c r="F35" i="12"/>
  <c r="E35" i="12"/>
  <c r="D35" i="12"/>
  <c r="C35" i="12"/>
  <c r="B39" i="12"/>
  <c r="B38" i="12"/>
  <c r="B37" i="12"/>
  <c r="B36" i="12"/>
  <c r="B35" i="12"/>
  <c r="J17" i="12"/>
  <c r="I17" i="12"/>
  <c r="H17" i="12"/>
  <c r="G17" i="12"/>
  <c r="F17" i="12"/>
  <c r="E17" i="12"/>
  <c r="D17" i="12"/>
  <c r="C17" i="12"/>
  <c r="J16" i="12"/>
  <c r="I16" i="12"/>
  <c r="H16" i="12"/>
  <c r="G16" i="12"/>
  <c r="F16" i="12"/>
  <c r="E16" i="12"/>
  <c r="D16" i="12"/>
  <c r="C16" i="12"/>
  <c r="J15" i="12"/>
  <c r="I15" i="12"/>
  <c r="H15" i="12"/>
  <c r="G15" i="12"/>
  <c r="F15" i="12"/>
  <c r="E15" i="12"/>
  <c r="D15" i="12"/>
  <c r="C15" i="12"/>
  <c r="J14" i="12"/>
  <c r="I14" i="12"/>
  <c r="H14" i="12"/>
  <c r="G14" i="12"/>
  <c r="F14" i="12"/>
  <c r="E14" i="12"/>
  <c r="D14" i="12"/>
  <c r="C14" i="12"/>
  <c r="J13" i="12"/>
  <c r="I13" i="12"/>
  <c r="H13" i="12"/>
  <c r="G13" i="12"/>
  <c r="F13" i="12"/>
  <c r="E13" i="12"/>
  <c r="D13" i="12"/>
  <c r="C13" i="12"/>
  <c r="B17" i="12"/>
  <c r="B16" i="12"/>
  <c r="B15" i="12"/>
  <c r="B14" i="12"/>
  <c r="B13" i="12"/>
  <c r="F44" i="10"/>
  <c r="F43" i="10"/>
  <c r="F42" i="10"/>
  <c r="F41" i="10"/>
  <c r="D44" i="10"/>
  <c r="D43" i="10"/>
  <c r="D42" i="10"/>
  <c r="D41" i="10"/>
  <c r="C44" i="10"/>
  <c r="C43" i="10"/>
  <c r="C42" i="10"/>
  <c r="C41" i="10"/>
  <c r="B44" i="10"/>
  <c r="B43" i="10"/>
  <c r="B42" i="10"/>
  <c r="B41" i="10"/>
  <c r="D45" i="11"/>
  <c r="D44" i="11"/>
  <c r="D43" i="11"/>
  <c r="D42" i="11"/>
  <c r="C45" i="11"/>
  <c r="C44" i="11"/>
  <c r="B45" i="11"/>
  <c r="B44" i="11"/>
  <c r="C43" i="11"/>
  <c r="B43" i="11"/>
  <c r="C42" i="11"/>
  <c r="B42" i="11"/>
  <c r="N15" i="7"/>
  <c r="N14" i="7"/>
  <c r="N13" i="7"/>
  <c r="N12" i="7"/>
  <c r="N11" i="7"/>
  <c r="N10" i="7"/>
  <c r="N9" i="7"/>
  <c r="N8" i="7"/>
  <c r="N7" i="7"/>
  <c r="N6" i="7"/>
  <c r="N5" i="7"/>
  <c r="N4" i="7"/>
  <c r="J15" i="7"/>
  <c r="L15" i="7" s="1"/>
  <c r="J14" i="7"/>
  <c r="L14" i="7" s="1"/>
  <c r="J13" i="7"/>
  <c r="L13" i="7" s="1"/>
  <c r="J12" i="7"/>
  <c r="L12" i="7" s="1"/>
  <c r="J11" i="7"/>
  <c r="L11" i="7" s="1"/>
  <c r="J10" i="7"/>
  <c r="L10" i="7" s="1"/>
  <c r="J9" i="7"/>
  <c r="L9" i="7" s="1"/>
  <c r="J8" i="7"/>
  <c r="L8" i="7" s="1"/>
  <c r="M8" i="7" s="1"/>
  <c r="J7" i="7"/>
  <c r="L7" i="7" s="1"/>
  <c r="M7" i="7" s="1"/>
  <c r="J6" i="7"/>
  <c r="L6" i="7" s="1"/>
  <c r="M6" i="7" s="1"/>
  <c r="J5" i="7"/>
  <c r="L5" i="7" s="1"/>
  <c r="M5" i="7" s="1"/>
  <c r="J4" i="7"/>
  <c r="L4" i="7" s="1"/>
  <c r="M4" i="7" s="1"/>
  <c r="D31" i="4"/>
  <c r="D30" i="4"/>
  <c r="D29" i="4"/>
  <c r="D28" i="4"/>
  <c r="D27" i="4"/>
  <c r="D26" i="4"/>
  <c r="D25" i="4"/>
  <c r="D24" i="4"/>
  <c r="D23" i="4"/>
  <c r="D22" i="4"/>
  <c r="D21" i="4"/>
  <c r="D20" i="4"/>
  <c r="L16" i="4"/>
  <c r="L15" i="4"/>
  <c r="L14" i="4"/>
  <c r="L13" i="4"/>
  <c r="L12" i="4"/>
  <c r="L11" i="4"/>
  <c r="L10" i="4"/>
  <c r="L9" i="4"/>
  <c r="L8" i="4"/>
  <c r="L7" i="4"/>
  <c r="L6" i="4"/>
  <c r="L5" i="4"/>
  <c r="K16" i="4"/>
  <c r="K15" i="4"/>
  <c r="K14" i="4"/>
  <c r="K13" i="4"/>
  <c r="K12" i="4"/>
  <c r="K11" i="4"/>
  <c r="K10" i="4"/>
  <c r="K9" i="4"/>
  <c r="K8" i="4"/>
  <c r="K7" i="4"/>
  <c r="K6" i="4"/>
  <c r="K5" i="4"/>
  <c r="G20" i="4"/>
  <c r="E5" i="13" l="1"/>
  <c r="G5" i="13" s="1"/>
  <c r="E6" i="13"/>
  <c r="G6" i="13" s="1"/>
  <c r="E8" i="13"/>
  <c r="G8" i="13" s="1"/>
  <c r="F9" i="13"/>
  <c r="G9" i="13" s="1"/>
  <c r="F10" i="13"/>
  <c r="G10" i="13" s="1"/>
  <c r="F11" i="13"/>
  <c r="G11" i="13" s="1"/>
  <c r="F12" i="13"/>
  <c r="G12" i="13" s="1"/>
  <c r="F13" i="13"/>
  <c r="G13" i="13" s="1"/>
  <c r="E14" i="13"/>
  <c r="G14" i="13" s="1"/>
  <c r="E7" i="13"/>
  <c r="G7" i="13" s="1"/>
  <c r="E15" i="13"/>
  <c r="G15" i="13" s="1"/>
  <c r="E16" i="13"/>
  <c r="G16" i="13" s="1"/>
  <c r="M9" i="7"/>
  <c r="P9" i="7" s="1"/>
  <c r="Q9" i="7" s="1"/>
  <c r="M10" i="7"/>
  <c r="P10" i="7" s="1"/>
  <c r="Q10" i="7" s="1"/>
  <c r="P4" i="7"/>
  <c r="Q4" i="7" s="1"/>
  <c r="M11" i="7"/>
  <c r="P11" i="7" s="1"/>
  <c r="Q11" i="7" s="1"/>
  <c r="M12" i="7"/>
  <c r="P12" i="7" s="1"/>
  <c r="Q12" i="7" s="1"/>
  <c r="M13" i="7"/>
  <c r="P13" i="7" s="1"/>
  <c r="Q13" i="7" s="1"/>
  <c r="M14" i="7"/>
  <c r="P14" i="7" s="1"/>
  <c r="Q14" i="7" s="1"/>
  <c r="M15" i="7"/>
  <c r="P15" i="7" s="1"/>
  <c r="Q15" i="7" s="1"/>
  <c r="P7" i="7"/>
  <c r="Q7" i="7" s="1"/>
  <c r="P8" i="7"/>
  <c r="Q8" i="7" s="1"/>
  <c r="P5" i="7"/>
  <c r="Q5" i="7" s="1"/>
  <c r="P6" i="7"/>
  <c r="Q6" i="7" s="1"/>
  <c r="I20" i="4"/>
  <c r="H20" i="4"/>
  <c r="D15" i="3"/>
  <c r="D14" i="3"/>
  <c r="D13" i="3"/>
  <c r="D12" i="3"/>
  <c r="D11" i="3"/>
  <c r="D10" i="3"/>
  <c r="D9" i="3"/>
  <c r="D8" i="3"/>
  <c r="D7" i="3"/>
  <c r="D6" i="3"/>
  <c r="D5" i="3"/>
  <c r="D4" i="3"/>
  <c r="D15" i="5"/>
  <c r="D14" i="5"/>
  <c r="D13" i="5"/>
  <c r="D12" i="5"/>
  <c r="D11" i="5"/>
  <c r="D10" i="5"/>
  <c r="D9" i="5"/>
  <c r="D8" i="5"/>
  <c r="D7" i="5"/>
  <c r="D6" i="5"/>
  <c r="D5" i="5"/>
  <c r="D4" i="5"/>
  <c r="D15" i="2"/>
  <c r="D14" i="2"/>
  <c r="D13" i="2"/>
  <c r="D12" i="2"/>
  <c r="D11" i="2"/>
  <c r="D10" i="2"/>
  <c r="D9" i="2"/>
  <c r="D8" i="2"/>
  <c r="D7" i="2"/>
  <c r="D6" i="2"/>
  <c r="D5" i="2"/>
  <c r="D4" i="2"/>
  <c r="G4" i="5"/>
  <c r="G4" i="3"/>
  <c r="J5" i="13"/>
  <c r="L5" i="13" l="1"/>
  <c r="K5" i="13"/>
  <c r="J20" i="4"/>
  <c r="F21" i="4" s="1"/>
  <c r="I4" i="3"/>
  <c r="H4" i="3"/>
  <c r="I4" i="5"/>
  <c r="H4" i="5"/>
  <c r="G21" i="4"/>
  <c r="G4" i="2"/>
  <c r="J4" i="3" l="1"/>
  <c r="F5" i="3" s="1"/>
  <c r="M5" i="13"/>
  <c r="I6" i="13" s="1"/>
  <c r="H21" i="4"/>
  <c r="I21" i="4"/>
  <c r="H4" i="2"/>
  <c r="I4" i="2"/>
  <c r="J4" i="5"/>
  <c r="F5" i="5" s="1"/>
  <c r="G5" i="5"/>
  <c r="G5" i="3"/>
  <c r="J6" i="13"/>
  <c r="I5" i="3" l="1"/>
  <c r="H5" i="3"/>
  <c r="J5" i="3" s="1"/>
  <c r="F6" i="3" s="1"/>
  <c r="K6" i="13"/>
  <c r="L6" i="13"/>
  <c r="J21" i="4"/>
  <c r="F22" i="4" s="1"/>
  <c r="I5" i="5"/>
  <c r="H5" i="5"/>
  <c r="J5" i="5" s="1"/>
  <c r="F6" i="5" s="1"/>
  <c r="J4" i="2"/>
  <c r="F5" i="2" s="1"/>
  <c r="G6" i="3"/>
  <c r="G5" i="2"/>
  <c r="G6" i="5"/>
  <c r="G22" i="4"/>
  <c r="M6" i="13" l="1"/>
  <c r="I7" i="13" s="1"/>
  <c r="I22" i="4"/>
  <c r="H22" i="4"/>
  <c r="H5" i="2"/>
  <c r="I5" i="2"/>
  <c r="I6" i="3"/>
  <c r="H6" i="3"/>
  <c r="H6" i="5"/>
  <c r="I6" i="5"/>
  <c r="J7" i="13"/>
  <c r="L7" i="13" l="1"/>
  <c r="K7" i="13"/>
  <c r="J6" i="3"/>
  <c r="F7" i="3" s="1"/>
  <c r="J22" i="4"/>
  <c r="F23" i="4" s="1"/>
  <c r="J5" i="2"/>
  <c r="F6" i="2" s="1"/>
  <c r="J6" i="5"/>
  <c r="F7" i="5" s="1"/>
  <c r="G7" i="3"/>
  <c r="G7" i="5"/>
  <c r="G23" i="4"/>
  <c r="G6" i="2"/>
  <c r="M7" i="13" l="1"/>
  <c r="I8" i="13" s="1"/>
  <c r="H23" i="4"/>
  <c r="I23" i="4"/>
  <c r="I7" i="3"/>
  <c r="H7" i="3"/>
  <c r="H6" i="2"/>
  <c r="I6" i="2"/>
  <c r="I7" i="5"/>
  <c r="H7" i="5"/>
  <c r="J8" i="13"/>
  <c r="J7" i="5" l="1"/>
  <c r="F8" i="5" s="1"/>
  <c r="J7" i="3"/>
  <c r="F8" i="3" s="1"/>
  <c r="K8" i="13"/>
  <c r="L8" i="13"/>
  <c r="J23" i="4"/>
  <c r="F24" i="4" s="1"/>
  <c r="J6" i="2"/>
  <c r="F7" i="2" s="1"/>
  <c r="G24" i="4"/>
  <c r="G8" i="5"/>
  <c r="G8" i="3"/>
  <c r="G7" i="2"/>
  <c r="I8" i="5" l="1"/>
  <c r="H8" i="5"/>
  <c r="H8" i="3"/>
  <c r="I8" i="3"/>
  <c r="M8" i="13"/>
  <c r="I9" i="13" s="1"/>
  <c r="H7" i="2"/>
  <c r="I7" i="2"/>
  <c r="H24" i="4"/>
  <c r="I24" i="4"/>
  <c r="J8" i="5"/>
  <c r="F9" i="5" s="1"/>
  <c r="J8" i="3"/>
  <c r="F9" i="3" s="1"/>
  <c r="G9" i="5"/>
  <c r="J9" i="13"/>
  <c r="G9" i="3"/>
  <c r="J7" i="2" l="1"/>
  <c r="F8" i="2" s="1"/>
  <c r="J24" i="4"/>
  <c r="F25" i="4" s="1"/>
  <c r="K9" i="13"/>
  <c r="L9" i="13"/>
  <c r="H9" i="5"/>
  <c r="I9" i="5"/>
  <c r="I9" i="3"/>
  <c r="H9" i="3"/>
  <c r="G8" i="2"/>
  <c r="G25" i="4"/>
  <c r="H25" i="4" l="1"/>
  <c r="I25" i="4"/>
  <c r="H8" i="2"/>
  <c r="I8" i="2"/>
  <c r="M9" i="13"/>
  <c r="I10" i="13" s="1"/>
  <c r="J25" i="4"/>
  <c r="F26" i="4" s="1"/>
  <c r="J9" i="5"/>
  <c r="F10" i="5" s="1"/>
  <c r="J9" i="3"/>
  <c r="F10" i="3" s="1"/>
  <c r="G26" i="4"/>
  <c r="J10" i="13"/>
  <c r="G10" i="3"/>
  <c r="G10" i="5"/>
  <c r="J8" i="2" l="1"/>
  <c r="F9" i="2" s="1"/>
  <c r="K10" i="13"/>
  <c r="L10" i="13"/>
  <c r="H26" i="4"/>
  <c r="I26" i="4"/>
  <c r="I10" i="5"/>
  <c r="H10" i="5"/>
  <c r="I10" i="3"/>
  <c r="H10" i="3"/>
  <c r="G9" i="2"/>
  <c r="H9" i="2" l="1"/>
  <c r="I9" i="2"/>
  <c r="J10" i="3"/>
  <c r="F11" i="3" s="1"/>
  <c r="M10" i="13"/>
  <c r="I11" i="13" s="1"/>
  <c r="J26" i="4"/>
  <c r="F27" i="4" s="1"/>
  <c r="J9" i="2"/>
  <c r="F10" i="2" s="1"/>
  <c r="J10" i="5"/>
  <c r="F11" i="5" s="1"/>
  <c r="G10" i="2"/>
  <c r="J11" i="13"/>
  <c r="G27" i="4"/>
  <c r="G11" i="5"/>
  <c r="G11" i="3"/>
  <c r="I11" i="3" l="1"/>
  <c r="H11" i="3"/>
  <c r="K11" i="13"/>
  <c r="L11" i="13"/>
  <c r="I11" i="5"/>
  <c r="H11" i="5"/>
  <c r="H10" i="2"/>
  <c r="I10" i="2"/>
  <c r="I27" i="4"/>
  <c r="H27" i="4"/>
  <c r="J11" i="3"/>
  <c r="F12" i="3" s="1"/>
  <c r="G12" i="3"/>
  <c r="J27" i="4" l="1"/>
  <c r="F28" i="4" s="1"/>
  <c r="J11" i="5"/>
  <c r="F12" i="5" s="1"/>
  <c r="M11" i="13"/>
  <c r="I12" i="13" s="1"/>
  <c r="J10" i="2"/>
  <c r="F11" i="2" s="1"/>
  <c r="H12" i="3"/>
  <c r="I12" i="3"/>
  <c r="J12" i="13"/>
  <c r="G12" i="5"/>
  <c r="G11" i="2"/>
  <c r="G28" i="4"/>
  <c r="H12" i="5" l="1"/>
  <c r="I12" i="5"/>
  <c r="I28" i="4"/>
  <c r="H28" i="4"/>
  <c r="J12" i="5"/>
  <c r="F13" i="5" s="1"/>
  <c r="K12" i="13"/>
  <c r="L12" i="13"/>
  <c r="I11" i="2"/>
  <c r="H11" i="2"/>
  <c r="J28" i="4"/>
  <c r="F29" i="4" s="1"/>
  <c r="J12" i="3"/>
  <c r="F13" i="3" s="1"/>
  <c r="G29" i="4"/>
  <c r="G13" i="3"/>
  <c r="G13" i="5"/>
  <c r="I13" i="5" l="1"/>
  <c r="H13" i="5"/>
  <c r="M12" i="13"/>
  <c r="I13" i="13" s="1"/>
  <c r="J11" i="2"/>
  <c r="F12" i="2" s="1"/>
  <c r="H13" i="3"/>
  <c r="I13" i="3"/>
  <c r="H29" i="4"/>
  <c r="I29" i="4"/>
  <c r="J13" i="13"/>
  <c r="G12" i="2"/>
  <c r="J13" i="5" l="1"/>
  <c r="F14" i="5" s="1"/>
  <c r="L13" i="13"/>
  <c r="K13" i="13"/>
  <c r="I12" i="2"/>
  <c r="H12" i="2"/>
  <c r="J13" i="3"/>
  <c r="F14" i="3" s="1"/>
  <c r="M13" i="13"/>
  <c r="I14" i="13" s="1"/>
  <c r="J29" i="4"/>
  <c r="F30" i="4" s="1"/>
  <c r="G14" i="5"/>
  <c r="G30" i="4"/>
  <c r="G14" i="3"/>
  <c r="J14" i="13"/>
  <c r="I14" i="5" l="1"/>
  <c r="H14" i="5"/>
  <c r="J14" i="5" s="1"/>
  <c r="F15" i="5" s="1"/>
  <c r="J12" i="2"/>
  <c r="F13" i="2" s="1"/>
  <c r="I14" i="3"/>
  <c r="H14" i="3"/>
  <c r="L14" i="13"/>
  <c r="K14" i="13"/>
  <c r="M14" i="13" s="1"/>
  <c r="I15" i="13" s="1"/>
  <c r="H30" i="4"/>
  <c r="I30" i="4"/>
  <c r="G13" i="2"/>
  <c r="J15" i="13"/>
  <c r="G15" i="5"/>
  <c r="J14" i="3" l="1"/>
  <c r="F15" i="3" s="1"/>
  <c r="I15" i="5"/>
  <c r="H15" i="5"/>
  <c r="H13" i="2"/>
  <c r="I13" i="2"/>
  <c r="J15" i="5"/>
  <c r="F16" i="5" s="1"/>
  <c r="F20" i="5" s="1"/>
  <c r="L15" i="13"/>
  <c r="K15" i="13"/>
  <c r="J30" i="4"/>
  <c r="F31" i="4" s="1"/>
  <c r="G31" i="4"/>
  <c r="G15" i="3"/>
  <c r="H15" i="3" l="1"/>
  <c r="I15" i="3"/>
  <c r="J13" i="2"/>
  <c r="F14" i="2" s="1"/>
  <c r="M15" i="13"/>
  <c r="I16" i="13" s="1"/>
  <c r="I31" i="4"/>
  <c r="H31" i="4"/>
  <c r="J15" i="3"/>
  <c r="F16" i="3" s="1"/>
  <c r="F20" i="3" s="1"/>
  <c r="G14" i="2"/>
  <c r="J16" i="13"/>
  <c r="J31" i="4" l="1"/>
  <c r="F32" i="4" s="1"/>
  <c r="F36" i="4" s="1"/>
  <c r="I14" i="2"/>
  <c r="H14" i="2"/>
  <c r="L16" i="13"/>
  <c r="K16" i="13"/>
  <c r="J14" i="2" l="1"/>
  <c r="F15" i="2" s="1"/>
  <c r="M16" i="13"/>
  <c r="I17" i="13" s="1"/>
  <c r="I21" i="13" s="1"/>
  <c r="G15" i="2"/>
  <c r="I15" i="2" l="1"/>
  <c r="H15" i="2"/>
  <c r="J15" i="2"/>
  <c r="F16" i="2" s="1"/>
  <c r="F20" i="2" s="1"/>
</calcChain>
</file>

<file path=xl/sharedStrings.xml><?xml version="1.0" encoding="utf-8"?>
<sst xmlns="http://schemas.openxmlformats.org/spreadsheetml/2006/main" count="441" uniqueCount="153">
  <si>
    <t>Бирабен</t>
  </si>
  <si>
    <t>р</t>
  </si>
  <si>
    <t>с</t>
  </si>
  <si>
    <t>год</t>
  </si>
  <si>
    <t>еп</t>
  </si>
  <si>
    <t>ПК</t>
  </si>
  <si>
    <t>рождаемость</t>
  </si>
  <si>
    <t>смертность</t>
  </si>
  <si>
    <t>УЧ</t>
  </si>
  <si>
    <t>БОЯ</t>
  </si>
  <si>
    <t>М</t>
  </si>
  <si>
    <t>БИР</t>
  </si>
  <si>
    <t>АДХ</t>
  </si>
  <si>
    <t>У1</t>
  </si>
  <si>
    <t>У2</t>
  </si>
  <si>
    <t>АО</t>
  </si>
  <si>
    <t>АТ</t>
  </si>
  <si>
    <t>Реконструкции рождаемости и смертности для 1915-1926</t>
  </si>
  <si>
    <t>учёт</t>
  </si>
  <si>
    <t>Боярский</t>
  </si>
  <si>
    <t>Боярский с поправкой Максудова</t>
  </si>
  <si>
    <t>Андреев, Дарский, Харькова</t>
  </si>
  <si>
    <t>Урланис</t>
  </si>
  <si>
    <t>Урлания</t>
  </si>
  <si>
    <t>Поляков, Киселёв</t>
  </si>
  <si>
    <t>Адамец</t>
  </si>
  <si>
    <t>мигр</t>
  </si>
  <si>
    <t>чн-сред</t>
  </si>
  <si>
    <t>чр</t>
  </si>
  <si>
    <t>чс</t>
  </si>
  <si>
    <t>чн-1 янв</t>
  </si>
  <si>
    <t>1927-АДХ</t>
  </si>
  <si>
    <t>еп-чел</t>
  </si>
  <si>
    <t>мигр. баланс</t>
  </si>
  <si>
    <t>разница (избыток)</t>
  </si>
  <si>
    <t>среднее</t>
  </si>
  <si>
    <t>тыс</t>
  </si>
  <si>
    <t>чс-детск</t>
  </si>
  <si>
    <t>чс-взросл-мирн</t>
  </si>
  <si>
    <t>чс-воен</t>
  </si>
  <si>
    <t>чс-все</t>
  </si>
  <si>
    <t>Архангельская</t>
  </si>
  <si>
    <t>Астраханская</t>
  </si>
  <si>
    <t>Бессарабская</t>
  </si>
  <si>
    <t>Виленская</t>
  </si>
  <si>
    <t>Витебская</t>
  </si>
  <si>
    <t>Владимирская</t>
  </si>
  <si>
    <t>Волынская</t>
  </si>
  <si>
    <t>Воронежская</t>
  </si>
  <si>
    <t>Вятская</t>
  </si>
  <si>
    <t>Гродненская</t>
  </si>
  <si>
    <t>Вологодская</t>
  </si>
  <si>
    <t>Обл. Войска Донского</t>
  </si>
  <si>
    <t>Екатеринославская</t>
  </si>
  <si>
    <t>Казанская</t>
  </si>
  <si>
    <t>Калужская</t>
  </si>
  <si>
    <t>Киевская</t>
  </si>
  <si>
    <t>Ковенская</t>
  </si>
  <si>
    <t>Костромская</t>
  </si>
  <si>
    <t>Курляндская</t>
  </si>
  <si>
    <t>Курская</t>
  </si>
  <si>
    <t>Лифляндская</t>
  </si>
  <si>
    <t>Минская</t>
  </si>
  <si>
    <t>Могилевская</t>
  </si>
  <si>
    <t>Московская</t>
  </si>
  <si>
    <t>гор. Москва</t>
  </si>
  <si>
    <t>Нижегородская</t>
  </si>
  <si>
    <t>Новгородская</t>
  </si>
  <si>
    <t>Олонецкая</t>
  </si>
  <si>
    <t>Орловская</t>
  </si>
  <si>
    <t>Пензенская</t>
  </si>
  <si>
    <t>Пермская</t>
  </si>
  <si>
    <t>Тамбовская</t>
  </si>
  <si>
    <t>Тверская</t>
  </si>
  <si>
    <t>Петроградская</t>
  </si>
  <si>
    <t>г. Петроград</t>
  </si>
  <si>
    <t>Подольская</t>
  </si>
  <si>
    <t>Полтавская</t>
  </si>
  <si>
    <t>Псковская</t>
  </si>
  <si>
    <t>Рязанская</t>
  </si>
  <si>
    <t>Самарская</t>
  </si>
  <si>
    <t>Саратовская</t>
  </si>
  <si>
    <t>Симбирская</t>
  </si>
  <si>
    <t>Смоленская</t>
  </si>
  <si>
    <t>Таврическая</t>
  </si>
  <si>
    <t>Тульская</t>
  </si>
  <si>
    <t>Уфимская</t>
  </si>
  <si>
    <t>Харьковская</t>
  </si>
  <si>
    <t>Херсонская</t>
  </si>
  <si>
    <t>Черниговская</t>
  </si>
  <si>
    <t>Эстляндская</t>
  </si>
  <si>
    <t>Ярославская</t>
  </si>
  <si>
    <t>С.А. Новосельский, "Влияние войны на естественное движение населения" //</t>
  </si>
  <si>
    <t>приложение</t>
  </si>
  <si>
    <t>браки</t>
  </si>
  <si>
    <t>смерти</t>
  </si>
  <si>
    <t>прирост</t>
  </si>
  <si>
    <t>рождения</t>
  </si>
  <si>
    <t>Строки:</t>
  </si>
  <si>
    <t>Строки для территорий вошедших в состав РСФСР-1991</t>
  </si>
  <si>
    <t>Оренбургская</t>
  </si>
  <si>
    <t>губерния</t>
  </si>
  <si>
    <t>Числа рождений</t>
  </si>
  <si>
    <t>YY-sum</t>
  </si>
  <si>
    <t>1913-sum</t>
  </si>
  <si>
    <t>% YY vs 1913</t>
  </si>
  <si>
    <t>примерный cbr</t>
  </si>
  <si>
    <t>Число смертей</t>
  </si>
  <si>
    <t>Смерти</t>
  </si>
  <si>
    <t>Рождения</t>
  </si>
  <si>
    <t>Баланс по реконструкции Боярского</t>
  </si>
  <si>
    <t>Баланс по реконструкции Максудова (модификация Боярского)</t>
  </si>
  <si>
    <t>Баланс по реконструкции Бирабена</t>
  </si>
  <si>
    <t>Среднее четырёх оценок и баланс по нему</t>
  </si>
  <si>
    <t>Баланс по модифицированной реконструкции Боярского</t>
  </si>
  <si>
    <t>тяжесть года</t>
  </si>
  <si>
    <t>множитель тяжести</t>
  </si>
  <si>
    <t>вес тяжести:</t>
  </si>
  <si>
    <t>По всем имеющимся на 1916 год</t>
  </si>
  <si>
    <t>По всем имеющимся на 1917 год</t>
  </si>
  <si>
    <t>По всем имеющимся на 1915 год</t>
  </si>
  <si>
    <t>По всем имеющимся на 1914 год</t>
  </si>
  <si>
    <t>По всем совокупностям</t>
  </si>
  <si>
    <t>календарный год</t>
  </si>
  <si>
    <t>все-1914</t>
  </si>
  <si>
    <t>все-1915</t>
  </si>
  <si>
    <t>все-1916</t>
  </si>
  <si>
    <t>все-1917</t>
  </si>
  <si>
    <t>По всем имеющимся на текущий календарный год</t>
  </si>
  <si>
    <t>1916 vs 1913</t>
  </si>
  <si>
    <t>1915 vs 1913</t>
  </si>
  <si>
    <t>1917vs 1913</t>
  </si>
  <si>
    <t>среднее за 1915 оставшихся в 1917</t>
  </si>
  <si>
    <t>среднее за 1915 выпавших в 1917</t>
  </si>
  <si>
    <t>среднее за 1916 оставшихся в 1917</t>
  </si>
  <si>
    <t>среднее за 1916 выпавших в 1917</t>
  </si>
  <si>
    <t>среднее за 1915 оставшихся в 1916</t>
  </si>
  <si>
    <t>среднее за 1915 выпавших в 1916</t>
  </si>
  <si>
    <t>Труды комиссии по обследованию санитарных последствий войны 1914-1920 гг., вып. 1, М.-Пг. : Наркомздрав, 1923, стр. 204-208</t>
  </si>
  <si>
    <t>естественный прирост</t>
  </si>
  <si>
    <t>Боряский</t>
  </si>
  <si>
    <t>промилле</t>
  </si>
  <si>
    <t>проценты</t>
  </si>
  <si>
    <t>Новосельский (чр)</t>
  </si>
  <si>
    <t>Урланис (‰)</t>
  </si>
  <si>
    <t>Боряский (‰)</t>
  </si>
  <si>
    <t>Бирабен (‰)</t>
  </si>
  <si>
    <t>Вятская губ. (чр)</t>
  </si>
  <si>
    <t>У1-РСФСР</t>
  </si>
  <si>
    <t>мн.</t>
  </si>
  <si>
    <t>У1 + УЧ</t>
  </si>
  <si>
    <t>У1-УЧ-мод</t>
  </si>
  <si>
    <t>Рождаемость: привязка Урланиса У1 к РСФСР, соединение с УЧ и поднятие правой части к уровням АДХ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</si>
</sst>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#,##0.0"/>
  </numFmts>
  <fonts count="8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rgb="FF0070C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0070C0"/>
      <name val="Calibri"/>
      <family val="2"/>
      <scheme val="minor"/>
    </font>
    <font>
      <b/>
      <sz val="16"/>
      <color rgb="FF0070C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EEECE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399975585192419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3">
    <xf numFmtId="0" fontId="0" fillId="0" borderId="0" xfId="0"/>
    <xf numFmtId="164" fontId="0" fillId="0" borderId="0" xfId="0" applyNumberFormat="1" applyAlignment="1">
      <alignment vertical="center" wrapText="1"/>
    </xf>
    <xf numFmtId="164" fontId="0" fillId="0" borderId="0" xfId="0" applyNumberFormat="1"/>
    <xf numFmtId="3" fontId="0" fillId="0" borderId="0" xfId="0" applyNumberFormat="1"/>
    <xf numFmtId="3" fontId="0" fillId="0" borderId="0" xfId="0" applyNumberFormat="1" applyAlignment="1">
      <alignment vertical="center" wrapText="1"/>
    </xf>
    <xf numFmtId="0" fontId="0" fillId="0" borderId="0" xfId="0" applyAlignment="1">
      <alignment horizontal="center"/>
    </xf>
    <xf numFmtId="0" fontId="3" fillId="0" borderId="0" xfId="0" applyFont="1"/>
    <xf numFmtId="0" fontId="0" fillId="0" borderId="0" xfId="0" applyAlignment="1">
      <alignment vertical="center" wrapText="1"/>
    </xf>
    <xf numFmtId="0" fontId="4" fillId="4" borderId="0" xfId="0" applyFont="1" applyFill="1" applyAlignment="1">
      <alignment horizontal="center" vertical="center" wrapText="1"/>
    </xf>
    <xf numFmtId="0" fontId="4" fillId="5" borderId="0" xfId="0" applyFont="1" applyFill="1" applyAlignment="1">
      <alignment horizontal="center" vertical="center" wrapText="1"/>
    </xf>
    <xf numFmtId="0" fontId="2" fillId="0" borderId="0" xfId="0" applyFont="1" applyAlignment="1">
      <alignment horizontal="center"/>
    </xf>
    <xf numFmtId="0" fontId="0" fillId="0" borderId="0" xfId="0" applyAlignment="1">
      <alignment horizontal="right" vertical="center" wrapText="1"/>
    </xf>
    <xf numFmtId="0" fontId="2" fillId="4" borderId="0" xfId="0" applyFont="1" applyFill="1" applyAlignment="1">
      <alignment horizontal="center"/>
    </xf>
    <xf numFmtId="0" fontId="2" fillId="4" borderId="0" xfId="0" applyFont="1" applyFill="1" applyAlignment="1">
      <alignment horizontal="center" vertical="center" wrapText="1"/>
    </xf>
    <xf numFmtId="0" fontId="0" fillId="4" borderId="0" xfId="0" applyFill="1"/>
    <xf numFmtId="0" fontId="2" fillId="4" borderId="0" xfId="0" applyFont="1" applyFill="1"/>
    <xf numFmtId="0" fontId="2" fillId="2" borderId="0" xfId="0" applyFont="1" applyFill="1" applyAlignment="1">
      <alignment horizontal="center" wrapText="1"/>
    </xf>
    <xf numFmtId="164" fontId="1" fillId="0" borderId="0" xfId="0" applyNumberFormat="1" applyFont="1" applyAlignment="1">
      <alignment horizontal="right" vertical="center" wrapText="1"/>
    </xf>
    <xf numFmtId="0" fontId="4" fillId="3" borderId="0" xfId="0" applyFont="1" applyFill="1" applyAlignment="1">
      <alignment horizontal="center" vertical="center" wrapText="1"/>
    </xf>
    <xf numFmtId="49" fontId="0" fillId="0" borderId="0" xfId="0" applyNumberFormat="1"/>
    <xf numFmtId="0" fontId="2" fillId="0" borderId="0" xfId="0" applyFont="1"/>
    <xf numFmtId="3" fontId="5" fillId="3" borderId="0" xfId="0" applyNumberFormat="1" applyFont="1" applyFill="1"/>
    <xf numFmtId="0" fontId="6" fillId="0" borderId="0" xfId="0" applyFont="1"/>
    <xf numFmtId="0" fontId="2" fillId="0" borderId="0" xfId="0" applyFont="1" applyAlignment="1">
      <alignment horizontal="right"/>
    </xf>
    <xf numFmtId="2" fontId="0" fillId="0" borderId="0" xfId="0" applyNumberFormat="1"/>
    <xf numFmtId="2" fontId="0" fillId="0" borderId="0" xfId="0" applyNumberFormat="1" applyAlignment="1">
      <alignment vertical="center" wrapText="1"/>
    </xf>
    <xf numFmtId="0" fontId="5" fillId="4" borderId="0" xfId="0" applyFont="1" applyFill="1"/>
    <xf numFmtId="0" fontId="2" fillId="0" borderId="0" xfId="0" applyFont="1" applyFill="1" applyAlignment="1">
      <alignment horizontal="center"/>
    </xf>
    <xf numFmtId="0" fontId="0" fillId="0" borderId="0" xfId="0" applyFont="1" applyFill="1" applyAlignment="1">
      <alignment horizontal="center"/>
    </xf>
    <xf numFmtId="0" fontId="2" fillId="0" borderId="0" xfId="0" applyFont="1" applyFill="1" applyAlignment="1">
      <alignment horizontal="center" vertical="center" wrapText="1"/>
    </xf>
    <xf numFmtId="2" fontId="0" fillId="0" borderId="0" xfId="0" applyNumberFormat="1" applyAlignment="1">
      <alignment horizontal="center" vertical="center" wrapText="1"/>
    </xf>
    <xf numFmtId="3" fontId="0" fillId="0" borderId="0" xfId="0" applyNumberFormat="1" applyFont="1" applyFill="1" applyAlignment="1">
      <alignment horizontal="right"/>
    </xf>
    <xf numFmtId="0" fontId="0" fillId="0" borderId="0" xfId="0" applyFont="1" applyAlignment="1">
      <alignment horizontal="right"/>
    </xf>
    <xf numFmtId="3" fontId="0" fillId="0" borderId="0" xfId="0" applyNumberFormat="1" applyFont="1"/>
    <xf numFmtId="164" fontId="0" fillId="0" borderId="0" xfId="0" applyNumberFormat="1" applyFont="1" applyAlignment="1">
      <alignment horizontal="right"/>
    </xf>
    <xf numFmtId="165" fontId="0" fillId="0" borderId="0" xfId="0" applyNumberFormat="1"/>
    <xf numFmtId="164" fontId="0" fillId="6" borderId="0" xfId="0" applyNumberFormat="1" applyFont="1" applyFill="1"/>
    <xf numFmtId="0" fontId="0" fillId="0" borderId="0" xfId="0" applyAlignment="1">
      <alignment horizontal="center"/>
    </xf>
    <xf numFmtId="164" fontId="0" fillId="0" borderId="0" xfId="0" applyNumberFormat="1" applyFont="1" applyBorder="1" applyAlignment="1">
      <alignment vertical="center" wrapText="1"/>
    </xf>
    <xf numFmtId="164" fontId="1" fillId="0" borderId="0" xfId="0" applyNumberFormat="1" applyFont="1" applyBorder="1" applyAlignment="1">
      <alignment horizontal="right" vertical="center" wrapText="1"/>
    </xf>
    <xf numFmtId="164" fontId="1" fillId="0" borderId="0" xfId="0" applyNumberFormat="1" applyFont="1" applyFill="1" applyBorder="1" applyAlignment="1">
      <alignment horizontal="center" vertical="center" wrapText="1"/>
    </xf>
    <xf numFmtId="164" fontId="0" fillId="0" borderId="0" xfId="0" applyNumberFormat="1" applyFont="1" applyFill="1" applyBorder="1" applyAlignment="1">
      <alignment vertical="center" wrapText="1"/>
    </xf>
    <xf numFmtId="1" fontId="0" fillId="0" borderId="0" xfId="0" applyNumberFormat="1" applyFont="1" applyFill="1" applyBorder="1" applyAlignment="1">
      <alignment horizontal="center" wrapText="1"/>
    </xf>
    <xf numFmtId="1" fontId="0" fillId="0" borderId="0" xfId="0" applyNumberFormat="1" applyFont="1" applyBorder="1" applyAlignment="1">
      <alignment horizontal="center" vertical="center" wrapText="1"/>
    </xf>
    <xf numFmtId="0" fontId="4" fillId="4" borderId="0" xfId="0" applyFont="1" applyFill="1" applyAlignment="1">
      <alignment horizontal="center" vertical="center" wrapText="1"/>
    </xf>
    <xf numFmtId="0" fontId="4" fillId="5" borderId="0" xfId="0" applyFont="1" applyFill="1" applyAlignment="1">
      <alignment horizontal="center" vertical="center" wrapText="1"/>
    </xf>
    <xf numFmtId="0" fontId="0" fillId="5" borderId="0" xfId="0" applyFill="1" applyAlignment="1">
      <alignment horizontal="center"/>
    </xf>
    <xf numFmtId="0" fontId="2" fillId="2" borderId="0" xfId="0" applyFont="1" applyFill="1" applyAlignment="1">
      <alignment horizontal="center" wrapText="1"/>
    </xf>
    <xf numFmtId="0" fontId="0" fillId="0" borderId="0" xfId="0" applyAlignment="1">
      <alignment horizontal="center"/>
    </xf>
    <xf numFmtId="1" fontId="0" fillId="0" borderId="0" xfId="0" applyNumberFormat="1" applyFont="1" applyFill="1" applyBorder="1" applyAlignment="1">
      <alignment horizontal="center" vertical="center" wrapText="1"/>
    </xf>
    <xf numFmtId="164" fontId="0" fillId="3" borderId="0" xfId="0" applyNumberFormat="1" applyFont="1" applyFill="1" applyBorder="1" applyAlignment="1">
      <alignment vertical="center" wrapText="1"/>
    </xf>
    <xf numFmtId="164" fontId="0" fillId="7" borderId="0" xfId="0" applyNumberFormat="1" applyFont="1" applyFill="1" applyBorder="1" applyAlignment="1">
      <alignment vertical="center" wrapText="1"/>
    </xf>
    <xf numFmtId="0" fontId="7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16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sz="1800" b="1" i="0" baseline="0">
                <a:effectLst/>
              </a:rPr>
              <a:t>оценки рождаемости</a:t>
            </a:r>
            <a:r>
              <a:rPr lang="en-US" sz="1800" b="1" i="0" baseline="0">
                <a:effectLst/>
              </a:rPr>
              <a:t> (</a:t>
            </a:r>
            <a:r>
              <a:rPr lang="ru-RU" sz="1800" b="1" i="0" baseline="0">
                <a:effectLst/>
              </a:rPr>
              <a:t>‰)</a:t>
            </a:r>
            <a:endParaRPr lang="ru-RU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16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Оценки!$B$6</c:f>
              <c:strCache>
                <c:ptCount val="1"/>
                <c:pt idx="0">
                  <c:v>УЧ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Оценки!$A$7:$A$20</c:f>
              <c:numCache>
                <c:formatCode>0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Оценки!$B$7:$B$20</c:f>
              <c:numCache>
                <c:formatCode>0.0</c:formatCode>
                <c:ptCount val="14"/>
                <c:pt idx="7">
                  <c:v>30.9</c:v>
                </c:pt>
                <c:pt idx="8">
                  <c:v>32.6</c:v>
                </c:pt>
                <c:pt idx="9">
                  <c:v>33.4</c:v>
                </c:pt>
                <c:pt idx="10">
                  <c:v>42.8</c:v>
                </c:pt>
                <c:pt idx="11">
                  <c:v>43.8</c:v>
                </c:pt>
                <c:pt idx="12">
                  <c:v>45.9</c:v>
                </c:pt>
                <c:pt idx="13">
                  <c:v>44.7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F25-4EF6-8C55-1A01A644EACB}"/>
            </c:ext>
          </c:extLst>
        </c:ser>
        <c:ser>
          <c:idx val="1"/>
          <c:order val="1"/>
          <c:tx>
            <c:strRef>
              <c:f>Оценки!$C$6</c:f>
              <c:strCache>
                <c:ptCount val="1"/>
                <c:pt idx="0">
                  <c:v>БОЯ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Оценки!$A$7:$A$20</c:f>
              <c:numCache>
                <c:formatCode>0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Оценки!$C$7:$C$20</c:f>
              <c:numCache>
                <c:formatCode>0.0</c:formatCode>
                <c:ptCount val="14"/>
                <c:pt idx="1">
                  <c:v>43.7</c:v>
                </c:pt>
                <c:pt idx="2">
                  <c:v>35.9</c:v>
                </c:pt>
                <c:pt idx="3">
                  <c:v>27.1</c:v>
                </c:pt>
                <c:pt idx="4">
                  <c:v>26.3</c:v>
                </c:pt>
                <c:pt idx="5">
                  <c:v>34.700000000000003</c:v>
                </c:pt>
                <c:pt idx="6">
                  <c:v>31.7</c:v>
                </c:pt>
                <c:pt idx="7">
                  <c:v>32.200000000000003</c:v>
                </c:pt>
                <c:pt idx="8">
                  <c:v>37.299999999999997</c:v>
                </c:pt>
                <c:pt idx="9">
                  <c:v>38.200000000000003</c:v>
                </c:pt>
                <c:pt idx="10">
                  <c:v>45.5</c:v>
                </c:pt>
                <c:pt idx="11">
                  <c:v>42.2</c:v>
                </c:pt>
                <c:pt idx="12">
                  <c:v>43.9</c:v>
                </c:pt>
                <c:pt idx="13">
                  <c:v>42.5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F25-4EF6-8C55-1A01A644EACB}"/>
            </c:ext>
          </c:extLst>
        </c:ser>
        <c:ser>
          <c:idx val="2"/>
          <c:order val="2"/>
          <c:tx>
            <c:strRef>
              <c:f>Оценки!$D$6</c:f>
              <c:strCache>
                <c:ptCount val="1"/>
                <c:pt idx="0">
                  <c:v>М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Оценки!$A$7:$A$20</c:f>
              <c:numCache>
                <c:formatCode>0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Оценки!$D$7:$D$20</c:f>
              <c:numCache>
                <c:formatCode>0.0</c:formatCode>
                <c:ptCount val="14"/>
                <c:pt idx="0">
                  <c:v>47</c:v>
                </c:pt>
                <c:pt idx="1">
                  <c:v>43.7</c:v>
                </c:pt>
                <c:pt idx="2">
                  <c:v>35.9</c:v>
                </c:pt>
                <c:pt idx="3">
                  <c:v>27.1</c:v>
                </c:pt>
                <c:pt idx="4">
                  <c:v>26.3</c:v>
                </c:pt>
                <c:pt idx="5">
                  <c:v>34.700000000000003</c:v>
                </c:pt>
                <c:pt idx="6">
                  <c:v>31.7</c:v>
                </c:pt>
                <c:pt idx="7">
                  <c:v>32.200000000000003</c:v>
                </c:pt>
                <c:pt idx="8">
                  <c:v>37.299999999999997</c:v>
                </c:pt>
                <c:pt idx="9">
                  <c:v>38.200000000000003</c:v>
                </c:pt>
                <c:pt idx="10">
                  <c:v>45.5</c:v>
                </c:pt>
                <c:pt idx="11">
                  <c:v>42.2</c:v>
                </c:pt>
                <c:pt idx="12">
                  <c:v>43.9</c:v>
                </c:pt>
                <c:pt idx="13">
                  <c:v>42.5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F25-4EF6-8C55-1A01A644EACB}"/>
            </c:ext>
          </c:extLst>
        </c:ser>
        <c:ser>
          <c:idx val="3"/>
          <c:order val="3"/>
          <c:tx>
            <c:strRef>
              <c:f>Оценки!$E$6</c:f>
              <c:strCache>
                <c:ptCount val="1"/>
                <c:pt idx="0">
                  <c:v>БИР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Оценки!$A$7:$A$20</c:f>
              <c:numCache>
                <c:formatCode>0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Оценки!$E$7:$E$20</c:f>
              <c:numCache>
                <c:formatCode>0.0</c:formatCode>
                <c:ptCount val="14"/>
                <c:pt idx="0">
                  <c:v>44.1</c:v>
                </c:pt>
                <c:pt idx="1">
                  <c:v>45.4</c:v>
                </c:pt>
                <c:pt idx="2">
                  <c:v>43.1</c:v>
                </c:pt>
                <c:pt idx="3">
                  <c:v>37.4</c:v>
                </c:pt>
                <c:pt idx="4">
                  <c:v>32.5</c:v>
                </c:pt>
                <c:pt idx="5">
                  <c:v>28.8</c:v>
                </c:pt>
                <c:pt idx="6">
                  <c:v>32.4</c:v>
                </c:pt>
                <c:pt idx="7">
                  <c:v>30.6</c:v>
                </c:pt>
                <c:pt idx="8">
                  <c:v>31.7</c:v>
                </c:pt>
                <c:pt idx="9">
                  <c:v>35</c:v>
                </c:pt>
                <c:pt idx="10">
                  <c:v>36.200000000000003</c:v>
                </c:pt>
                <c:pt idx="11">
                  <c:v>44</c:v>
                </c:pt>
                <c:pt idx="12">
                  <c:v>42.3</c:v>
                </c:pt>
                <c:pt idx="13">
                  <c:v>43.8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5F25-4EF6-8C55-1A01A644EACB}"/>
            </c:ext>
          </c:extLst>
        </c:ser>
        <c:ser>
          <c:idx val="4"/>
          <c:order val="4"/>
          <c:tx>
            <c:strRef>
              <c:f>Оценки!$F$6</c:f>
              <c:strCache>
                <c:ptCount val="1"/>
                <c:pt idx="0">
                  <c:v>АДХ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Оценки!$A$7:$A$20</c:f>
              <c:numCache>
                <c:formatCode>0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Оценки!$F$7:$F$20</c:f>
              <c:numCache>
                <c:formatCode>0.0</c:formatCode>
                <c:ptCount val="14"/>
                <c:pt idx="7">
                  <c:v>39.299999999999997</c:v>
                </c:pt>
                <c:pt idx="8">
                  <c:v>40.6</c:v>
                </c:pt>
                <c:pt idx="9">
                  <c:v>43.7</c:v>
                </c:pt>
                <c:pt idx="10">
                  <c:v>47</c:v>
                </c:pt>
                <c:pt idx="11">
                  <c:v>49</c:v>
                </c:pt>
                <c:pt idx="12">
                  <c:v>47.3</c:v>
                </c:pt>
                <c:pt idx="13">
                  <c:v>45.6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5F25-4EF6-8C55-1A01A644EACB}"/>
            </c:ext>
          </c:extLst>
        </c:ser>
        <c:ser>
          <c:idx val="5"/>
          <c:order val="5"/>
          <c:tx>
            <c:strRef>
              <c:f>Оценки!$G$6</c:f>
              <c:strCache>
                <c:ptCount val="1"/>
                <c:pt idx="0">
                  <c:v>У1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Оценки!$A$7:$A$20</c:f>
              <c:numCache>
                <c:formatCode>0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Оценки!$G$7:$G$20</c:f>
              <c:numCache>
                <c:formatCode>0.0</c:formatCode>
                <c:ptCount val="14"/>
                <c:pt idx="0">
                  <c:v>47</c:v>
                </c:pt>
                <c:pt idx="1">
                  <c:v>46.9</c:v>
                </c:pt>
                <c:pt idx="2">
                  <c:v>39.700000000000003</c:v>
                </c:pt>
                <c:pt idx="3">
                  <c:v>29.9</c:v>
                </c:pt>
                <c:pt idx="4">
                  <c:v>23.9</c:v>
                </c:pt>
                <c:pt idx="5">
                  <c:v>32</c:v>
                </c:pt>
                <c:pt idx="6">
                  <c:v>31</c:v>
                </c:pt>
                <c:pt idx="7">
                  <c:v>31.2</c:v>
                </c:pt>
                <c:pt idx="8">
                  <c:v>35.5</c:v>
                </c:pt>
                <c:pt idx="9">
                  <c:v>37.299999999999997</c:v>
                </c:pt>
                <c:pt idx="10">
                  <c:v>43.9</c:v>
                </c:pt>
                <c:pt idx="11">
                  <c:v>42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5F25-4EF6-8C55-1A01A644EACB}"/>
            </c:ext>
          </c:extLst>
        </c:ser>
        <c:ser>
          <c:idx val="6"/>
          <c:order val="6"/>
          <c:tx>
            <c:strRef>
              <c:f>Оценки!$H$6</c:f>
              <c:strCache>
                <c:ptCount val="1"/>
                <c:pt idx="0">
                  <c:v>У2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Оценки!$A$7:$A$20</c:f>
              <c:numCache>
                <c:formatCode>0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Оценки!$H$7:$H$20</c:f>
              <c:numCache>
                <c:formatCode>0.0</c:formatCode>
                <c:ptCount val="14"/>
                <c:pt idx="5">
                  <c:v>31.8</c:v>
                </c:pt>
                <c:pt idx="6">
                  <c:v>30.8</c:v>
                </c:pt>
                <c:pt idx="7">
                  <c:v>31</c:v>
                </c:pt>
                <c:pt idx="8">
                  <c:v>35.299999999999997</c:v>
                </c:pt>
                <c:pt idx="9">
                  <c:v>36.799999999999997</c:v>
                </c:pt>
                <c:pt idx="10">
                  <c:v>42.8</c:v>
                </c:pt>
                <c:pt idx="11">
                  <c:v>41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5F25-4EF6-8C55-1A01A644EACB}"/>
            </c:ext>
          </c:extLst>
        </c:ser>
        <c:ser>
          <c:idx val="7"/>
          <c:order val="7"/>
          <c:tx>
            <c:strRef>
              <c:f>Оценки!$I$6</c:f>
              <c:strCache>
                <c:ptCount val="1"/>
                <c:pt idx="0">
                  <c:v>ПК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Оценки!$A$7:$A$20</c:f>
              <c:numCache>
                <c:formatCode>0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Оценки!$I$7:$I$20</c:f>
              <c:numCache>
                <c:formatCode>0.0</c:formatCode>
                <c:ptCount val="14"/>
                <c:pt idx="4">
                  <c:v>27.4</c:v>
                </c:pt>
                <c:pt idx="5">
                  <c:v>33.1</c:v>
                </c:pt>
                <c:pt idx="6">
                  <c:v>30</c:v>
                </c:pt>
                <c:pt idx="7">
                  <c:v>31.3</c:v>
                </c:pt>
                <c:pt idx="8">
                  <c:v>37.799999999999997</c:v>
                </c:pt>
                <c:pt idx="9">
                  <c:v>41.4</c:v>
                </c:pt>
                <c:pt idx="10">
                  <c:v>46.5</c:v>
                </c:pt>
                <c:pt idx="11">
                  <c:v>43.6</c:v>
                </c:pt>
                <c:pt idx="12">
                  <c:v>45.7</c:v>
                </c:pt>
                <c:pt idx="13">
                  <c:v>42.6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5F25-4EF6-8C55-1A01A644EA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8313744"/>
        <c:axId val="258315384"/>
      </c:scatterChart>
      <c:valAx>
        <c:axId val="258313744"/>
        <c:scaling>
          <c:orientation val="minMax"/>
          <c:max val="1926"/>
          <c:min val="1913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58315384"/>
        <c:crosses val="autoZero"/>
        <c:crossBetween val="midCat"/>
        <c:majorUnit val="1"/>
      </c:valAx>
      <c:valAx>
        <c:axId val="258315384"/>
        <c:scaling>
          <c:orientation val="minMax"/>
          <c:max val="50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5831374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800" b="1" i="0" baseline="0"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16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sz="1800" b="1" i="0" baseline="0">
                <a:effectLst/>
              </a:rPr>
              <a:t>оценки смертности </a:t>
            </a:r>
            <a:r>
              <a:rPr lang="en-US" sz="1800" b="1" i="0" baseline="0">
                <a:effectLst/>
              </a:rPr>
              <a:t> (</a:t>
            </a:r>
            <a:r>
              <a:rPr lang="ru-RU" sz="1800" b="1" i="0" baseline="0">
                <a:effectLst/>
              </a:rPr>
              <a:t>‰)</a:t>
            </a:r>
            <a:endParaRPr lang="ru-RU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16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Оценки!$J$6</c:f>
              <c:strCache>
                <c:ptCount val="1"/>
                <c:pt idx="0">
                  <c:v>УЧ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Оценки!$A$7:$A$20</c:f>
              <c:numCache>
                <c:formatCode>0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Оценки!$J$7:$J$20</c:f>
              <c:numCache>
                <c:formatCode>0.0</c:formatCode>
                <c:ptCount val="14"/>
                <c:pt idx="7">
                  <c:v>35.299999999999997</c:v>
                </c:pt>
                <c:pt idx="8">
                  <c:v>29.2</c:v>
                </c:pt>
                <c:pt idx="9">
                  <c:v>32.1</c:v>
                </c:pt>
                <c:pt idx="10">
                  <c:v>23.1</c:v>
                </c:pt>
                <c:pt idx="11">
                  <c:v>24.1</c:v>
                </c:pt>
                <c:pt idx="12">
                  <c:v>25.2</c:v>
                </c:pt>
                <c:pt idx="13">
                  <c:v>21.3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0A3-4E85-B7B0-96115104B83D}"/>
            </c:ext>
          </c:extLst>
        </c:ser>
        <c:ser>
          <c:idx val="1"/>
          <c:order val="1"/>
          <c:tx>
            <c:strRef>
              <c:f>Оценки!$K$6</c:f>
              <c:strCache>
                <c:ptCount val="1"/>
                <c:pt idx="0">
                  <c:v>БОЯ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Оценки!$A$7:$A$20</c:f>
              <c:numCache>
                <c:formatCode>0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Оценки!$K$7:$K$20</c:f>
              <c:numCache>
                <c:formatCode>0.0</c:formatCode>
                <c:ptCount val="14"/>
                <c:pt idx="1">
                  <c:v>27.2</c:v>
                </c:pt>
                <c:pt idx="2">
                  <c:v>28.8</c:v>
                </c:pt>
                <c:pt idx="3">
                  <c:v>25.4</c:v>
                </c:pt>
                <c:pt idx="4">
                  <c:v>29.1</c:v>
                </c:pt>
                <c:pt idx="5">
                  <c:v>44.2</c:v>
                </c:pt>
                <c:pt idx="6">
                  <c:v>46.7</c:v>
                </c:pt>
                <c:pt idx="7">
                  <c:v>43.3</c:v>
                </c:pt>
                <c:pt idx="8">
                  <c:v>29.7</c:v>
                </c:pt>
                <c:pt idx="9">
                  <c:v>29.6</c:v>
                </c:pt>
                <c:pt idx="10">
                  <c:v>25.5</c:v>
                </c:pt>
                <c:pt idx="11">
                  <c:v>23.5</c:v>
                </c:pt>
                <c:pt idx="12">
                  <c:v>24.5</c:v>
                </c:pt>
                <c:pt idx="13">
                  <c:v>21.5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0A3-4E85-B7B0-96115104B83D}"/>
            </c:ext>
          </c:extLst>
        </c:ser>
        <c:ser>
          <c:idx val="2"/>
          <c:order val="2"/>
          <c:tx>
            <c:strRef>
              <c:f>Оценки!$L$6</c:f>
              <c:strCache>
                <c:ptCount val="1"/>
                <c:pt idx="0">
                  <c:v>М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Оценки!$A$7:$A$20</c:f>
              <c:numCache>
                <c:formatCode>0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Оценки!$L$7:$L$20</c:f>
              <c:numCache>
                <c:formatCode>0.0</c:formatCode>
                <c:ptCount val="14"/>
                <c:pt idx="0">
                  <c:v>30.2</c:v>
                </c:pt>
                <c:pt idx="1">
                  <c:v>27.2</c:v>
                </c:pt>
                <c:pt idx="2">
                  <c:v>28.8</c:v>
                </c:pt>
                <c:pt idx="3">
                  <c:v>25.4</c:v>
                </c:pt>
                <c:pt idx="4">
                  <c:v>29.1</c:v>
                </c:pt>
                <c:pt idx="5">
                  <c:v>44.2</c:v>
                </c:pt>
                <c:pt idx="6">
                  <c:v>46.7</c:v>
                </c:pt>
                <c:pt idx="7">
                  <c:v>43.3</c:v>
                </c:pt>
                <c:pt idx="8">
                  <c:v>40</c:v>
                </c:pt>
                <c:pt idx="9">
                  <c:v>29.6</c:v>
                </c:pt>
                <c:pt idx="10">
                  <c:v>25.5</c:v>
                </c:pt>
                <c:pt idx="11">
                  <c:v>23.5</c:v>
                </c:pt>
                <c:pt idx="12">
                  <c:v>24.5</c:v>
                </c:pt>
                <c:pt idx="13">
                  <c:v>21.5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0A3-4E85-B7B0-96115104B83D}"/>
            </c:ext>
          </c:extLst>
        </c:ser>
        <c:ser>
          <c:idx val="3"/>
          <c:order val="3"/>
          <c:tx>
            <c:strRef>
              <c:f>Оценки!$M$6</c:f>
              <c:strCache>
                <c:ptCount val="1"/>
                <c:pt idx="0">
                  <c:v>БИР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Оценки!$A$7:$A$20</c:f>
              <c:numCache>
                <c:formatCode>0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Оценки!$M$7:$M$20</c:f>
              <c:numCache>
                <c:formatCode>0.0</c:formatCode>
                <c:ptCount val="14"/>
                <c:pt idx="0">
                  <c:v>24.7</c:v>
                </c:pt>
                <c:pt idx="1">
                  <c:v>26.6</c:v>
                </c:pt>
                <c:pt idx="2">
                  <c:v>25.6</c:v>
                </c:pt>
                <c:pt idx="3">
                  <c:v>42.6</c:v>
                </c:pt>
                <c:pt idx="4">
                  <c:v>39.200000000000003</c:v>
                </c:pt>
                <c:pt idx="5">
                  <c:v>47.1</c:v>
                </c:pt>
                <c:pt idx="6">
                  <c:v>53.9</c:v>
                </c:pt>
                <c:pt idx="7">
                  <c:v>41</c:v>
                </c:pt>
                <c:pt idx="8">
                  <c:v>37.1</c:v>
                </c:pt>
                <c:pt idx="9">
                  <c:v>29.8</c:v>
                </c:pt>
                <c:pt idx="10">
                  <c:v>38</c:v>
                </c:pt>
                <c:pt idx="11">
                  <c:v>22.5</c:v>
                </c:pt>
                <c:pt idx="12">
                  <c:v>21.7</c:v>
                </c:pt>
                <c:pt idx="13">
                  <c:v>22.9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40A3-4E85-B7B0-96115104B83D}"/>
            </c:ext>
          </c:extLst>
        </c:ser>
        <c:ser>
          <c:idx val="4"/>
          <c:order val="4"/>
          <c:tx>
            <c:strRef>
              <c:f>Оценки!$N$6</c:f>
              <c:strCache>
                <c:ptCount val="1"/>
                <c:pt idx="0">
                  <c:v>АДХ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Оценки!$A$7:$A$20</c:f>
              <c:numCache>
                <c:formatCode>0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Оценки!$N$7:$N$20</c:f>
              <c:numCache>
                <c:formatCode>0.0</c:formatCode>
                <c:ptCount val="14"/>
                <c:pt idx="7">
                  <c:v>45.4</c:v>
                </c:pt>
                <c:pt idx="8">
                  <c:v>39.799999999999997</c:v>
                </c:pt>
                <c:pt idx="9">
                  <c:v>38.799999999999997</c:v>
                </c:pt>
                <c:pt idx="10">
                  <c:v>29.1</c:v>
                </c:pt>
                <c:pt idx="11">
                  <c:v>27.6</c:v>
                </c:pt>
                <c:pt idx="12">
                  <c:v>28.7</c:v>
                </c:pt>
                <c:pt idx="13">
                  <c:v>25.5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40A3-4E85-B7B0-96115104B83D}"/>
            </c:ext>
          </c:extLst>
        </c:ser>
        <c:ser>
          <c:idx val="5"/>
          <c:order val="5"/>
          <c:tx>
            <c:strRef>
              <c:f>Оценки!$O$6</c:f>
              <c:strCache>
                <c:ptCount val="1"/>
                <c:pt idx="0">
                  <c:v>У1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Оценки!$A$7:$A$20</c:f>
              <c:numCache>
                <c:formatCode>0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Оценки!$O$7:$O$20</c:f>
              <c:numCache>
                <c:formatCode>0.0</c:formatCode>
                <c:ptCount val="14"/>
                <c:pt idx="0">
                  <c:v>30.2</c:v>
                </c:pt>
                <c:pt idx="1">
                  <c:v>29.6</c:v>
                </c:pt>
                <c:pt idx="2">
                  <c:v>35.4</c:v>
                </c:pt>
                <c:pt idx="3">
                  <c:v>33</c:v>
                </c:pt>
                <c:pt idx="4">
                  <c:v>28.2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40A3-4E85-B7B0-96115104B83D}"/>
            </c:ext>
          </c:extLst>
        </c:ser>
        <c:ser>
          <c:idx val="6"/>
          <c:order val="6"/>
          <c:tx>
            <c:strRef>
              <c:f>Оценки!$P$6</c:f>
              <c:strCache>
                <c:ptCount val="1"/>
                <c:pt idx="0">
                  <c:v>ПК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Оценки!$A$7:$A$20</c:f>
              <c:numCache>
                <c:formatCode>0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Оценки!$P$7:$P$20</c:f>
              <c:numCache>
                <c:formatCode>0.0</c:formatCode>
                <c:ptCount val="14"/>
                <c:pt idx="4">
                  <c:v>27.4</c:v>
                </c:pt>
                <c:pt idx="5">
                  <c:v>39.9</c:v>
                </c:pt>
                <c:pt idx="6">
                  <c:v>65.5</c:v>
                </c:pt>
                <c:pt idx="7">
                  <c:v>79.5</c:v>
                </c:pt>
                <c:pt idx="8">
                  <c:v>40.4</c:v>
                </c:pt>
                <c:pt idx="9">
                  <c:v>55.3</c:v>
                </c:pt>
                <c:pt idx="10">
                  <c:v>22.3</c:v>
                </c:pt>
                <c:pt idx="11">
                  <c:v>23.1</c:v>
                </c:pt>
                <c:pt idx="12">
                  <c:v>23.3</c:v>
                </c:pt>
                <c:pt idx="13">
                  <c:v>19.899999999999999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40A3-4E85-B7B0-96115104B83D}"/>
            </c:ext>
          </c:extLst>
        </c:ser>
        <c:ser>
          <c:idx val="7"/>
          <c:order val="7"/>
          <c:tx>
            <c:strRef>
              <c:f>Оценки!$Q$6</c:f>
              <c:strCache>
                <c:ptCount val="1"/>
                <c:pt idx="0">
                  <c:v>АО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Оценки!$A$7:$A$20</c:f>
              <c:numCache>
                <c:formatCode>0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Оценки!$Q$7:$Q$20</c:f>
              <c:numCache>
                <c:formatCode>0.0</c:formatCode>
                <c:ptCount val="14"/>
                <c:pt idx="5">
                  <c:v>28.1</c:v>
                </c:pt>
                <c:pt idx="6">
                  <c:v>39.4</c:v>
                </c:pt>
                <c:pt idx="7">
                  <c:v>49.9</c:v>
                </c:pt>
                <c:pt idx="8">
                  <c:v>42.6</c:v>
                </c:pt>
                <c:pt idx="9">
                  <c:v>43</c:v>
                </c:pt>
                <c:pt idx="10">
                  <c:v>28.1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40A3-4E85-B7B0-96115104B83D}"/>
            </c:ext>
          </c:extLst>
        </c:ser>
        <c:ser>
          <c:idx val="8"/>
          <c:order val="8"/>
          <c:tx>
            <c:strRef>
              <c:f>Оценки!$R$6</c:f>
              <c:strCache>
                <c:ptCount val="1"/>
                <c:pt idx="0">
                  <c:v>АТ</c:v>
                </c:pt>
              </c:strCache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Оценки!$A$7:$A$20</c:f>
              <c:numCache>
                <c:formatCode>0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Оценки!$R$7:$R$20</c:f>
              <c:numCache>
                <c:formatCode>0.0</c:formatCode>
                <c:ptCount val="14"/>
                <c:pt idx="5">
                  <c:v>30.2</c:v>
                </c:pt>
                <c:pt idx="6">
                  <c:v>64</c:v>
                </c:pt>
                <c:pt idx="7">
                  <c:v>56.1</c:v>
                </c:pt>
                <c:pt idx="8">
                  <c:v>41.4</c:v>
                </c:pt>
                <c:pt idx="9">
                  <c:v>47.1</c:v>
                </c:pt>
                <c:pt idx="10">
                  <c:v>28.7</c:v>
                </c:pt>
                <c:pt idx="11">
                  <c:v>22.4</c:v>
                </c:pt>
                <c:pt idx="12">
                  <c:v>23.8</c:v>
                </c:pt>
                <c:pt idx="13">
                  <c:v>22.7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40A3-4E85-B7B0-96115104B8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00224776"/>
        <c:axId val="700225104"/>
      </c:scatterChart>
      <c:valAx>
        <c:axId val="700224776"/>
        <c:scaling>
          <c:orientation val="minMax"/>
          <c:max val="1926"/>
          <c:min val="1913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00225104"/>
        <c:crosses val="autoZero"/>
        <c:crossBetween val="midCat"/>
        <c:majorUnit val="1"/>
      </c:valAx>
      <c:valAx>
        <c:axId val="700225104"/>
        <c:scaling>
          <c:orientation val="minMax"/>
          <c:max val="85"/>
          <c:min val="1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00224776"/>
        <c:crosses val="autoZero"/>
        <c:crossBetween val="midCat"/>
        <c:majorUnit val="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800" b="1" i="0" baseline="0"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92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Численность населения в границах территории РСФСР-1991 </a:t>
            </a:r>
          </a:p>
          <a:p>
            <a:pPr>
              <a:defRPr/>
            </a:pPr>
            <a:r>
              <a:rPr lang="ru-RU"/>
              <a:t>на начало календарного</a:t>
            </a:r>
            <a:r>
              <a:rPr lang="ru-RU" baseline="0"/>
              <a:t> </a:t>
            </a:r>
            <a:r>
              <a:rPr lang="ru-RU"/>
              <a:t>года </a:t>
            </a:r>
            <a:r>
              <a:rPr lang="en-US"/>
              <a:t>(</a:t>
            </a:r>
            <a:r>
              <a:rPr lang="ru-RU"/>
              <a:t>тыс.</a:t>
            </a:r>
            <a:r>
              <a:rPr lang="ru-RU" baseline="0"/>
              <a:t> чел.)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92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'Боярский-мод'!$I$3</c:f>
              <c:strCache>
                <c:ptCount val="1"/>
                <c:pt idx="0">
                  <c:v>чн-1 янв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'Боярский-мод'!$A$4:$A$17</c:f>
              <c:numCache>
                <c:formatCode>General</c:formatCode>
                <c:ptCount val="14"/>
                <c:pt idx="0">
                  <c:v>1914</c:v>
                </c:pt>
                <c:pt idx="1">
                  <c:v>1915</c:v>
                </c:pt>
                <c:pt idx="2">
                  <c:v>1916</c:v>
                </c:pt>
                <c:pt idx="3">
                  <c:v>1917</c:v>
                </c:pt>
                <c:pt idx="4">
                  <c:v>1918</c:v>
                </c:pt>
                <c:pt idx="5">
                  <c:v>1919</c:v>
                </c:pt>
                <c:pt idx="6">
                  <c:v>1920</c:v>
                </c:pt>
                <c:pt idx="7">
                  <c:v>1921</c:v>
                </c:pt>
                <c:pt idx="8">
                  <c:v>1922</c:v>
                </c:pt>
                <c:pt idx="9">
                  <c:v>1923</c:v>
                </c:pt>
                <c:pt idx="10">
                  <c:v>1924</c:v>
                </c:pt>
                <c:pt idx="11">
                  <c:v>1925</c:v>
                </c:pt>
                <c:pt idx="12">
                  <c:v>1926</c:v>
                </c:pt>
                <c:pt idx="13">
                  <c:v>1927</c:v>
                </c:pt>
              </c:numCache>
            </c:numRef>
          </c:xVal>
          <c:yVal>
            <c:numRef>
              <c:f>'Боярский-мод'!$I$4:$I$17</c:f>
              <c:numCache>
                <c:formatCode>#,##0</c:formatCode>
                <c:ptCount val="14"/>
                <c:pt idx="0">
                  <c:v>89296</c:v>
                </c:pt>
                <c:pt idx="1">
                  <c:v>90834</c:v>
                </c:pt>
                <c:pt idx="2">
                  <c:v>91464.705466725878</c:v>
                </c:pt>
                <c:pt idx="3">
                  <c:v>91613.233142474972</c:v>
                </c:pt>
                <c:pt idx="4">
                  <c:v>91335.447134070811</c:v>
                </c:pt>
                <c:pt idx="5">
                  <c:v>90120.517248473203</c:v>
                </c:pt>
                <c:pt idx="6">
                  <c:v>87873.539753026736</c:v>
                </c:pt>
                <c:pt idx="7">
                  <c:v>85866.07482440352</c:v>
                </c:pt>
                <c:pt idx="8">
                  <c:v>86157.020984326606</c:v>
                </c:pt>
                <c:pt idx="9">
                  <c:v>86480.516983654161</c:v>
                </c:pt>
                <c:pt idx="10">
                  <c:v>88168.062738331486</c:v>
                </c:pt>
                <c:pt idx="11">
                  <c:v>89787.490877744567</c:v>
                </c:pt>
                <c:pt idx="12">
                  <c:v>91503.155295409699</c:v>
                </c:pt>
                <c:pt idx="13">
                  <c:v>93404.211967663519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AF4-4403-BDE3-EC361BCB48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42210048"/>
        <c:axId val="1712460032"/>
      </c:scatterChart>
      <c:valAx>
        <c:axId val="742210048"/>
        <c:scaling>
          <c:orientation val="minMax"/>
          <c:max val="1926"/>
          <c:min val="1914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712460032"/>
        <c:crosses val="autoZero"/>
        <c:crossBetween val="midCat"/>
        <c:majorUnit val="1"/>
      </c:valAx>
      <c:valAx>
        <c:axId val="17124600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422100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600" b="1" i="0" baseline="0"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16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Рождаемость, смертность и естественный прирост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16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3"/>
          <c:order val="3"/>
          <c:tx>
            <c:strRef>
              <c:f>'Боярский-мод'!$E$3</c:f>
              <c:strCache>
                <c:ptCount val="1"/>
                <c:pt idx="0">
                  <c:v>рождаемость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B050"/>
                </a:solidFill>
              </a:ln>
              <a:effectLst/>
            </c:spPr>
          </c:marker>
          <c:xVal>
            <c:numRef>
              <c:f>'Боярский-мод'!$A$4:$A$16</c:f>
              <c:numCache>
                <c:formatCode>General</c:formatCode>
                <c:ptCount val="13"/>
                <c:pt idx="0">
                  <c:v>1914</c:v>
                </c:pt>
                <c:pt idx="1">
                  <c:v>1915</c:v>
                </c:pt>
                <c:pt idx="2">
                  <c:v>1916</c:v>
                </c:pt>
                <c:pt idx="3">
                  <c:v>1917</c:v>
                </c:pt>
                <c:pt idx="4">
                  <c:v>1918</c:v>
                </c:pt>
                <c:pt idx="5">
                  <c:v>1919</c:v>
                </c:pt>
                <c:pt idx="6">
                  <c:v>1920</c:v>
                </c:pt>
                <c:pt idx="7">
                  <c:v>1921</c:v>
                </c:pt>
                <c:pt idx="8">
                  <c:v>1922</c:v>
                </c:pt>
                <c:pt idx="9">
                  <c:v>1923</c:v>
                </c:pt>
                <c:pt idx="10">
                  <c:v>1924</c:v>
                </c:pt>
                <c:pt idx="11">
                  <c:v>1925</c:v>
                </c:pt>
                <c:pt idx="12">
                  <c:v>1926</c:v>
                </c:pt>
              </c:numCache>
            </c:numRef>
          </c:xVal>
          <c:yVal>
            <c:numRef>
              <c:f>'Боярский-мод'!$E$4:$E$16</c:f>
              <c:numCache>
                <c:formatCode>0.00</c:formatCode>
                <c:ptCount val="13"/>
                <c:pt idx="0" formatCode="General">
                  <c:v>48.4</c:v>
                </c:pt>
                <c:pt idx="1">
                  <c:v>35.9</c:v>
                </c:pt>
                <c:pt idx="2">
                  <c:v>27.1</c:v>
                </c:pt>
                <c:pt idx="3">
                  <c:v>26.3</c:v>
                </c:pt>
                <c:pt idx="4">
                  <c:v>33.984866646615274</c:v>
                </c:pt>
                <c:pt idx="5">
                  <c:v>28.852844576461628</c:v>
                </c:pt>
                <c:pt idx="6">
                  <c:v>29.096792196131901</c:v>
                </c:pt>
                <c:pt idx="7">
                  <c:v>35.99223648423974</c:v>
                </c:pt>
                <c:pt idx="8">
                  <c:v>35.927283178846018</c:v>
                </c:pt>
                <c:pt idx="9">
                  <c:v>45.5</c:v>
                </c:pt>
                <c:pt idx="10">
                  <c:v>42.2</c:v>
                </c:pt>
                <c:pt idx="11">
                  <c:v>43.9</c:v>
                </c:pt>
                <c:pt idx="12">
                  <c:v>42.5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13C8-4795-A2E6-961E87DC537C}"/>
            </c:ext>
          </c:extLst>
        </c:ser>
        <c:ser>
          <c:idx val="4"/>
          <c:order val="4"/>
          <c:tx>
            <c:strRef>
              <c:f>'Боярский-мод'!$F$3</c:f>
              <c:strCache>
                <c:ptCount val="1"/>
                <c:pt idx="0">
                  <c:v>смертность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'Боярский-мод'!$A$4:$A$16</c:f>
              <c:numCache>
                <c:formatCode>General</c:formatCode>
                <c:ptCount val="13"/>
                <c:pt idx="0">
                  <c:v>1914</c:v>
                </c:pt>
                <c:pt idx="1">
                  <c:v>1915</c:v>
                </c:pt>
                <c:pt idx="2">
                  <c:v>1916</c:v>
                </c:pt>
                <c:pt idx="3">
                  <c:v>1917</c:v>
                </c:pt>
                <c:pt idx="4">
                  <c:v>1918</c:v>
                </c:pt>
                <c:pt idx="5">
                  <c:v>1919</c:v>
                </c:pt>
                <c:pt idx="6">
                  <c:v>1920</c:v>
                </c:pt>
                <c:pt idx="7">
                  <c:v>1921</c:v>
                </c:pt>
                <c:pt idx="8">
                  <c:v>1922</c:v>
                </c:pt>
                <c:pt idx="9">
                  <c:v>1923</c:v>
                </c:pt>
                <c:pt idx="10">
                  <c:v>1924</c:v>
                </c:pt>
                <c:pt idx="11">
                  <c:v>1925</c:v>
                </c:pt>
                <c:pt idx="12">
                  <c:v>1926</c:v>
                </c:pt>
              </c:numCache>
            </c:numRef>
          </c:xVal>
          <c:yVal>
            <c:numRef>
              <c:f>'Боярский-мод'!$F$4:$F$16</c:f>
              <c:numCache>
                <c:formatCode>0.00</c:formatCode>
                <c:ptCount val="13"/>
                <c:pt idx="0" formatCode="General">
                  <c:v>31.5</c:v>
                </c:pt>
                <c:pt idx="1">
                  <c:v>28.8</c:v>
                </c:pt>
                <c:pt idx="2">
                  <c:v>25.4</c:v>
                </c:pt>
                <c:pt idx="3">
                  <c:v>29.1</c:v>
                </c:pt>
                <c:pt idx="4">
                  <c:v>45.130087340000003</c:v>
                </c:pt>
                <c:pt idx="5">
                  <c:v>51.308285950000005</c:v>
                </c:pt>
                <c:pt idx="6">
                  <c:v>47.917996959999996</c:v>
                </c:pt>
                <c:pt idx="7">
                  <c:v>30.77913762</c:v>
                </c:pt>
                <c:pt idx="8">
                  <c:v>31.472460480000002</c:v>
                </c:pt>
                <c:pt idx="9">
                  <c:v>25.5</c:v>
                </c:pt>
                <c:pt idx="10">
                  <c:v>23.5</c:v>
                </c:pt>
                <c:pt idx="11">
                  <c:v>24.5</c:v>
                </c:pt>
                <c:pt idx="12">
                  <c:v>21.5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13C8-4795-A2E6-961E87DC537C}"/>
            </c:ext>
          </c:extLst>
        </c:ser>
        <c:ser>
          <c:idx val="5"/>
          <c:order val="5"/>
          <c:tx>
            <c:strRef>
              <c:f>'Боярский-мод'!$G$3</c:f>
              <c:strCache>
                <c:ptCount val="1"/>
                <c:pt idx="0">
                  <c:v>естественный прирост</c:v>
                </c:pt>
              </c:strCache>
            </c:strRef>
          </c:tx>
          <c:spPr>
            <a:ln w="19050" cap="rnd">
              <a:solidFill>
                <a:srgbClr val="00B0F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B0F0"/>
                </a:solidFill>
              </a:ln>
              <a:effectLst/>
            </c:spPr>
          </c:marker>
          <c:xVal>
            <c:numRef>
              <c:f>'Боярский-мод'!$A$4:$A$16</c:f>
              <c:numCache>
                <c:formatCode>General</c:formatCode>
                <c:ptCount val="13"/>
                <c:pt idx="0">
                  <c:v>1914</c:v>
                </c:pt>
                <c:pt idx="1">
                  <c:v>1915</c:v>
                </c:pt>
                <c:pt idx="2">
                  <c:v>1916</c:v>
                </c:pt>
                <c:pt idx="3">
                  <c:v>1917</c:v>
                </c:pt>
                <c:pt idx="4">
                  <c:v>1918</c:v>
                </c:pt>
                <c:pt idx="5">
                  <c:v>1919</c:v>
                </c:pt>
                <c:pt idx="6">
                  <c:v>1920</c:v>
                </c:pt>
                <c:pt idx="7">
                  <c:v>1921</c:v>
                </c:pt>
                <c:pt idx="8">
                  <c:v>1922</c:v>
                </c:pt>
                <c:pt idx="9">
                  <c:v>1923</c:v>
                </c:pt>
                <c:pt idx="10">
                  <c:v>1924</c:v>
                </c:pt>
                <c:pt idx="11">
                  <c:v>1925</c:v>
                </c:pt>
                <c:pt idx="12">
                  <c:v>1926</c:v>
                </c:pt>
              </c:numCache>
            </c:numRef>
          </c:xVal>
          <c:yVal>
            <c:numRef>
              <c:f>'Боярский-мод'!$G$4:$G$16</c:f>
              <c:numCache>
                <c:formatCode>0.00</c:formatCode>
                <c:ptCount val="13"/>
                <c:pt idx="1">
                  <c:v>7.0999999999999979</c:v>
                </c:pt>
                <c:pt idx="2">
                  <c:v>1.7000000000000028</c:v>
                </c:pt>
                <c:pt idx="3">
                  <c:v>-2.8000000000000007</c:v>
                </c:pt>
                <c:pt idx="4">
                  <c:v>-11.145220693384729</c:v>
                </c:pt>
                <c:pt idx="5">
                  <c:v>-22.455441373538378</c:v>
                </c:pt>
                <c:pt idx="6">
                  <c:v>-18.821204763868096</c:v>
                </c:pt>
                <c:pt idx="7">
                  <c:v>5.2130988642397398</c:v>
                </c:pt>
                <c:pt idx="8">
                  <c:v>4.4548226988460158</c:v>
                </c:pt>
                <c:pt idx="9">
                  <c:v>20</c:v>
                </c:pt>
                <c:pt idx="10">
                  <c:v>18.700000000000003</c:v>
                </c:pt>
                <c:pt idx="11">
                  <c:v>19.399999999999999</c:v>
                </c:pt>
                <c:pt idx="12">
                  <c:v>21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13C8-4795-A2E6-961E87DC53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66172592"/>
        <c:axId val="1866179792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'Боярский-мод'!$B$3</c15:sqref>
                        </c15:formulaRef>
                      </c:ext>
                    </c:extLst>
                    <c:strCache>
                      <c:ptCount val="1"/>
                      <c:pt idx="0">
                        <c:v>р</c:v>
                      </c:pt>
                    </c:strCache>
                  </c:strRef>
                </c:tx>
                <c:spPr>
                  <a:ln w="19050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1"/>
                    </a:solidFill>
                    <a:ln w="9525">
                      <a:solidFill>
                        <a:schemeClr val="accent1"/>
                      </a:solidFill>
                    </a:ln>
                    <a:effectLst/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'Боярский-мод'!$A$4:$A$16</c15:sqref>
                        </c15:formulaRef>
                      </c:ext>
                    </c:extLst>
                    <c:numCache>
                      <c:formatCode>General</c:formatCode>
                      <c:ptCount val="13"/>
                      <c:pt idx="0">
                        <c:v>1914</c:v>
                      </c:pt>
                      <c:pt idx="1">
                        <c:v>1915</c:v>
                      </c:pt>
                      <c:pt idx="2">
                        <c:v>1916</c:v>
                      </c:pt>
                      <c:pt idx="3">
                        <c:v>1917</c:v>
                      </c:pt>
                      <c:pt idx="4">
                        <c:v>1918</c:v>
                      </c:pt>
                      <c:pt idx="5">
                        <c:v>1919</c:v>
                      </c:pt>
                      <c:pt idx="6">
                        <c:v>1920</c:v>
                      </c:pt>
                      <c:pt idx="7">
                        <c:v>1921</c:v>
                      </c:pt>
                      <c:pt idx="8">
                        <c:v>1922</c:v>
                      </c:pt>
                      <c:pt idx="9">
                        <c:v>1923</c:v>
                      </c:pt>
                      <c:pt idx="10">
                        <c:v>1924</c:v>
                      </c:pt>
                      <c:pt idx="11">
                        <c:v>1925</c:v>
                      </c:pt>
                      <c:pt idx="12">
                        <c:v>1926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'Боярский-мод'!$B$4:$B$16</c15:sqref>
                        </c15:formulaRef>
                      </c:ext>
                    </c:extLst>
                    <c:numCache>
                      <c:formatCode>General</c:formatCode>
                      <c:ptCount val="13"/>
                      <c:pt idx="1">
                        <c:v>35.9</c:v>
                      </c:pt>
                      <c:pt idx="2">
                        <c:v>27.1</c:v>
                      </c:pt>
                      <c:pt idx="3">
                        <c:v>26.3</c:v>
                      </c:pt>
                      <c:pt idx="4">
                        <c:v>34.700000000000003</c:v>
                      </c:pt>
                      <c:pt idx="5">
                        <c:v>31.7</c:v>
                      </c:pt>
                      <c:pt idx="6">
                        <c:v>32.200000000000003</c:v>
                      </c:pt>
                      <c:pt idx="7">
                        <c:v>37.299999999999997</c:v>
                      </c:pt>
                      <c:pt idx="8">
                        <c:v>38.200000000000003</c:v>
                      </c:pt>
                      <c:pt idx="9">
                        <c:v>45.5</c:v>
                      </c:pt>
                      <c:pt idx="10">
                        <c:v>42.2</c:v>
                      </c:pt>
                      <c:pt idx="11">
                        <c:v>43.9</c:v>
                      </c:pt>
                      <c:pt idx="12">
                        <c:v>42.5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0-13C8-4795-A2E6-961E87DC537C}"/>
                  </c:ext>
                </c:extLst>
              </c15:ser>
            </c15:filteredScatterSeries>
            <c15:filteredScatterSeries>
              <c15:ser>
                <c:idx val="1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'Боярский-мод'!$C$3</c15:sqref>
                        </c15:formulaRef>
                      </c:ext>
                    </c:extLst>
                    <c:strCache>
                      <c:ptCount val="1"/>
                      <c:pt idx="0">
                        <c:v>с</c:v>
                      </c:pt>
                    </c:strCache>
                  </c:strRef>
                </c:tx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2"/>
                    </a:solidFill>
                    <a:ln w="9525">
                      <a:solidFill>
                        <a:schemeClr val="accent2"/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'Боярский-мод'!$A$4:$A$16</c15:sqref>
                        </c15:formulaRef>
                      </c:ext>
                    </c:extLst>
                    <c:numCache>
                      <c:formatCode>General</c:formatCode>
                      <c:ptCount val="13"/>
                      <c:pt idx="0">
                        <c:v>1914</c:v>
                      </c:pt>
                      <c:pt idx="1">
                        <c:v>1915</c:v>
                      </c:pt>
                      <c:pt idx="2">
                        <c:v>1916</c:v>
                      </c:pt>
                      <c:pt idx="3">
                        <c:v>1917</c:v>
                      </c:pt>
                      <c:pt idx="4">
                        <c:v>1918</c:v>
                      </c:pt>
                      <c:pt idx="5">
                        <c:v>1919</c:v>
                      </c:pt>
                      <c:pt idx="6">
                        <c:v>1920</c:v>
                      </c:pt>
                      <c:pt idx="7">
                        <c:v>1921</c:v>
                      </c:pt>
                      <c:pt idx="8">
                        <c:v>1922</c:v>
                      </c:pt>
                      <c:pt idx="9">
                        <c:v>1923</c:v>
                      </c:pt>
                      <c:pt idx="10">
                        <c:v>1924</c:v>
                      </c:pt>
                      <c:pt idx="11">
                        <c:v>1925</c:v>
                      </c:pt>
                      <c:pt idx="12">
                        <c:v>1926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'Боярский-мод'!$C$4:$C$16</c15:sqref>
                        </c15:formulaRef>
                      </c:ext>
                    </c:extLst>
                    <c:numCache>
                      <c:formatCode>General</c:formatCode>
                      <c:ptCount val="13"/>
                      <c:pt idx="1">
                        <c:v>28.8</c:v>
                      </c:pt>
                      <c:pt idx="2">
                        <c:v>25.4</c:v>
                      </c:pt>
                      <c:pt idx="3">
                        <c:v>29.1</c:v>
                      </c:pt>
                      <c:pt idx="4">
                        <c:v>44.2</c:v>
                      </c:pt>
                      <c:pt idx="5">
                        <c:v>46.7</c:v>
                      </c:pt>
                      <c:pt idx="6">
                        <c:v>43.3</c:v>
                      </c:pt>
                      <c:pt idx="7">
                        <c:v>29.7</c:v>
                      </c:pt>
                      <c:pt idx="8">
                        <c:v>29.6</c:v>
                      </c:pt>
                      <c:pt idx="9">
                        <c:v>25.5</c:v>
                      </c:pt>
                      <c:pt idx="10">
                        <c:v>23.5</c:v>
                      </c:pt>
                      <c:pt idx="11">
                        <c:v>24.5</c:v>
                      </c:pt>
                      <c:pt idx="12">
                        <c:v>21.5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13C8-4795-A2E6-961E87DC537C}"/>
                  </c:ext>
                </c:extLst>
              </c15:ser>
            </c15:filteredScatterSeries>
            <c15:filteredScatter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'Боярский-мод'!$D$3</c15:sqref>
                        </c15:formulaRef>
                      </c:ext>
                    </c:extLst>
                    <c:strCache>
                      <c:ptCount val="1"/>
                      <c:pt idx="0">
                        <c:v>еп</c:v>
                      </c:pt>
                    </c:strCache>
                  </c:strRef>
                </c:tx>
                <c:spPr>
                  <a:ln w="19050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3"/>
                    </a:solidFill>
                    <a:ln w="9525">
                      <a:solidFill>
                        <a:schemeClr val="accent3"/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'Боярский-мод'!$A$4:$A$16</c15:sqref>
                        </c15:formulaRef>
                      </c:ext>
                    </c:extLst>
                    <c:numCache>
                      <c:formatCode>General</c:formatCode>
                      <c:ptCount val="13"/>
                      <c:pt idx="0">
                        <c:v>1914</c:v>
                      </c:pt>
                      <c:pt idx="1">
                        <c:v>1915</c:v>
                      </c:pt>
                      <c:pt idx="2">
                        <c:v>1916</c:v>
                      </c:pt>
                      <c:pt idx="3">
                        <c:v>1917</c:v>
                      </c:pt>
                      <c:pt idx="4">
                        <c:v>1918</c:v>
                      </c:pt>
                      <c:pt idx="5">
                        <c:v>1919</c:v>
                      </c:pt>
                      <c:pt idx="6">
                        <c:v>1920</c:v>
                      </c:pt>
                      <c:pt idx="7">
                        <c:v>1921</c:v>
                      </c:pt>
                      <c:pt idx="8">
                        <c:v>1922</c:v>
                      </c:pt>
                      <c:pt idx="9">
                        <c:v>1923</c:v>
                      </c:pt>
                      <c:pt idx="10">
                        <c:v>1924</c:v>
                      </c:pt>
                      <c:pt idx="11">
                        <c:v>1925</c:v>
                      </c:pt>
                      <c:pt idx="12">
                        <c:v>1926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'Боярский-мод'!$D$4:$D$16</c15:sqref>
                        </c15:formulaRef>
                      </c:ext>
                    </c:extLst>
                    <c:numCache>
                      <c:formatCode>General</c:formatCode>
                      <c:ptCount val="13"/>
                      <c:pt idx="1">
                        <c:v>7.0999999999999979</c:v>
                      </c:pt>
                      <c:pt idx="2">
                        <c:v>1.7000000000000028</c:v>
                      </c:pt>
                      <c:pt idx="3">
                        <c:v>-2.8000000000000007</c:v>
                      </c:pt>
                      <c:pt idx="4">
                        <c:v>-9.5</c:v>
                      </c:pt>
                      <c:pt idx="5">
                        <c:v>-15.000000000000004</c:v>
                      </c:pt>
                      <c:pt idx="6">
                        <c:v>-11.099999999999994</c:v>
                      </c:pt>
                      <c:pt idx="7">
                        <c:v>7.5999999999999979</c:v>
                      </c:pt>
                      <c:pt idx="8">
                        <c:v>8.6000000000000014</c:v>
                      </c:pt>
                      <c:pt idx="9">
                        <c:v>20</c:v>
                      </c:pt>
                      <c:pt idx="10">
                        <c:v>18.700000000000003</c:v>
                      </c:pt>
                      <c:pt idx="11">
                        <c:v>19.399999999999999</c:v>
                      </c:pt>
                      <c:pt idx="12">
                        <c:v>21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13C8-4795-A2E6-961E87DC537C}"/>
                  </c:ext>
                </c:extLst>
              </c15:ser>
            </c15:filteredScatterSeries>
          </c:ext>
        </c:extLst>
      </c:scatterChart>
      <c:valAx>
        <c:axId val="1866172592"/>
        <c:scaling>
          <c:orientation val="minMax"/>
          <c:max val="1926"/>
          <c:min val="1914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866179792"/>
        <c:crosses val="autoZero"/>
        <c:crossBetween val="midCat"/>
        <c:majorUnit val="1"/>
      </c:valAx>
      <c:valAx>
        <c:axId val="1866179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8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промилле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8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86617259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800" b="1" i="0" baseline="0"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16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work!$E$3</c:f>
              <c:strCache>
                <c:ptCount val="1"/>
                <c:pt idx="0">
                  <c:v>У1-УЧ-мод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work!$A$4:$A$18</c:f>
              <c:numCache>
                <c:formatCode>0</c:formatCode>
                <c:ptCount val="1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  <c:pt idx="14">
                  <c:v>1927</c:v>
                </c:pt>
              </c:numCache>
            </c:numRef>
          </c:xVal>
          <c:yVal>
            <c:numRef>
              <c:f>work!$E$4:$E$18</c:f>
              <c:numCache>
                <c:formatCode>0.0</c:formatCode>
                <c:ptCount val="15"/>
                <c:pt idx="0">
                  <c:v>48.503198294243063</c:v>
                </c:pt>
                <c:pt idx="1">
                  <c:v>48.400000000000006</c:v>
                </c:pt>
                <c:pt idx="2">
                  <c:v>40.969722814498937</c:v>
                </c:pt>
                <c:pt idx="3">
                  <c:v>30.856289978678035</c:v>
                </c:pt>
                <c:pt idx="4">
                  <c:v>24.664392324093818</c:v>
                </c:pt>
                <c:pt idx="5">
                  <c:v>33.023454157782517</c:v>
                </c:pt>
                <c:pt idx="6">
                  <c:v>31.991471215351812</c:v>
                </c:pt>
                <c:pt idx="7">
                  <c:v>32.197867803837951</c:v>
                </c:pt>
                <c:pt idx="8">
                  <c:v>36.63539445628998</c:v>
                </c:pt>
                <c:pt idx="9">
                  <c:v>39.262823027718547</c:v>
                </c:pt>
                <c:pt idx="10">
                  <c:v>48.928375266524519</c:v>
                </c:pt>
                <c:pt idx="11">
                  <c:v>46.556878464818759</c:v>
                </c:pt>
                <c:pt idx="12" formatCode="General">
                  <c:v>48.7</c:v>
                </c:pt>
                <c:pt idx="13" formatCode="General">
                  <c:v>47</c:v>
                </c:pt>
                <c:pt idx="14" formatCode="General">
                  <c:v>49.6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FC2-4A48-91EA-4B8A3E76A8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6443728"/>
        <c:axId val="726443072"/>
      </c:scatterChart>
      <c:valAx>
        <c:axId val="726443728"/>
        <c:scaling>
          <c:orientation val="minMax"/>
          <c:max val="1927"/>
          <c:min val="1914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26443072"/>
        <c:crosses val="autoZero"/>
        <c:crossBetween val="midCat"/>
        <c:majorUnit val="1"/>
      </c:valAx>
      <c:valAx>
        <c:axId val="726443072"/>
        <c:scaling>
          <c:orientation val="minMax"/>
          <c:max val="55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264437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span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800" b="1" i="0" baseline="0"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16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sz="1800" b="1" i="0" baseline="0">
                <a:effectLst/>
              </a:rPr>
              <a:t>оценки рождаемости</a:t>
            </a:r>
            <a:r>
              <a:rPr lang="en-US" sz="1800" b="1" i="0" baseline="0">
                <a:effectLst/>
              </a:rPr>
              <a:t> (</a:t>
            </a:r>
            <a:r>
              <a:rPr lang="ru-RU" sz="1800" b="1" i="0" baseline="0">
                <a:effectLst/>
              </a:rPr>
              <a:t>‰)</a:t>
            </a:r>
            <a:endParaRPr lang="ru-RU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16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Оценки!$B$6</c:f>
              <c:strCache>
                <c:ptCount val="1"/>
                <c:pt idx="0">
                  <c:v>УЧ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Оценки!$A$7:$A$20</c:f>
              <c:numCache>
                <c:formatCode>0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Оценки!$B$7:$B$20</c:f>
              <c:numCache>
                <c:formatCode>0.0</c:formatCode>
                <c:ptCount val="14"/>
                <c:pt idx="7">
                  <c:v>30.9</c:v>
                </c:pt>
                <c:pt idx="8">
                  <c:v>32.6</c:v>
                </c:pt>
                <c:pt idx="9">
                  <c:v>33.4</c:v>
                </c:pt>
                <c:pt idx="10">
                  <c:v>42.8</c:v>
                </c:pt>
                <c:pt idx="11">
                  <c:v>43.8</c:v>
                </c:pt>
                <c:pt idx="12">
                  <c:v>45.9</c:v>
                </c:pt>
                <c:pt idx="13">
                  <c:v>44.7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923-41B5-915F-182EF856E89A}"/>
            </c:ext>
          </c:extLst>
        </c:ser>
        <c:ser>
          <c:idx val="1"/>
          <c:order val="1"/>
          <c:tx>
            <c:strRef>
              <c:f>Оценки!$C$6</c:f>
              <c:strCache>
                <c:ptCount val="1"/>
                <c:pt idx="0">
                  <c:v>БОЯ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Оценки!$A$7:$A$20</c:f>
              <c:numCache>
                <c:formatCode>0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Оценки!$C$7:$C$20</c:f>
              <c:numCache>
                <c:formatCode>0.0</c:formatCode>
                <c:ptCount val="14"/>
                <c:pt idx="1">
                  <c:v>43.7</c:v>
                </c:pt>
                <c:pt idx="2">
                  <c:v>35.9</c:v>
                </c:pt>
                <c:pt idx="3">
                  <c:v>27.1</c:v>
                </c:pt>
                <c:pt idx="4">
                  <c:v>26.3</c:v>
                </c:pt>
                <c:pt idx="5">
                  <c:v>34.700000000000003</c:v>
                </c:pt>
                <c:pt idx="6">
                  <c:v>31.7</c:v>
                </c:pt>
                <c:pt idx="7">
                  <c:v>32.200000000000003</c:v>
                </c:pt>
                <c:pt idx="8">
                  <c:v>37.299999999999997</c:v>
                </c:pt>
                <c:pt idx="9">
                  <c:v>38.200000000000003</c:v>
                </c:pt>
                <c:pt idx="10">
                  <c:v>45.5</c:v>
                </c:pt>
                <c:pt idx="11">
                  <c:v>42.2</c:v>
                </c:pt>
                <c:pt idx="12">
                  <c:v>43.9</c:v>
                </c:pt>
                <c:pt idx="13">
                  <c:v>42.5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923-41B5-915F-182EF856E89A}"/>
            </c:ext>
          </c:extLst>
        </c:ser>
        <c:ser>
          <c:idx val="2"/>
          <c:order val="2"/>
          <c:tx>
            <c:strRef>
              <c:f>Оценки!$D$6</c:f>
              <c:strCache>
                <c:ptCount val="1"/>
                <c:pt idx="0">
                  <c:v>М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Оценки!$A$7:$A$20</c:f>
              <c:numCache>
                <c:formatCode>0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Оценки!$D$7:$D$20</c:f>
              <c:numCache>
                <c:formatCode>0.0</c:formatCode>
                <c:ptCount val="14"/>
                <c:pt idx="0">
                  <c:v>47</c:v>
                </c:pt>
                <c:pt idx="1">
                  <c:v>43.7</c:v>
                </c:pt>
                <c:pt idx="2">
                  <c:v>35.9</c:v>
                </c:pt>
                <c:pt idx="3">
                  <c:v>27.1</c:v>
                </c:pt>
                <c:pt idx="4">
                  <c:v>26.3</c:v>
                </c:pt>
                <c:pt idx="5">
                  <c:v>34.700000000000003</c:v>
                </c:pt>
                <c:pt idx="6">
                  <c:v>31.7</c:v>
                </c:pt>
                <c:pt idx="7">
                  <c:v>32.200000000000003</c:v>
                </c:pt>
                <c:pt idx="8">
                  <c:v>37.299999999999997</c:v>
                </c:pt>
                <c:pt idx="9">
                  <c:v>38.200000000000003</c:v>
                </c:pt>
                <c:pt idx="10">
                  <c:v>45.5</c:v>
                </c:pt>
                <c:pt idx="11">
                  <c:v>42.2</c:v>
                </c:pt>
                <c:pt idx="12">
                  <c:v>43.9</c:v>
                </c:pt>
                <c:pt idx="13">
                  <c:v>42.5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923-41B5-915F-182EF856E89A}"/>
            </c:ext>
          </c:extLst>
        </c:ser>
        <c:ser>
          <c:idx val="3"/>
          <c:order val="3"/>
          <c:tx>
            <c:strRef>
              <c:f>Оценки!$E$6</c:f>
              <c:strCache>
                <c:ptCount val="1"/>
                <c:pt idx="0">
                  <c:v>БИР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Оценки!$A$7:$A$20</c:f>
              <c:numCache>
                <c:formatCode>0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Оценки!$E$7:$E$20</c:f>
              <c:numCache>
                <c:formatCode>0.0</c:formatCode>
                <c:ptCount val="14"/>
                <c:pt idx="0">
                  <c:v>44.1</c:v>
                </c:pt>
                <c:pt idx="1">
                  <c:v>45.4</c:v>
                </c:pt>
                <c:pt idx="2">
                  <c:v>43.1</c:v>
                </c:pt>
                <c:pt idx="3">
                  <c:v>37.4</c:v>
                </c:pt>
                <c:pt idx="4">
                  <c:v>32.5</c:v>
                </c:pt>
                <c:pt idx="5">
                  <c:v>28.8</c:v>
                </c:pt>
                <c:pt idx="6">
                  <c:v>32.4</c:v>
                </c:pt>
                <c:pt idx="7">
                  <c:v>30.6</c:v>
                </c:pt>
                <c:pt idx="8">
                  <c:v>31.7</c:v>
                </c:pt>
                <c:pt idx="9">
                  <c:v>35</c:v>
                </c:pt>
                <c:pt idx="10">
                  <c:v>36.200000000000003</c:v>
                </c:pt>
                <c:pt idx="11">
                  <c:v>44</c:v>
                </c:pt>
                <c:pt idx="12">
                  <c:v>42.3</c:v>
                </c:pt>
                <c:pt idx="13">
                  <c:v>43.8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923-41B5-915F-182EF856E89A}"/>
            </c:ext>
          </c:extLst>
        </c:ser>
        <c:ser>
          <c:idx val="4"/>
          <c:order val="4"/>
          <c:tx>
            <c:strRef>
              <c:f>Оценки!$F$6</c:f>
              <c:strCache>
                <c:ptCount val="1"/>
                <c:pt idx="0">
                  <c:v>АДХ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Оценки!$A$7:$A$20</c:f>
              <c:numCache>
                <c:formatCode>0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Оценки!$F$7:$F$20</c:f>
              <c:numCache>
                <c:formatCode>0.0</c:formatCode>
                <c:ptCount val="14"/>
                <c:pt idx="7">
                  <c:v>39.299999999999997</c:v>
                </c:pt>
                <c:pt idx="8">
                  <c:v>40.6</c:v>
                </c:pt>
                <c:pt idx="9">
                  <c:v>43.7</c:v>
                </c:pt>
                <c:pt idx="10">
                  <c:v>47</c:v>
                </c:pt>
                <c:pt idx="11">
                  <c:v>49</c:v>
                </c:pt>
                <c:pt idx="12">
                  <c:v>47.3</c:v>
                </c:pt>
                <c:pt idx="13">
                  <c:v>45.6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B923-41B5-915F-182EF856E89A}"/>
            </c:ext>
          </c:extLst>
        </c:ser>
        <c:ser>
          <c:idx val="5"/>
          <c:order val="5"/>
          <c:tx>
            <c:strRef>
              <c:f>Оценки!$G$6</c:f>
              <c:strCache>
                <c:ptCount val="1"/>
                <c:pt idx="0">
                  <c:v>У1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Оценки!$A$7:$A$20</c:f>
              <c:numCache>
                <c:formatCode>0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Оценки!$G$7:$G$20</c:f>
              <c:numCache>
                <c:formatCode>0.0</c:formatCode>
                <c:ptCount val="14"/>
                <c:pt idx="0">
                  <c:v>47</c:v>
                </c:pt>
                <c:pt idx="1">
                  <c:v>46.9</c:v>
                </c:pt>
                <c:pt idx="2">
                  <c:v>39.700000000000003</c:v>
                </c:pt>
                <c:pt idx="3">
                  <c:v>29.9</c:v>
                </c:pt>
                <c:pt idx="4">
                  <c:v>23.9</c:v>
                </c:pt>
                <c:pt idx="5">
                  <c:v>32</c:v>
                </c:pt>
                <c:pt idx="6">
                  <c:v>31</c:v>
                </c:pt>
                <c:pt idx="7">
                  <c:v>31.2</c:v>
                </c:pt>
                <c:pt idx="8">
                  <c:v>35.5</c:v>
                </c:pt>
                <c:pt idx="9">
                  <c:v>37.299999999999997</c:v>
                </c:pt>
                <c:pt idx="10">
                  <c:v>43.9</c:v>
                </c:pt>
                <c:pt idx="11">
                  <c:v>42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B923-41B5-915F-182EF856E89A}"/>
            </c:ext>
          </c:extLst>
        </c:ser>
        <c:ser>
          <c:idx val="6"/>
          <c:order val="6"/>
          <c:tx>
            <c:strRef>
              <c:f>Оценки!$H$6</c:f>
              <c:strCache>
                <c:ptCount val="1"/>
                <c:pt idx="0">
                  <c:v>У2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Оценки!$A$7:$A$20</c:f>
              <c:numCache>
                <c:formatCode>0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Оценки!$H$7:$H$20</c:f>
              <c:numCache>
                <c:formatCode>0.0</c:formatCode>
                <c:ptCount val="14"/>
                <c:pt idx="5">
                  <c:v>31.8</c:v>
                </c:pt>
                <c:pt idx="6">
                  <c:v>30.8</c:v>
                </c:pt>
                <c:pt idx="7">
                  <c:v>31</c:v>
                </c:pt>
                <c:pt idx="8">
                  <c:v>35.299999999999997</c:v>
                </c:pt>
                <c:pt idx="9">
                  <c:v>36.799999999999997</c:v>
                </c:pt>
                <c:pt idx="10">
                  <c:v>42.8</c:v>
                </c:pt>
                <c:pt idx="11">
                  <c:v>41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B923-41B5-915F-182EF856E89A}"/>
            </c:ext>
          </c:extLst>
        </c:ser>
        <c:ser>
          <c:idx val="7"/>
          <c:order val="7"/>
          <c:tx>
            <c:strRef>
              <c:f>Оценки!$I$6</c:f>
              <c:strCache>
                <c:ptCount val="1"/>
                <c:pt idx="0">
                  <c:v>ПК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Оценки!$A$7:$A$20</c:f>
              <c:numCache>
                <c:formatCode>0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Оценки!$I$7:$I$20</c:f>
              <c:numCache>
                <c:formatCode>0.0</c:formatCode>
                <c:ptCount val="14"/>
                <c:pt idx="4">
                  <c:v>27.4</c:v>
                </c:pt>
                <c:pt idx="5">
                  <c:v>33.1</c:v>
                </c:pt>
                <c:pt idx="6">
                  <c:v>30</c:v>
                </c:pt>
                <c:pt idx="7">
                  <c:v>31.3</c:v>
                </c:pt>
                <c:pt idx="8">
                  <c:v>37.799999999999997</c:v>
                </c:pt>
                <c:pt idx="9">
                  <c:v>41.4</c:v>
                </c:pt>
                <c:pt idx="10">
                  <c:v>46.5</c:v>
                </c:pt>
                <c:pt idx="11">
                  <c:v>43.6</c:v>
                </c:pt>
                <c:pt idx="12">
                  <c:v>45.7</c:v>
                </c:pt>
                <c:pt idx="13">
                  <c:v>42.6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B923-41B5-915F-182EF856E8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8313744"/>
        <c:axId val="258315384"/>
      </c:scatterChart>
      <c:valAx>
        <c:axId val="258313744"/>
        <c:scaling>
          <c:orientation val="minMax"/>
          <c:max val="1926"/>
          <c:min val="1913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58315384"/>
        <c:crosses val="autoZero"/>
        <c:crossBetween val="midCat"/>
        <c:majorUnit val="1"/>
      </c:valAx>
      <c:valAx>
        <c:axId val="258315384"/>
        <c:scaling>
          <c:orientation val="minMax"/>
          <c:max val="50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5831374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800" b="1" i="0" baseline="0"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16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число рождений по совокупностям губерний</a:t>
            </a:r>
            <a:br>
              <a:rPr lang="ru-RU"/>
            </a:br>
            <a:r>
              <a:rPr lang="ru-RU"/>
              <a:t>относительно 1913</a:t>
            </a:r>
            <a:r>
              <a:rPr lang="ru-RU" baseline="0"/>
              <a:t> года (100%)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16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'Новосельский-РСФСР-рождения'!$B$78</c:f>
              <c:strCache>
                <c:ptCount val="1"/>
                <c:pt idx="0">
                  <c:v>все-1914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'Новосельский-РСФСР-рождения'!$A$79:$A$83</c:f>
              <c:numCache>
                <c:formatCode>General</c:formatCode>
                <c:ptCount val="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</c:numCache>
            </c:numRef>
          </c:xVal>
          <c:yVal>
            <c:numRef>
              <c:f>'Новосельский-РСФСР-рождения'!$B$79:$B$83</c:f>
              <c:numCache>
                <c:formatCode>0.0</c:formatCode>
                <c:ptCount val="5"/>
                <c:pt idx="0">
                  <c:v>100</c:v>
                </c:pt>
                <c:pt idx="1">
                  <c:v>101.17315119930537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840-49B0-AC07-6884B2056211}"/>
            </c:ext>
          </c:extLst>
        </c:ser>
        <c:ser>
          <c:idx val="1"/>
          <c:order val="1"/>
          <c:tx>
            <c:strRef>
              <c:f>'Новосельский-РСФСР-рождения'!$C$78</c:f>
              <c:strCache>
                <c:ptCount val="1"/>
                <c:pt idx="0">
                  <c:v>все-1915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'Новосельский-РСФСР-рождения'!$A$79:$A$83</c:f>
              <c:numCache>
                <c:formatCode>General</c:formatCode>
                <c:ptCount val="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</c:numCache>
            </c:numRef>
          </c:xVal>
          <c:yVal>
            <c:numRef>
              <c:f>'Новосельский-РСФСР-рождения'!$C$79:$C$83</c:f>
              <c:numCache>
                <c:formatCode>0.0</c:formatCode>
                <c:ptCount val="5"/>
                <c:pt idx="0">
                  <c:v>100</c:v>
                </c:pt>
                <c:pt idx="1">
                  <c:v>101.39151046646562</c:v>
                </c:pt>
                <c:pt idx="2">
                  <c:v>86.958967191137276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840-49B0-AC07-6884B2056211}"/>
            </c:ext>
          </c:extLst>
        </c:ser>
        <c:ser>
          <c:idx val="2"/>
          <c:order val="2"/>
          <c:tx>
            <c:strRef>
              <c:f>'Новосельский-РСФСР-рождения'!$D$78</c:f>
              <c:strCache>
                <c:ptCount val="1"/>
                <c:pt idx="0">
                  <c:v>все-1916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B050"/>
                </a:solidFill>
              </a:ln>
              <a:effectLst/>
            </c:spPr>
          </c:marker>
          <c:xVal>
            <c:numRef>
              <c:f>'Новосельский-РСФСР-рождения'!$A$79:$A$83</c:f>
              <c:numCache>
                <c:formatCode>General</c:formatCode>
                <c:ptCount val="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</c:numCache>
            </c:numRef>
          </c:xVal>
          <c:yVal>
            <c:numRef>
              <c:f>'Новосельский-РСФСР-рождения'!$D$79:$D$83</c:f>
              <c:numCache>
                <c:formatCode>0.0</c:formatCode>
                <c:ptCount val="5"/>
                <c:pt idx="0">
                  <c:v>100</c:v>
                </c:pt>
                <c:pt idx="1">
                  <c:v>102.01533682924224</c:v>
                </c:pt>
                <c:pt idx="2">
                  <c:v>87.611479941751355</c:v>
                </c:pt>
                <c:pt idx="3">
                  <c:v>65.944138201707361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840-49B0-AC07-6884B2056211}"/>
            </c:ext>
          </c:extLst>
        </c:ser>
        <c:ser>
          <c:idx val="3"/>
          <c:order val="3"/>
          <c:tx>
            <c:strRef>
              <c:f>'Новосельский-РСФСР-рождения'!$E$78</c:f>
              <c:strCache>
                <c:ptCount val="1"/>
                <c:pt idx="0">
                  <c:v>все-1917</c:v>
                </c:pt>
              </c:strCache>
            </c:strRef>
          </c:tx>
          <c:spPr>
            <a:ln w="19050" cap="rnd">
              <a:solidFill>
                <a:srgbClr val="00B0F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B0F0"/>
                </a:solidFill>
              </a:ln>
              <a:effectLst/>
            </c:spPr>
          </c:marker>
          <c:xVal>
            <c:numRef>
              <c:f>'Новосельский-РСФСР-рождения'!$A$79:$A$83</c:f>
              <c:numCache>
                <c:formatCode>General</c:formatCode>
                <c:ptCount val="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</c:numCache>
            </c:numRef>
          </c:xVal>
          <c:yVal>
            <c:numRef>
              <c:f>'Новосельский-РСФСР-рождения'!$E$79:$E$83</c:f>
              <c:numCache>
                <c:formatCode>#,##0.0</c:formatCode>
                <c:ptCount val="5"/>
                <c:pt idx="0">
                  <c:v>100</c:v>
                </c:pt>
                <c:pt idx="1">
                  <c:v>102.03431313155791</c:v>
                </c:pt>
                <c:pt idx="2">
                  <c:v>88.237440192997909</c:v>
                </c:pt>
                <c:pt idx="3">
                  <c:v>68.870472236357813</c:v>
                </c:pt>
                <c:pt idx="4">
                  <c:v>53.899537698941579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2840-49B0-AC07-6884B20562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71184480"/>
        <c:axId val="871184152"/>
      </c:scatterChart>
      <c:valAx>
        <c:axId val="871184480"/>
        <c:scaling>
          <c:orientation val="minMax"/>
          <c:max val="1917"/>
          <c:min val="1913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871184152"/>
        <c:crosses val="autoZero"/>
        <c:crossBetween val="midCat"/>
        <c:majorUnit val="1"/>
      </c:valAx>
      <c:valAx>
        <c:axId val="871184152"/>
        <c:scaling>
          <c:orientation val="minMax"/>
          <c:max val="105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871184480"/>
        <c:crosses val="autoZero"/>
        <c:crossBetween val="midCat"/>
        <c:majorUnit val="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800" b="1" i="0" baseline="0"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92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рождаемость</a:t>
            </a:r>
            <a:r>
              <a:rPr lang="ru-RU" baseline="0"/>
              <a:t> – </a:t>
            </a:r>
            <a:r>
              <a:rPr lang="ru-RU"/>
              <a:t>промилле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92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'Новосельский-РСФСР-рождения'!$B$119</c:f>
              <c:strCache>
                <c:ptCount val="1"/>
                <c:pt idx="0">
                  <c:v>Урланис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'Новосельский-РСФСР-рождения'!$A$120:$A$133</c:f>
              <c:numCache>
                <c:formatCode>General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'Новосельский-РСФСР-рождения'!$B$120:$B$133</c:f>
              <c:numCache>
                <c:formatCode>0.0</c:formatCode>
                <c:ptCount val="14"/>
                <c:pt idx="0">
                  <c:v>47</c:v>
                </c:pt>
                <c:pt idx="1">
                  <c:v>46.9</c:v>
                </c:pt>
                <c:pt idx="2">
                  <c:v>39.700000000000003</c:v>
                </c:pt>
                <c:pt idx="3">
                  <c:v>29.9</c:v>
                </c:pt>
                <c:pt idx="4">
                  <c:v>23.9</c:v>
                </c:pt>
                <c:pt idx="5">
                  <c:v>32</c:v>
                </c:pt>
                <c:pt idx="6">
                  <c:v>31</c:v>
                </c:pt>
                <c:pt idx="7">
                  <c:v>31.2</c:v>
                </c:pt>
                <c:pt idx="8">
                  <c:v>35.5</c:v>
                </c:pt>
                <c:pt idx="9">
                  <c:v>37.299999999999997</c:v>
                </c:pt>
                <c:pt idx="10">
                  <c:v>43.9</c:v>
                </c:pt>
                <c:pt idx="11">
                  <c:v>42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E2C-45B4-9859-5C694CB79C32}"/>
            </c:ext>
          </c:extLst>
        </c:ser>
        <c:ser>
          <c:idx val="1"/>
          <c:order val="1"/>
          <c:tx>
            <c:strRef>
              <c:f>'Новосельский-РСФСР-рождения'!$C$119</c:f>
              <c:strCache>
                <c:ptCount val="1"/>
                <c:pt idx="0">
                  <c:v>Боряский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'Новосельский-РСФСР-рождения'!$A$120:$A$133</c:f>
              <c:numCache>
                <c:formatCode>General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'Новосельский-РСФСР-рождения'!$C$120:$C$133</c:f>
              <c:numCache>
                <c:formatCode>0.0</c:formatCode>
                <c:ptCount val="14"/>
                <c:pt idx="0">
                  <c:v>43.7</c:v>
                </c:pt>
                <c:pt idx="1">
                  <c:v>43.7</c:v>
                </c:pt>
                <c:pt idx="2">
                  <c:v>35.9</c:v>
                </c:pt>
                <c:pt idx="3">
                  <c:v>27.1</c:v>
                </c:pt>
                <c:pt idx="4">
                  <c:v>26.3</c:v>
                </c:pt>
                <c:pt idx="5">
                  <c:v>34.700000000000003</c:v>
                </c:pt>
                <c:pt idx="6">
                  <c:v>31.7</c:v>
                </c:pt>
                <c:pt idx="7">
                  <c:v>32.200000000000003</c:v>
                </c:pt>
                <c:pt idx="8">
                  <c:v>37.299999999999997</c:v>
                </c:pt>
                <c:pt idx="9">
                  <c:v>38.200000000000003</c:v>
                </c:pt>
                <c:pt idx="10">
                  <c:v>45.5</c:v>
                </c:pt>
                <c:pt idx="11">
                  <c:v>42.2</c:v>
                </c:pt>
                <c:pt idx="12">
                  <c:v>43.9</c:v>
                </c:pt>
                <c:pt idx="13">
                  <c:v>42.5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E2C-45B4-9859-5C694CB79C32}"/>
            </c:ext>
          </c:extLst>
        </c:ser>
        <c:ser>
          <c:idx val="2"/>
          <c:order val="2"/>
          <c:tx>
            <c:strRef>
              <c:f>'Новосельский-РСФСР-рождения'!$D$119</c:f>
              <c:strCache>
                <c:ptCount val="1"/>
                <c:pt idx="0">
                  <c:v>Бирабен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rgbClr val="00B050"/>
                </a:solidFill>
              </a:ln>
              <a:effectLst/>
            </c:spPr>
          </c:marker>
          <c:xVal>
            <c:numRef>
              <c:f>'Новосельский-РСФСР-рождения'!$A$120:$A$133</c:f>
              <c:numCache>
                <c:formatCode>General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'Новосельский-РСФСР-рождения'!$D$120:$D$133</c:f>
              <c:numCache>
                <c:formatCode>0.0</c:formatCode>
                <c:ptCount val="14"/>
                <c:pt idx="0">
                  <c:v>44.1</c:v>
                </c:pt>
                <c:pt idx="1">
                  <c:v>45.4</c:v>
                </c:pt>
                <c:pt idx="2">
                  <c:v>43.1</c:v>
                </c:pt>
                <c:pt idx="3">
                  <c:v>37.4</c:v>
                </c:pt>
                <c:pt idx="4">
                  <c:v>32.5</c:v>
                </c:pt>
                <c:pt idx="5">
                  <c:v>28.8</c:v>
                </c:pt>
                <c:pt idx="6">
                  <c:v>32.4</c:v>
                </c:pt>
                <c:pt idx="7">
                  <c:v>30.6</c:v>
                </c:pt>
                <c:pt idx="8">
                  <c:v>31.7</c:v>
                </c:pt>
                <c:pt idx="9">
                  <c:v>35</c:v>
                </c:pt>
                <c:pt idx="10">
                  <c:v>36.200000000000003</c:v>
                </c:pt>
                <c:pt idx="11">
                  <c:v>44</c:v>
                </c:pt>
                <c:pt idx="12">
                  <c:v>42.3</c:v>
                </c:pt>
                <c:pt idx="13">
                  <c:v>43.8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E2C-45B4-9859-5C694CB79C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16653288"/>
        <c:axId val="917089784"/>
      </c:scatterChart>
      <c:valAx>
        <c:axId val="916653288"/>
        <c:scaling>
          <c:orientation val="minMax"/>
          <c:max val="1926"/>
          <c:min val="1913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17089784"/>
        <c:crosses val="autoZero"/>
        <c:crossBetween val="midCat"/>
        <c:majorUnit val="1"/>
      </c:valAx>
      <c:valAx>
        <c:axId val="917089784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1665328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600" b="1" i="0" baseline="0"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92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sz="1920" b="1" i="0" u="none" strike="noStrike" baseline="0">
                <a:effectLst/>
              </a:rPr>
              <a:t>рождаемость – </a:t>
            </a:r>
            <a:r>
              <a:rPr lang="ru-RU"/>
              <a:t>проценты от 1913 года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92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'Новосельский-РСФСР-рождения'!$G$119</c:f>
              <c:strCache>
                <c:ptCount val="1"/>
                <c:pt idx="0">
                  <c:v>Новосельский (чр)</c:v>
                </c:pt>
              </c:strCache>
            </c:strRef>
          </c:tx>
          <c:spPr>
            <a:ln w="19050" cap="rnd">
              <a:solidFill>
                <a:srgbClr val="7030A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rgbClr val="7030A0"/>
                </a:solidFill>
              </a:ln>
              <a:effectLst/>
            </c:spPr>
          </c:marker>
          <c:xVal>
            <c:numRef>
              <c:f>'Новосельский-РСФСР-рождения'!$F$120:$F$133</c:f>
              <c:numCache>
                <c:formatCode>General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'Новосельский-РСФСР-рождения'!$G$120:$G$133</c:f>
              <c:numCache>
                <c:formatCode>#,##0.0</c:formatCode>
                <c:ptCount val="14"/>
                <c:pt idx="0">
                  <c:v>100</c:v>
                </c:pt>
                <c:pt idx="1">
                  <c:v>102.03431313155791</c:v>
                </c:pt>
                <c:pt idx="2">
                  <c:v>88.237440192997909</c:v>
                </c:pt>
                <c:pt idx="3">
                  <c:v>68.870472236357813</c:v>
                </c:pt>
                <c:pt idx="4">
                  <c:v>53.899537698941579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61A-4C2D-A021-769DC442BB17}"/>
            </c:ext>
          </c:extLst>
        </c:ser>
        <c:ser>
          <c:idx val="1"/>
          <c:order val="1"/>
          <c:tx>
            <c:strRef>
              <c:f>'Новосельский-РСФСР-рождения'!$H$119</c:f>
              <c:strCache>
                <c:ptCount val="1"/>
                <c:pt idx="0">
                  <c:v>Урланис (‰)</c:v>
                </c:pt>
              </c:strCache>
            </c:strRef>
          </c:tx>
          <c:spPr>
            <a:ln w="19050" cap="rnd">
              <a:solidFill>
                <a:srgbClr val="0070C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70C0"/>
                </a:solidFill>
              </a:ln>
              <a:effectLst/>
            </c:spPr>
          </c:marker>
          <c:xVal>
            <c:numRef>
              <c:f>'Новосельский-РСФСР-рождения'!$F$120:$F$133</c:f>
              <c:numCache>
                <c:formatCode>General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'Новосельский-РСФСР-рождения'!$H$120:$H$133</c:f>
              <c:numCache>
                <c:formatCode>0.0</c:formatCode>
                <c:ptCount val="14"/>
                <c:pt idx="0">
                  <c:v>100</c:v>
                </c:pt>
                <c:pt idx="1">
                  <c:v>99.78723404255318</c:v>
                </c:pt>
                <c:pt idx="2">
                  <c:v>84.468085106382986</c:v>
                </c:pt>
                <c:pt idx="3">
                  <c:v>63.617021276595743</c:v>
                </c:pt>
                <c:pt idx="4">
                  <c:v>50.851063829787236</c:v>
                </c:pt>
                <c:pt idx="5">
                  <c:v>68.085106382978722</c:v>
                </c:pt>
                <c:pt idx="6">
                  <c:v>65.957446808510639</c:v>
                </c:pt>
                <c:pt idx="7">
                  <c:v>66.38297872340425</c:v>
                </c:pt>
                <c:pt idx="8">
                  <c:v>75.531914893617028</c:v>
                </c:pt>
                <c:pt idx="9">
                  <c:v>79.361702127659569</c:v>
                </c:pt>
                <c:pt idx="10">
                  <c:v>93.40425531914893</c:v>
                </c:pt>
                <c:pt idx="11">
                  <c:v>89.361702127659569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61A-4C2D-A021-769DC442BB17}"/>
            </c:ext>
          </c:extLst>
        </c:ser>
        <c:ser>
          <c:idx val="2"/>
          <c:order val="2"/>
          <c:tx>
            <c:strRef>
              <c:f>'Новосельский-РСФСР-рождения'!$I$119</c:f>
              <c:strCache>
                <c:ptCount val="1"/>
                <c:pt idx="0">
                  <c:v>Боряский (‰)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'Новосельский-РСФСР-рождения'!$F$120:$F$133</c:f>
              <c:numCache>
                <c:formatCode>General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'Новосельский-РСФСР-рождения'!$I$120:$I$133</c:f>
              <c:numCache>
                <c:formatCode>0.0</c:formatCode>
                <c:ptCount val="14"/>
                <c:pt idx="0">
                  <c:v>100</c:v>
                </c:pt>
                <c:pt idx="1">
                  <c:v>100</c:v>
                </c:pt>
                <c:pt idx="2">
                  <c:v>82.151029748283747</c:v>
                </c:pt>
                <c:pt idx="3">
                  <c:v>62.013729977116704</c:v>
                </c:pt>
                <c:pt idx="4">
                  <c:v>60.183066361556058</c:v>
                </c:pt>
                <c:pt idx="5">
                  <c:v>79.40503432494279</c:v>
                </c:pt>
                <c:pt idx="6">
                  <c:v>72.540045766590382</c:v>
                </c:pt>
                <c:pt idx="7">
                  <c:v>73.684210526315795</c:v>
                </c:pt>
                <c:pt idx="8">
                  <c:v>85.354691075514864</c:v>
                </c:pt>
                <c:pt idx="9">
                  <c:v>87.414187643020597</c:v>
                </c:pt>
                <c:pt idx="10">
                  <c:v>104.11899313501142</c:v>
                </c:pt>
                <c:pt idx="11">
                  <c:v>96.567505720823803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61A-4C2D-A021-769DC442BB17}"/>
            </c:ext>
          </c:extLst>
        </c:ser>
        <c:ser>
          <c:idx val="3"/>
          <c:order val="3"/>
          <c:tx>
            <c:strRef>
              <c:f>'Новосельский-РСФСР-рождения'!$J$119</c:f>
              <c:strCache>
                <c:ptCount val="1"/>
                <c:pt idx="0">
                  <c:v>Бирабен (‰)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B050"/>
                </a:solidFill>
              </a:ln>
              <a:effectLst/>
            </c:spPr>
          </c:marker>
          <c:xVal>
            <c:numRef>
              <c:f>'Новосельский-РСФСР-рождения'!$F$120:$F$133</c:f>
              <c:numCache>
                <c:formatCode>General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'Новосельский-РСФСР-рождения'!$J$120:$J$133</c:f>
              <c:numCache>
                <c:formatCode>0.0</c:formatCode>
                <c:ptCount val="14"/>
                <c:pt idx="0">
                  <c:v>100</c:v>
                </c:pt>
                <c:pt idx="1">
                  <c:v>102.94784580498866</c:v>
                </c:pt>
                <c:pt idx="2">
                  <c:v>97.732426303854879</c:v>
                </c:pt>
                <c:pt idx="3">
                  <c:v>84.807256235827651</c:v>
                </c:pt>
                <c:pt idx="4">
                  <c:v>73.696145124716551</c:v>
                </c:pt>
                <c:pt idx="5">
                  <c:v>65.306122448979593</c:v>
                </c:pt>
                <c:pt idx="6">
                  <c:v>73.469387755102034</c:v>
                </c:pt>
                <c:pt idx="7">
                  <c:v>69.387755102040813</c:v>
                </c:pt>
                <c:pt idx="8">
                  <c:v>71.882086167800452</c:v>
                </c:pt>
                <c:pt idx="9">
                  <c:v>79.365079365079367</c:v>
                </c:pt>
                <c:pt idx="10">
                  <c:v>82.086167800453509</c:v>
                </c:pt>
                <c:pt idx="11">
                  <c:v>99.773242630385482</c:v>
                </c:pt>
                <c:pt idx="12">
                  <c:v>95.918367346938766</c:v>
                </c:pt>
                <c:pt idx="13">
                  <c:v>99.319727891156447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61A-4C2D-A021-769DC442BB17}"/>
            </c:ext>
          </c:extLst>
        </c:ser>
        <c:ser>
          <c:idx val="4"/>
          <c:order val="4"/>
          <c:tx>
            <c:strRef>
              <c:f>'Новосельский-РСФСР-рождения'!$K$119</c:f>
              <c:strCache>
                <c:ptCount val="1"/>
                <c:pt idx="0">
                  <c:v>Вятская губ. (чр)</c:v>
                </c:pt>
              </c:strCache>
            </c:strRef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  <a:lumOff val="40000"/>
                </a:schemeClr>
              </a:solidFill>
              <a:ln w="9525">
                <a:solidFill>
                  <a:schemeClr val="accent4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'Новосельский-РСФСР-рождения'!$F$120:$F$133</c:f>
              <c:numCache>
                <c:formatCode>General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'Новосельский-РСФСР-рождения'!$K$120:$K$133</c:f>
              <c:numCache>
                <c:formatCode>0.0</c:formatCode>
                <c:ptCount val="14"/>
                <c:pt idx="0">
                  <c:v>100</c:v>
                </c:pt>
                <c:pt idx="1">
                  <c:v>100</c:v>
                </c:pt>
                <c:pt idx="2">
                  <c:v>89</c:v>
                </c:pt>
                <c:pt idx="3">
                  <c:v>76</c:v>
                </c:pt>
                <c:pt idx="4">
                  <c:v>60</c:v>
                </c:pt>
                <c:pt idx="6">
                  <c:v>81</c:v>
                </c:pt>
                <c:pt idx="7">
                  <c:v>79</c:v>
                </c:pt>
                <c:pt idx="8">
                  <c:v>84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C61A-4C2D-A021-769DC442BB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27471024"/>
        <c:axId val="927470696"/>
      </c:scatterChart>
      <c:valAx>
        <c:axId val="927471024"/>
        <c:scaling>
          <c:orientation val="minMax"/>
          <c:max val="1926"/>
          <c:min val="1913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27470696"/>
        <c:crosses val="autoZero"/>
        <c:crossBetween val="midCat"/>
        <c:majorUnit val="1"/>
      </c:valAx>
      <c:valAx>
        <c:axId val="927470696"/>
        <c:scaling>
          <c:orientation val="minMax"/>
          <c:max val="105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27471024"/>
        <c:crosses val="autoZero"/>
        <c:crossBetween val="midCat"/>
        <c:majorUnit val="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span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600" b="1" i="0" baseline="0"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16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sz="2160" b="1" i="0" u="none" strike="noStrike" baseline="0">
                <a:effectLst/>
              </a:rPr>
              <a:t>число смертей по совокупностям губерний</a:t>
            </a:r>
            <a:br>
              <a:rPr lang="ru-RU" sz="2160" b="1" i="0" u="none" strike="noStrike" baseline="0">
                <a:effectLst/>
              </a:rPr>
            </a:br>
            <a:r>
              <a:rPr lang="ru-RU" sz="2160" b="1" i="0" u="none" strike="noStrike" baseline="0">
                <a:effectLst/>
              </a:rPr>
              <a:t>относительно 1913 года (100%)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16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'Новосельский-РСФСР-смерти'!$B$80</c:f>
              <c:strCache>
                <c:ptCount val="1"/>
                <c:pt idx="0">
                  <c:v>все-1914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'Новосельский-РСФСР-смерти'!$A$81:$A$85</c:f>
              <c:numCache>
                <c:formatCode>General</c:formatCode>
                <c:ptCount val="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</c:numCache>
            </c:numRef>
          </c:xVal>
          <c:yVal>
            <c:numRef>
              <c:f>'Новосельский-РСФСР-смерти'!$B$81:$B$85</c:f>
              <c:numCache>
                <c:formatCode>0.0</c:formatCode>
                <c:ptCount val="5"/>
                <c:pt idx="0">
                  <c:v>100</c:v>
                </c:pt>
                <c:pt idx="1">
                  <c:v>97.499222904759748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5D2-4F80-985D-1D69F574B673}"/>
            </c:ext>
          </c:extLst>
        </c:ser>
        <c:ser>
          <c:idx val="1"/>
          <c:order val="1"/>
          <c:tx>
            <c:strRef>
              <c:f>'Новосельский-РСФСР-смерти'!$C$80</c:f>
              <c:strCache>
                <c:ptCount val="1"/>
                <c:pt idx="0">
                  <c:v>все-1915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'Новосельский-РСФСР-смерти'!$A$81:$A$85</c:f>
              <c:numCache>
                <c:formatCode>General</c:formatCode>
                <c:ptCount val="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</c:numCache>
            </c:numRef>
          </c:xVal>
          <c:yVal>
            <c:numRef>
              <c:f>'Новосельский-РСФСР-смерти'!$C$81:$C$85</c:f>
              <c:numCache>
                <c:formatCode>0.0</c:formatCode>
                <c:ptCount val="5"/>
                <c:pt idx="0">
                  <c:v>100</c:v>
                </c:pt>
                <c:pt idx="1">
                  <c:v>97.920173031747041</c:v>
                </c:pt>
                <c:pt idx="2">
                  <c:v>100.10313947315606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5D2-4F80-985D-1D69F574B673}"/>
            </c:ext>
          </c:extLst>
        </c:ser>
        <c:ser>
          <c:idx val="2"/>
          <c:order val="2"/>
          <c:tx>
            <c:strRef>
              <c:f>'Новосельский-РСФСР-смерти'!$D$80</c:f>
              <c:strCache>
                <c:ptCount val="1"/>
                <c:pt idx="0">
                  <c:v>все-1916</c:v>
                </c:pt>
              </c:strCache>
            </c:strRef>
          </c:tx>
          <c:spPr>
            <a:ln w="19050" cap="rnd">
              <a:solidFill>
                <a:srgbClr val="92D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92D050"/>
                </a:solidFill>
              </a:ln>
              <a:effectLst/>
            </c:spPr>
          </c:marker>
          <c:xVal>
            <c:numRef>
              <c:f>'Новосельский-РСФСР-смерти'!$A$81:$A$85</c:f>
              <c:numCache>
                <c:formatCode>General</c:formatCode>
                <c:ptCount val="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</c:numCache>
            </c:numRef>
          </c:xVal>
          <c:yVal>
            <c:numRef>
              <c:f>'Новосельский-РСФСР-смерти'!$D$81:$D$85</c:f>
              <c:numCache>
                <c:formatCode>0.0</c:formatCode>
                <c:ptCount val="5"/>
                <c:pt idx="0">
                  <c:v>100</c:v>
                </c:pt>
                <c:pt idx="1">
                  <c:v>97.464348846055557</c:v>
                </c:pt>
                <c:pt idx="2">
                  <c:v>94.637812069044699</c:v>
                </c:pt>
                <c:pt idx="3">
                  <c:v>88.119736530641319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5D2-4F80-985D-1D69F574B673}"/>
            </c:ext>
          </c:extLst>
        </c:ser>
        <c:ser>
          <c:idx val="3"/>
          <c:order val="3"/>
          <c:tx>
            <c:strRef>
              <c:f>'Новосельский-РСФСР-смерти'!$E$80</c:f>
              <c:strCache>
                <c:ptCount val="1"/>
                <c:pt idx="0">
                  <c:v>все-1917</c:v>
                </c:pt>
              </c:strCache>
            </c:strRef>
          </c:tx>
          <c:spPr>
            <a:ln w="19050" cap="rnd">
              <a:solidFill>
                <a:srgbClr val="00B0F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B0F0"/>
                </a:solidFill>
              </a:ln>
              <a:effectLst/>
            </c:spPr>
          </c:marker>
          <c:xVal>
            <c:numRef>
              <c:f>'Новосельский-РСФСР-смерти'!$A$81:$A$85</c:f>
              <c:numCache>
                <c:formatCode>General</c:formatCode>
                <c:ptCount val="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</c:numCache>
            </c:numRef>
          </c:xVal>
          <c:yVal>
            <c:numRef>
              <c:f>'Новосельский-РСФСР-смерти'!$E$81:$E$85</c:f>
              <c:numCache>
                <c:formatCode>0.0</c:formatCode>
                <c:ptCount val="5"/>
                <c:pt idx="0">
                  <c:v>100</c:v>
                </c:pt>
                <c:pt idx="1">
                  <c:v>94.994844877683008</c:v>
                </c:pt>
                <c:pt idx="2">
                  <c:v>93.318727153435191</c:v>
                </c:pt>
                <c:pt idx="3">
                  <c:v>90.158402849376699</c:v>
                </c:pt>
                <c:pt idx="4">
                  <c:v>85.426469209860343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5D2-4F80-985D-1D69F574B6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71170376"/>
        <c:axId val="871142824"/>
      </c:scatterChart>
      <c:valAx>
        <c:axId val="871170376"/>
        <c:scaling>
          <c:orientation val="minMax"/>
          <c:max val="1917"/>
          <c:min val="1913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871142824"/>
        <c:crosses val="autoZero"/>
        <c:crossBetween val="midCat"/>
        <c:majorUnit val="1"/>
      </c:valAx>
      <c:valAx>
        <c:axId val="871142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87117037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800" b="1" i="0" baseline="0"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8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Рождения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8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'Новосельский-РСФСР-графики'!$B$12</c:f>
              <c:strCache>
                <c:ptCount val="1"/>
                <c:pt idx="0">
                  <c:v>Ярославская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'Новосельский-РСФСР-графики'!$A$13:$A$17</c:f>
              <c:numCache>
                <c:formatCode>General</c:formatCode>
                <c:ptCount val="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</c:numCache>
            </c:numRef>
          </c:xVal>
          <c:yVal>
            <c:numRef>
              <c:f>'Новосельский-РСФСР-графики'!$B$13:$B$17</c:f>
              <c:numCache>
                <c:formatCode>0.00</c:formatCode>
                <c:ptCount val="5"/>
                <c:pt idx="0">
                  <c:v>1</c:v>
                </c:pt>
                <c:pt idx="1">
                  <c:v>1.0426239124059047</c:v>
                </c:pt>
                <c:pt idx="2">
                  <c:v>0.8917391729396813</c:v>
                </c:pt>
                <c:pt idx="3">
                  <c:v>0.71612083292599471</c:v>
                </c:pt>
                <c:pt idx="4">
                  <c:v>0.58846417049564959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8B5-4BF8-8D03-31BDA2E59F17}"/>
            </c:ext>
          </c:extLst>
        </c:ser>
        <c:ser>
          <c:idx val="1"/>
          <c:order val="1"/>
          <c:tx>
            <c:strRef>
              <c:f>'Новосельский-РСФСР-графики'!$C$12</c:f>
              <c:strCache>
                <c:ptCount val="1"/>
                <c:pt idx="0">
                  <c:v>Калужская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'Новосельский-РСФСР-графики'!$A$13:$A$17</c:f>
              <c:numCache>
                <c:formatCode>General</c:formatCode>
                <c:ptCount val="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</c:numCache>
            </c:numRef>
          </c:xVal>
          <c:yVal>
            <c:numRef>
              <c:f>'Новосельский-РСФСР-графики'!$C$13:$C$17</c:f>
              <c:numCache>
                <c:formatCode>0.00</c:formatCode>
                <c:ptCount val="5"/>
                <c:pt idx="0">
                  <c:v>1</c:v>
                </c:pt>
                <c:pt idx="1">
                  <c:v>1.0197501243526348</c:v>
                </c:pt>
                <c:pt idx="2">
                  <c:v>0.90082511630628781</c:v>
                </c:pt>
                <c:pt idx="3">
                  <c:v>0.61763759253299</c:v>
                </c:pt>
                <c:pt idx="4">
                  <c:v>0.44541650817801448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8B5-4BF8-8D03-31BDA2E59F17}"/>
            </c:ext>
          </c:extLst>
        </c:ser>
        <c:ser>
          <c:idx val="2"/>
          <c:order val="2"/>
          <c:tx>
            <c:strRef>
              <c:f>'Новосельский-РСФСР-графики'!$D$12</c:f>
              <c:strCache>
                <c:ptCount val="1"/>
                <c:pt idx="0">
                  <c:v>Нижегородская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'Новосельский-РСФСР-графики'!$A$13:$A$17</c:f>
              <c:numCache>
                <c:formatCode>General</c:formatCode>
                <c:ptCount val="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</c:numCache>
            </c:numRef>
          </c:xVal>
          <c:yVal>
            <c:numRef>
              <c:f>'Новосельский-РСФСР-графики'!$D$13:$D$17</c:f>
              <c:numCache>
                <c:formatCode>0.00</c:formatCode>
                <c:ptCount val="5"/>
                <c:pt idx="0">
                  <c:v>1</c:v>
                </c:pt>
                <c:pt idx="1">
                  <c:v>1.0259224760251497</c:v>
                </c:pt>
                <c:pt idx="2">
                  <c:v>0.84901666066854375</c:v>
                </c:pt>
                <c:pt idx="3">
                  <c:v>0.60247263797446915</c:v>
                </c:pt>
                <c:pt idx="4">
                  <c:v>0.36141160530939731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8B5-4BF8-8D03-31BDA2E59F17}"/>
            </c:ext>
          </c:extLst>
        </c:ser>
        <c:ser>
          <c:idx val="3"/>
          <c:order val="3"/>
          <c:tx>
            <c:strRef>
              <c:f>'Новосельский-РСФСР-графики'!$E$12</c:f>
              <c:strCache>
                <c:ptCount val="1"/>
                <c:pt idx="0">
                  <c:v>гор. Москва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'Новосельский-РСФСР-графики'!$A$13:$A$17</c:f>
              <c:numCache>
                <c:formatCode>General</c:formatCode>
                <c:ptCount val="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</c:numCache>
            </c:numRef>
          </c:xVal>
          <c:yVal>
            <c:numRef>
              <c:f>'Новосельский-РСФСР-графики'!$E$13:$E$17</c:f>
              <c:numCache>
                <c:formatCode>0.00</c:formatCode>
                <c:ptCount val="5"/>
                <c:pt idx="0">
                  <c:v>1</c:v>
                </c:pt>
                <c:pt idx="1">
                  <c:v>0.99494958736664896</c:v>
                </c:pt>
                <c:pt idx="2">
                  <c:v>0.91013559260004762</c:v>
                </c:pt>
                <c:pt idx="3">
                  <c:v>0.68391004409961753</c:v>
                </c:pt>
                <c:pt idx="4">
                  <c:v>0.66394627532068295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8B5-4BF8-8D03-31BDA2E59F17}"/>
            </c:ext>
          </c:extLst>
        </c:ser>
        <c:ser>
          <c:idx val="4"/>
          <c:order val="4"/>
          <c:tx>
            <c:strRef>
              <c:f>'Новосельский-РСФСР-графики'!$F$12</c:f>
              <c:strCache>
                <c:ptCount val="1"/>
                <c:pt idx="0">
                  <c:v>Владимирская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'Новосельский-РСФСР-графики'!$A$13:$A$17</c:f>
              <c:numCache>
                <c:formatCode>General</c:formatCode>
                <c:ptCount val="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</c:numCache>
            </c:numRef>
          </c:xVal>
          <c:yVal>
            <c:numRef>
              <c:f>'Новосельский-РСФСР-графики'!$F$13:$F$17</c:f>
              <c:numCache>
                <c:formatCode>0.00</c:formatCode>
                <c:ptCount val="5"/>
                <c:pt idx="0">
                  <c:v>1</c:v>
                </c:pt>
                <c:pt idx="1">
                  <c:v>0.98585903327611979</c:v>
                </c:pt>
                <c:pt idx="2">
                  <c:v>0.87693926139194955</c:v>
                </c:pt>
                <c:pt idx="3">
                  <c:v>0.65933226288688329</c:v>
                </c:pt>
                <c:pt idx="4">
                  <c:v>0.41850395880626767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38B5-4BF8-8D03-31BDA2E59F17}"/>
            </c:ext>
          </c:extLst>
        </c:ser>
        <c:ser>
          <c:idx val="5"/>
          <c:order val="5"/>
          <c:tx>
            <c:strRef>
              <c:f>'Новосельский-РСФСР-графики'!$G$12</c:f>
              <c:strCache>
                <c:ptCount val="1"/>
                <c:pt idx="0">
                  <c:v>г. Петроград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'Новосельский-РСФСР-графики'!$A$13:$A$17</c:f>
              <c:numCache>
                <c:formatCode>General</c:formatCode>
                <c:ptCount val="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</c:numCache>
            </c:numRef>
          </c:xVal>
          <c:yVal>
            <c:numRef>
              <c:f>'Новосельский-РСФСР-графики'!$G$13:$G$17</c:f>
              <c:numCache>
                <c:formatCode>0.00</c:formatCode>
                <c:ptCount val="5"/>
                <c:pt idx="0">
                  <c:v>1</c:v>
                </c:pt>
                <c:pt idx="1">
                  <c:v>0.98762354198201407</c:v>
                </c:pt>
                <c:pt idx="2">
                  <c:v>0.925224824147449</c:v>
                </c:pt>
                <c:pt idx="3">
                  <c:v>0.82250912652479746</c:v>
                </c:pt>
                <c:pt idx="4">
                  <c:v>0.76767874632713029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38B5-4BF8-8D03-31BDA2E59F17}"/>
            </c:ext>
          </c:extLst>
        </c:ser>
        <c:ser>
          <c:idx val="6"/>
          <c:order val="6"/>
          <c:tx>
            <c:strRef>
              <c:f>'Новосельский-РСФСР-графики'!$H$12</c:f>
              <c:strCache>
                <c:ptCount val="1"/>
                <c:pt idx="0">
                  <c:v>Тверская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'Новосельский-РСФСР-графики'!$A$13:$A$17</c:f>
              <c:numCache>
                <c:formatCode>General</c:formatCode>
                <c:ptCount val="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</c:numCache>
            </c:numRef>
          </c:xVal>
          <c:yVal>
            <c:numRef>
              <c:f>'Новосельский-РСФСР-графики'!$H$13:$H$17</c:f>
              <c:numCache>
                <c:formatCode>0.00</c:formatCode>
                <c:ptCount val="5"/>
                <c:pt idx="0">
                  <c:v>1</c:v>
                </c:pt>
                <c:pt idx="1">
                  <c:v>1.0507324578743229</c:v>
                </c:pt>
                <c:pt idx="2">
                  <c:v>0.82709506459092419</c:v>
                </c:pt>
                <c:pt idx="3">
                  <c:v>0.75205419440318844</c:v>
                </c:pt>
                <c:pt idx="4">
                  <c:v>0.57696951564820653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38B5-4BF8-8D03-31BDA2E59F17}"/>
            </c:ext>
          </c:extLst>
        </c:ser>
        <c:ser>
          <c:idx val="7"/>
          <c:order val="7"/>
          <c:tx>
            <c:strRef>
              <c:f>'Новосельский-РСФСР-графики'!$I$12</c:f>
              <c:strCache>
                <c:ptCount val="1"/>
                <c:pt idx="0">
                  <c:v>Саратовская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'Новосельский-РСФСР-графики'!$A$13:$A$17</c:f>
              <c:numCache>
                <c:formatCode>General</c:formatCode>
                <c:ptCount val="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</c:numCache>
            </c:numRef>
          </c:xVal>
          <c:yVal>
            <c:numRef>
              <c:f>'Новосельский-РСФСР-графики'!$I$13:$I$17</c:f>
              <c:numCache>
                <c:formatCode>0.00</c:formatCode>
                <c:ptCount val="5"/>
                <c:pt idx="0">
                  <c:v>1</c:v>
                </c:pt>
                <c:pt idx="1">
                  <c:v>1.0340034682614516</c:v>
                </c:pt>
                <c:pt idx="2">
                  <c:v>0.91767824292336198</c:v>
                </c:pt>
                <c:pt idx="3">
                  <c:v>0.59964658020189765</c:v>
                </c:pt>
                <c:pt idx="4">
                  <c:v>0.41082414068217932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38B5-4BF8-8D03-31BDA2E59F17}"/>
            </c:ext>
          </c:extLst>
        </c:ser>
        <c:ser>
          <c:idx val="8"/>
          <c:order val="8"/>
          <c:tx>
            <c:strRef>
              <c:f>'Новосельский-РСФСР-графики'!$J$12</c:f>
              <c:strCache>
                <c:ptCount val="1"/>
                <c:pt idx="0">
                  <c:v>Тульская</c:v>
                </c:pt>
              </c:strCache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'Новосельский-РСФСР-графики'!$A$13:$A$17</c:f>
              <c:numCache>
                <c:formatCode>General</c:formatCode>
                <c:ptCount val="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</c:numCache>
            </c:numRef>
          </c:xVal>
          <c:yVal>
            <c:numRef>
              <c:f>'Новосельский-РСФСР-графики'!$J$13:$J$17</c:f>
              <c:numCache>
                <c:formatCode>0.00</c:formatCode>
                <c:ptCount val="5"/>
                <c:pt idx="0">
                  <c:v>1</c:v>
                </c:pt>
                <c:pt idx="1">
                  <c:v>1.0178844241821665</c:v>
                </c:pt>
                <c:pt idx="2">
                  <c:v>0.85567572810825232</c:v>
                </c:pt>
                <c:pt idx="3">
                  <c:v>0.86549700511676408</c:v>
                </c:pt>
                <c:pt idx="4">
                  <c:v>0.87533040715861965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38B5-4BF8-8D03-31BDA2E59F17}"/>
            </c:ext>
          </c:extLst>
        </c:ser>
        <c:ser>
          <c:idx val="9"/>
          <c:order val="9"/>
          <c:tx>
            <c:strRef>
              <c:f>'Новосельский-РСФСР-графики'!$K$12</c:f>
              <c:strCache>
                <c:ptCount val="1"/>
                <c:pt idx="0">
                  <c:v>среднее</c:v>
                </c:pt>
              </c:strCache>
            </c:strRef>
          </c:tx>
          <c:spPr>
            <a:ln w="571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57150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'Новосельский-РСФСР-графики'!$A$13:$A$17</c:f>
              <c:numCache>
                <c:formatCode>General</c:formatCode>
                <c:ptCount val="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</c:numCache>
            </c:numRef>
          </c:xVal>
          <c:yVal>
            <c:numRef>
              <c:f>'Новосельский-РСФСР-графики'!$K$13:$K$17</c:f>
              <c:numCache>
                <c:formatCode>0.00</c:formatCode>
                <c:ptCount val="5"/>
                <c:pt idx="0">
                  <c:v>1</c:v>
                </c:pt>
                <c:pt idx="1">
                  <c:v>1.0177054473029348</c:v>
                </c:pt>
                <c:pt idx="2">
                  <c:v>0.88381440707516645</c:v>
                </c:pt>
                <c:pt idx="3">
                  <c:v>0.70213114185184489</c:v>
                </c:pt>
                <c:pt idx="4">
                  <c:v>0.56761614754734979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38B5-4BF8-8D03-31BDA2E59F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6328432"/>
        <c:axId val="1796327472"/>
      </c:scatterChart>
      <c:valAx>
        <c:axId val="1796328432"/>
        <c:scaling>
          <c:orientation val="minMax"/>
          <c:max val="1917"/>
          <c:min val="1913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796327472"/>
        <c:crosses val="autoZero"/>
        <c:crossBetween val="midCat"/>
        <c:majorUnit val="1"/>
      </c:valAx>
      <c:valAx>
        <c:axId val="1796327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7963284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 b="1" i="0" baseline="0"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8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Смерти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8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'Новосельский-РСФСР-графики'!$B$34</c:f>
              <c:strCache>
                <c:ptCount val="1"/>
                <c:pt idx="0">
                  <c:v>Калужская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'Новосельский-РСФСР-графики'!$A$35:$A$39</c:f>
              <c:numCache>
                <c:formatCode>General</c:formatCode>
                <c:ptCount val="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</c:numCache>
            </c:numRef>
          </c:xVal>
          <c:yVal>
            <c:numRef>
              <c:f>'Новосельский-РСФСР-графики'!$B$35:$B$39</c:f>
              <c:numCache>
                <c:formatCode>0.00</c:formatCode>
                <c:ptCount val="5"/>
                <c:pt idx="0">
                  <c:v>1</c:v>
                </c:pt>
                <c:pt idx="1">
                  <c:v>1.0471902798871773</c:v>
                </c:pt>
                <c:pt idx="2">
                  <c:v>0.9618789325233239</c:v>
                </c:pt>
                <c:pt idx="3">
                  <c:v>0.79804729876328917</c:v>
                </c:pt>
                <c:pt idx="4">
                  <c:v>0.7406378824039922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700-40EC-A083-8FA2D52D28A0}"/>
            </c:ext>
          </c:extLst>
        </c:ser>
        <c:ser>
          <c:idx val="1"/>
          <c:order val="1"/>
          <c:tx>
            <c:strRef>
              <c:f>'Новосельский-РСФСР-графики'!$C$34</c:f>
              <c:strCache>
                <c:ptCount val="1"/>
                <c:pt idx="0">
                  <c:v>Нижегородская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'Новосельский-РСФСР-графики'!$A$35:$A$39</c:f>
              <c:numCache>
                <c:formatCode>General</c:formatCode>
                <c:ptCount val="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</c:numCache>
            </c:numRef>
          </c:xVal>
          <c:yVal>
            <c:numRef>
              <c:f>'Новосельский-РСФСР-графики'!$C$35:$C$39</c:f>
              <c:numCache>
                <c:formatCode>0.00</c:formatCode>
                <c:ptCount val="5"/>
                <c:pt idx="0">
                  <c:v>1</c:v>
                </c:pt>
                <c:pt idx="1">
                  <c:v>0.90666907753970405</c:v>
                </c:pt>
                <c:pt idx="2">
                  <c:v>0.86151041195793021</c:v>
                </c:pt>
                <c:pt idx="3">
                  <c:v>0.67311575204170815</c:v>
                </c:pt>
                <c:pt idx="4">
                  <c:v>0.54497785010396893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700-40EC-A083-8FA2D52D28A0}"/>
            </c:ext>
          </c:extLst>
        </c:ser>
        <c:ser>
          <c:idx val="2"/>
          <c:order val="2"/>
          <c:tx>
            <c:strRef>
              <c:f>'Новосельский-РСФСР-графики'!$D$34</c:f>
              <c:strCache>
                <c:ptCount val="1"/>
                <c:pt idx="0">
                  <c:v>Ярославская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'Новосельский-РСФСР-графики'!$A$35:$A$39</c:f>
              <c:numCache>
                <c:formatCode>General</c:formatCode>
                <c:ptCount val="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</c:numCache>
            </c:numRef>
          </c:xVal>
          <c:yVal>
            <c:numRef>
              <c:f>'Новосельский-РСФСР-графики'!$D$35:$D$39</c:f>
              <c:numCache>
                <c:formatCode>0.00</c:formatCode>
                <c:ptCount val="5"/>
                <c:pt idx="0">
                  <c:v>1</c:v>
                </c:pt>
                <c:pt idx="1">
                  <c:v>0.90547067779702839</c:v>
                </c:pt>
                <c:pt idx="2">
                  <c:v>0.81424896309130046</c:v>
                </c:pt>
                <c:pt idx="3">
                  <c:v>0.85097390665196615</c:v>
                </c:pt>
                <c:pt idx="4">
                  <c:v>0.96482385677534521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700-40EC-A083-8FA2D52D28A0}"/>
            </c:ext>
          </c:extLst>
        </c:ser>
        <c:ser>
          <c:idx val="3"/>
          <c:order val="3"/>
          <c:tx>
            <c:strRef>
              <c:f>'Новосельский-РСФСР-графики'!$E$34</c:f>
              <c:strCache>
                <c:ptCount val="1"/>
                <c:pt idx="0">
                  <c:v>Владимирская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'Новосельский-РСФСР-графики'!$A$35:$A$39</c:f>
              <c:numCache>
                <c:formatCode>General</c:formatCode>
                <c:ptCount val="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</c:numCache>
            </c:numRef>
          </c:xVal>
          <c:yVal>
            <c:numRef>
              <c:f>'Новосельский-РСФСР-графики'!$E$35:$E$39</c:f>
              <c:numCache>
                <c:formatCode>0.00</c:formatCode>
                <c:ptCount val="5"/>
                <c:pt idx="0">
                  <c:v>1</c:v>
                </c:pt>
                <c:pt idx="1">
                  <c:v>0.88300743414408001</c:v>
                </c:pt>
                <c:pt idx="2">
                  <c:v>0.87489444839975494</c:v>
                </c:pt>
                <c:pt idx="3">
                  <c:v>0.79692699968541481</c:v>
                </c:pt>
                <c:pt idx="4">
                  <c:v>0.68695465006540057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700-40EC-A083-8FA2D52D28A0}"/>
            </c:ext>
          </c:extLst>
        </c:ser>
        <c:ser>
          <c:idx val="4"/>
          <c:order val="4"/>
          <c:tx>
            <c:strRef>
              <c:f>'Новосельский-РСФСР-графики'!$F$34</c:f>
              <c:strCache>
                <c:ptCount val="1"/>
                <c:pt idx="0">
                  <c:v>гор. Москва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'Новосельский-РСФСР-графики'!$A$35:$A$39</c:f>
              <c:numCache>
                <c:formatCode>General</c:formatCode>
                <c:ptCount val="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</c:numCache>
            </c:numRef>
          </c:xVal>
          <c:yVal>
            <c:numRef>
              <c:f>'Новосельский-РСФСР-графики'!$F$35:$F$39</c:f>
              <c:numCache>
                <c:formatCode>0.00</c:formatCode>
                <c:ptCount val="5"/>
                <c:pt idx="0">
                  <c:v>1</c:v>
                </c:pt>
                <c:pt idx="1">
                  <c:v>1.0061516452074393</c:v>
                </c:pt>
                <c:pt idx="2">
                  <c:v>1.2567954220314734</c:v>
                </c:pt>
                <c:pt idx="3">
                  <c:v>1.1853600381497378</c:v>
                </c:pt>
                <c:pt idx="4">
                  <c:v>1.0620410109680496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C700-40EC-A083-8FA2D52D28A0}"/>
            </c:ext>
          </c:extLst>
        </c:ser>
        <c:ser>
          <c:idx val="5"/>
          <c:order val="5"/>
          <c:tx>
            <c:strRef>
              <c:f>'Новосельский-РСФСР-графики'!$G$34</c:f>
              <c:strCache>
                <c:ptCount val="1"/>
                <c:pt idx="0">
                  <c:v>Тверская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'Новосельский-РСФСР-графики'!$A$35:$A$39</c:f>
              <c:numCache>
                <c:formatCode>General</c:formatCode>
                <c:ptCount val="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</c:numCache>
            </c:numRef>
          </c:xVal>
          <c:yVal>
            <c:numRef>
              <c:f>'Новосельский-РСФСР-графики'!$G$35:$G$39</c:f>
              <c:numCache>
                <c:formatCode>0.00</c:formatCode>
                <c:ptCount val="5"/>
                <c:pt idx="0">
                  <c:v>1</c:v>
                </c:pt>
                <c:pt idx="1">
                  <c:v>0.92440718131777477</c:v>
                </c:pt>
                <c:pt idx="2">
                  <c:v>0.88776566226208509</c:v>
                </c:pt>
                <c:pt idx="3">
                  <c:v>0.97442742939420757</c:v>
                </c:pt>
                <c:pt idx="4">
                  <c:v>0.81590748878856512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C700-40EC-A083-8FA2D52D28A0}"/>
            </c:ext>
          </c:extLst>
        </c:ser>
        <c:ser>
          <c:idx val="6"/>
          <c:order val="6"/>
          <c:tx>
            <c:strRef>
              <c:f>'Новосельский-РСФСР-графики'!$H$34</c:f>
              <c:strCache>
                <c:ptCount val="1"/>
                <c:pt idx="0">
                  <c:v>Тульская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'Новосельский-РСФСР-графики'!$A$35:$A$39</c:f>
              <c:numCache>
                <c:formatCode>General</c:formatCode>
                <c:ptCount val="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</c:numCache>
            </c:numRef>
          </c:xVal>
          <c:yVal>
            <c:numRef>
              <c:f>'Новосельский-РСФСР-графики'!$H$35:$H$39</c:f>
              <c:numCache>
                <c:formatCode>0.00</c:formatCode>
                <c:ptCount val="5"/>
                <c:pt idx="0">
                  <c:v>1</c:v>
                </c:pt>
                <c:pt idx="1">
                  <c:v>0.93453055672507046</c:v>
                </c:pt>
                <c:pt idx="2">
                  <c:v>0.77912361952262199</c:v>
                </c:pt>
                <c:pt idx="3">
                  <c:v>0.8435890792499271</c:v>
                </c:pt>
                <c:pt idx="4">
                  <c:v>0.90807073226025847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C700-40EC-A083-8FA2D52D28A0}"/>
            </c:ext>
          </c:extLst>
        </c:ser>
        <c:ser>
          <c:idx val="7"/>
          <c:order val="7"/>
          <c:tx>
            <c:strRef>
              <c:f>'Новосельский-РСФСР-графики'!$I$34</c:f>
              <c:strCache>
                <c:ptCount val="1"/>
                <c:pt idx="0">
                  <c:v>г. Петроград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'Новосельский-РСФСР-графики'!$A$35:$A$39</c:f>
              <c:numCache>
                <c:formatCode>General</c:formatCode>
                <c:ptCount val="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</c:numCache>
            </c:numRef>
          </c:xVal>
          <c:yVal>
            <c:numRef>
              <c:f>'Новосельский-РСФСР-графики'!$I$35:$I$39</c:f>
              <c:numCache>
                <c:formatCode>0.00</c:formatCode>
                <c:ptCount val="5"/>
                <c:pt idx="0">
                  <c:v>1</c:v>
                </c:pt>
                <c:pt idx="1">
                  <c:v>1.0473308982088632</c:v>
                </c:pt>
                <c:pt idx="2">
                  <c:v>1.1632706948906395</c:v>
                </c:pt>
                <c:pt idx="3">
                  <c:v>1.2317915768164416</c:v>
                </c:pt>
                <c:pt idx="4">
                  <c:v>1.3422523434405669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C700-40EC-A083-8FA2D52D28A0}"/>
            </c:ext>
          </c:extLst>
        </c:ser>
        <c:ser>
          <c:idx val="8"/>
          <c:order val="8"/>
          <c:tx>
            <c:strRef>
              <c:f>'Новосельский-РСФСР-графики'!$J$34</c:f>
              <c:strCache>
                <c:ptCount val="1"/>
                <c:pt idx="0">
                  <c:v>среднее</c:v>
                </c:pt>
              </c:strCache>
            </c:strRef>
          </c:tx>
          <c:spPr>
            <a:ln w="571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57150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'Новосельский-РСФСР-графики'!$A$35:$A$39</c:f>
              <c:numCache>
                <c:formatCode>General</c:formatCode>
                <c:ptCount val="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</c:numCache>
            </c:numRef>
          </c:xVal>
          <c:yVal>
            <c:numRef>
              <c:f>'Новосельский-РСФСР-графики'!$J$35:$J$39</c:f>
              <c:numCache>
                <c:formatCode>0.00</c:formatCode>
                <c:ptCount val="5"/>
                <c:pt idx="0">
                  <c:v>1</c:v>
                </c:pt>
                <c:pt idx="1">
                  <c:v>0.95684471885339217</c:v>
                </c:pt>
                <c:pt idx="2">
                  <c:v>0.94993601933489114</c:v>
                </c:pt>
                <c:pt idx="3">
                  <c:v>0.91927901009408663</c:v>
                </c:pt>
                <c:pt idx="4">
                  <c:v>0.88320822685076839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C700-40EC-A083-8FA2D52D28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4434832"/>
        <c:axId val="1824435312"/>
      </c:scatterChart>
      <c:valAx>
        <c:axId val="1824434832"/>
        <c:scaling>
          <c:orientation val="minMax"/>
          <c:max val="1917"/>
          <c:min val="1913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824435312"/>
        <c:crosses val="autoZero"/>
        <c:crossBetween val="midCat"/>
        <c:majorUnit val="1"/>
      </c:valAx>
      <c:valAx>
        <c:axId val="1824435312"/>
        <c:scaling>
          <c:orientation val="minMax"/>
          <c:min val="0.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8244348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 b="1" i="0" baseline="0"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9524</xdr:colOff>
      <xdr:row>31</xdr:row>
      <xdr:rowOff>185737</xdr:rowOff>
    </xdr:from>
    <xdr:to>
      <xdr:col>16</xdr:col>
      <xdr:colOff>600075</xdr:colOff>
      <xdr:row>68</xdr:row>
      <xdr:rowOff>180975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31AA8490-AFF6-4FE6-890F-3D90305A157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14287</xdr:colOff>
      <xdr:row>71</xdr:row>
      <xdr:rowOff>14286</xdr:rowOff>
    </xdr:from>
    <xdr:to>
      <xdr:col>17</xdr:col>
      <xdr:colOff>28575</xdr:colOff>
      <xdr:row>106</xdr:row>
      <xdr:rowOff>190499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9EFD26A6-13D8-4665-BD9F-B302B4A99F6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802004</xdr:colOff>
      <xdr:row>21</xdr:row>
      <xdr:rowOff>181926</xdr:rowOff>
    </xdr:from>
    <xdr:to>
      <xdr:col>34</xdr:col>
      <xdr:colOff>0</xdr:colOff>
      <xdr:row>67</xdr:row>
      <xdr:rowOff>19049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8C0E1108-496B-9D01-3C4D-F22E7BF02EE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0</xdr:colOff>
      <xdr:row>21</xdr:row>
      <xdr:rowOff>151445</xdr:rowOff>
    </xdr:from>
    <xdr:to>
      <xdr:col>19</xdr:col>
      <xdr:colOff>0</xdr:colOff>
      <xdr:row>63</xdr:row>
      <xdr:rowOff>9524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274186E0-9CBD-6604-B573-1781377685F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23812</xdr:colOff>
      <xdr:row>2</xdr:row>
      <xdr:rowOff>23812</xdr:rowOff>
    </xdr:from>
    <xdr:to>
      <xdr:col>21</xdr:col>
      <xdr:colOff>76200</xdr:colOff>
      <xdr:row>43</xdr:row>
      <xdr:rowOff>57150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25ECECB-EA4A-4D56-83E7-C5C24C51635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22</xdr:col>
      <xdr:colOff>19050</xdr:colOff>
      <xdr:row>1</xdr:row>
      <xdr:rowOff>180975</xdr:rowOff>
    </xdr:from>
    <xdr:to>
      <xdr:col>38</xdr:col>
      <xdr:colOff>1</xdr:colOff>
      <xdr:row>38</xdr:row>
      <xdr:rowOff>176213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6E2809E-D589-454C-AC66-677798E43F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23812</xdr:colOff>
      <xdr:row>77</xdr:row>
      <xdr:rowOff>14286</xdr:rowOff>
    </xdr:from>
    <xdr:to>
      <xdr:col>19</xdr:col>
      <xdr:colOff>0</xdr:colOff>
      <xdr:row>114</xdr:row>
      <xdr:rowOff>190499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F98DE59-9D80-4214-840B-7756413B7A7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14287</xdr:colOff>
      <xdr:row>118</xdr:row>
      <xdr:rowOff>14286</xdr:rowOff>
    </xdr:from>
    <xdr:to>
      <xdr:col>23</xdr:col>
      <xdr:colOff>28575</xdr:colOff>
      <xdr:row>144</xdr:row>
      <xdr:rowOff>171449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6CB20500-FA8B-4E33-82A5-968CA38E7CB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609599</xdr:colOff>
      <xdr:row>145</xdr:row>
      <xdr:rowOff>176211</xdr:rowOff>
    </xdr:from>
    <xdr:to>
      <xdr:col>24</xdr:col>
      <xdr:colOff>9524</xdr:colOff>
      <xdr:row>179</xdr:row>
      <xdr:rowOff>171450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74571901-B57D-4A0A-B020-9368F22ED38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604837</xdr:colOff>
      <xdr:row>78</xdr:row>
      <xdr:rowOff>176211</xdr:rowOff>
    </xdr:from>
    <xdr:to>
      <xdr:col>20</xdr:col>
      <xdr:colOff>9525</xdr:colOff>
      <xdr:row>114</xdr:row>
      <xdr:rowOff>28574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579A21D-17F4-4AE0-8851-B33684873B1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1</xdr:row>
      <xdr:rowOff>952</xdr:rowOff>
    </xdr:from>
    <xdr:to>
      <xdr:col>29</xdr:col>
      <xdr:colOff>600075</xdr:colOff>
      <xdr:row>36</xdr:row>
      <xdr:rowOff>171450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6BE562EC-6069-134D-D431-EC44472B16E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638174</xdr:colOff>
      <xdr:row>40</xdr:row>
      <xdr:rowOff>8572</xdr:rowOff>
    </xdr:from>
    <xdr:to>
      <xdr:col>30</xdr:col>
      <xdr:colOff>9524</xdr:colOff>
      <xdr:row>75</xdr:row>
      <xdr:rowOff>47625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69F6264B-D99E-6DC6-1A13-C984E11ADC9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WINAPPS/ExcelOSR/Osier00_Win32_20220524/ExcelOSR/OSR/OSR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Sheet2"/>
      <sheetName val="Sheet3"/>
    </sheetNames>
    <definedNames>
      <definedName name="YearAveragePopulation"/>
    </definedNames>
    <sheetDataSet>
      <sheetData sheetId="0"/>
      <sheetData sheetId="1"/>
      <sheetData sheetId="2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28229-44D1-4DD2-9CCC-1A2F3690299E}">
  <sheetPr codeName="Sheet1"/>
  <dimension ref="A1:U31"/>
  <sheetViews>
    <sheetView workbookViewId="0">
      <selection activeCell="G8" sqref="G8:G18"/>
    </sheetView>
  </sheetViews>
  <sheetFormatPr defaultRowHeight="15" x14ac:dyDescent="0.25"/>
  <sheetData>
    <row r="1" spans="1:21" ht="18.75" x14ac:dyDescent="0.3">
      <c r="A1" s="6" t="s">
        <v>17</v>
      </c>
    </row>
    <row r="5" spans="1:21" x14ac:dyDescent="0.25">
      <c r="B5" s="44" t="s">
        <v>6</v>
      </c>
      <c r="C5" s="44"/>
      <c r="D5" s="44"/>
      <c r="E5" s="44"/>
      <c r="F5" s="44"/>
      <c r="G5" s="44"/>
      <c r="H5" s="44"/>
      <c r="I5" s="44"/>
      <c r="J5" s="45" t="s">
        <v>7</v>
      </c>
      <c r="K5" s="45"/>
      <c r="L5" s="45"/>
      <c r="M5" s="45"/>
      <c r="N5" s="45"/>
      <c r="O5" s="45"/>
      <c r="P5" s="45"/>
      <c r="Q5" s="45"/>
      <c r="R5" s="45"/>
    </row>
    <row r="6" spans="1:21" x14ac:dyDescent="0.25">
      <c r="A6" s="16" t="s">
        <v>3</v>
      </c>
      <c r="B6" s="8" t="s">
        <v>8</v>
      </c>
      <c r="C6" s="8" t="s">
        <v>9</v>
      </c>
      <c r="D6" s="8" t="s">
        <v>10</v>
      </c>
      <c r="E6" s="8" t="s">
        <v>11</v>
      </c>
      <c r="F6" s="8" t="s">
        <v>12</v>
      </c>
      <c r="G6" s="8" t="s">
        <v>13</v>
      </c>
      <c r="H6" s="8" t="s">
        <v>14</v>
      </c>
      <c r="I6" s="8" t="s">
        <v>5</v>
      </c>
      <c r="J6" s="9" t="s">
        <v>8</v>
      </c>
      <c r="K6" s="9" t="s">
        <v>9</v>
      </c>
      <c r="L6" s="9" t="s">
        <v>10</v>
      </c>
      <c r="M6" s="9" t="s">
        <v>11</v>
      </c>
      <c r="N6" s="9" t="s">
        <v>12</v>
      </c>
      <c r="O6" s="9" t="s">
        <v>13</v>
      </c>
      <c r="P6" s="9" t="s">
        <v>5</v>
      </c>
      <c r="Q6" s="9" t="s">
        <v>15</v>
      </c>
      <c r="R6" s="9" t="s">
        <v>16</v>
      </c>
    </row>
    <row r="7" spans="1:21" x14ac:dyDescent="0.25">
      <c r="A7" s="42">
        <v>1913</v>
      </c>
      <c r="B7" s="40"/>
      <c r="C7" s="40"/>
      <c r="D7" s="41">
        <v>47</v>
      </c>
      <c r="E7" s="41">
        <v>44.1</v>
      </c>
      <c r="F7" s="40"/>
      <c r="G7" s="41">
        <v>47</v>
      </c>
      <c r="H7" s="40"/>
      <c r="I7" s="40"/>
      <c r="J7" s="40"/>
      <c r="K7" s="40"/>
      <c r="L7" s="41">
        <v>30.2</v>
      </c>
      <c r="M7" s="41">
        <v>24.7</v>
      </c>
      <c r="N7" s="40"/>
      <c r="O7" s="41">
        <v>30.2</v>
      </c>
      <c r="P7" s="40"/>
      <c r="Q7" s="40"/>
      <c r="R7" s="40"/>
    </row>
    <row r="8" spans="1:21" x14ac:dyDescent="0.25">
      <c r="A8" s="42">
        <v>1914</v>
      </c>
      <c r="B8" s="40"/>
      <c r="C8" s="40">
        <v>43.7</v>
      </c>
      <c r="D8" s="41">
        <v>43.7</v>
      </c>
      <c r="E8" s="41">
        <v>45.4</v>
      </c>
      <c r="F8" s="40"/>
      <c r="G8" s="41">
        <v>46.9</v>
      </c>
      <c r="H8" s="40"/>
      <c r="I8" s="40"/>
      <c r="J8" s="40"/>
      <c r="K8" s="40">
        <v>27.2</v>
      </c>
      <c r="L8" s="41">
        <v>27.2</v>
      </c>
      <c r="M8" s="41">
        <v>26.6</v>
      </c>
      <c r="N8" s="40"/>
      <c r="O8" s="41">
        <v>29.6</v>
      </c>
      <c r="P8" s="40"/>
      <c r="Q8" s="40"/>
      <c r="R8" s="40"/>
    </row>
    <row r="9" spans="1:21" x14ac:dyDescent="0.25">
      <c r="A9" s="43">
        <v>1915</v>
      </c>
      <c r="B9" s="38"/>
      <c r="C9" s="38">
        <v>35.9</v>
      </c>
      <c r="D9" s="38">
        <v>35.9</v>
      </c>
      <c r="E9" s="38">
        <v>43.1</v>
      </c>
      <c r="F9" s="38"/>
      <c r="G9" s="38">
        <v>39.700000000000003</v>
      </c>
      <c r="H9" s="38"/>
      <c r="I9" s="38"/>
      <c r="J9" s="38"/>
      <c r="K9" s="38">
        <v>28.8</v>
      </c>
      <c r="L9" s="38">
        <v>28.8</v>
      </c>
      <c r="M9" s="38">
        <v>25.6</v>
      </c>
      <c r="N9" s="38"/>
      <c r="O9" s="38">
        <v>35.4</v>
      </c>
      <c r="P9" s="38"/>
      <c r="Q9" s="38"/>
      <c r="R9" s="38"/>
    </row>
    <row r="10" spans="1:21" x14ac:dyDescent="0.25">
      <c r="A10" s="43">
        <v>1916</v>
      </c>
      <c r="B10" s="38"/>
      <c r="C10" s="38">
        <v>27.1</v>
      </c>
      <c r="D10" s="38">
        <v>27.1</v>
      </c>
      <c r="E10" s="38">
        <v>37.4</v>
      </c>
      <c r="F10" s="38"/>
      <c r="G10" s="38">
        <v>29.9</v>
      </c>
      <c r="H10" s="38"/>
      <c r="I10" s="38"/>
      <c r="J10" s="38"/>
      <c r="K10" s="38">
        <v>25.4</v>
      </c>
      <c r="L10" s="38">
        <v>25.4</v>
      </c>
      <c r="M10" s="38">
        <v>42.6</v>
      </c>
      <c r="N10" s="38"/>
      <c r="O10" s="38">
        <v>33</v>
      </c>
      <c r="P10" s="38"/>
      <c r="Q10" s="38"/>
      <c r="R10" s="38"/>
    </row>
    <row r="11" spans="1:21" x14ac:dyDescent="0.25">
      <c r="A11" s="43">
        <v>1917</v>
      </c>
      <c r="B11" s="38"/>
      <c r="C11" s="38">
        <v>26.3</v>
      </c>
      <c r="D11" s="38">
        <v>26.3</v>
      </c>
      <c r="E11" s="38">
        <v>32.5</v>
      </c>
      <c r="F11" s="38"/>
      <c r="G11" s="38">
        <v>23.9</v>
      </c>
      <c r="H11" s="38"/>
      <c r="I11" s="39">
        <v>27.4</v>
      </c>
      <c r="J11" s="38"/>
      <c r="K11" s="38">
        <v>29.1</v>
      </c>
      <c r="L11" s="38">
        <v>29.1</v>
      </c>
      <c r="M11" s="38">
        <v>39.200000000000003</v>
      </c>
      <c r="N11" s="38"/>
      <c r="O11" s="38">
        <v>28.2</v>
      </c>
      <c r="P11" s="39">
        <v>27.4</v>
      </c>
      <c r="Q11" s="39"/>
      <c r="R11" s="39"/>
      <c r="T11" s="46" t="s">
        <v>115</v>
      </c>
      <c r="U11" s="46"/>
    </row>
    <row r="12" spans="1:21" x14ac:dyDescent="0.25">
      <c r="A12" s="43">
        <v>1918</v>
      </c>
      <c r="B12" s="38"/>
      <c r="C12" s="38">
        <v>34.700000000000003</v>
      </c>
      <c r="D12" s="38">
        <v>34.700000000000003</v>
      </c>
      <c r="E12" s="38">
        <v>28.8</v>
      </c>
      <c r="F12" s="38"/>
      <c r="G12" s="38">
        <v>32</v>
      </c>
      <c r="H12" s="38">
        <v>31.8</v>
      </c>
      <c r="I12" s="39">
        <v>33.1</v>
      </c>
      <c r="J12" s="38"/>
      <c r="K12" s="38">
        <v>44.2</v>
      </c>
      <c r="L12" s="38">
        <v>44.2</v>
      </c>
      <c r="M12" s="38">
        <v>47.1</v>
      </c>
      <c r="N12" s="38"/>
      <c r="O12" s="38"/>
      <c r="P12" s="39">
        <v>39.9</v>
      </c>
      <c r="Q12" s="38">
        <v>28.1</v>
      </c>
      <c r="R12" s="38">
        <v>30.2</v>
      </c>
      <c r="T12" s="2">
        <f>AVERAGE(P12,R12)</f>
        <v>35.049999999999997</v>
      </c>
      <c r="U12" s="2">
        <f>T12-27</f>
        <v>8.0499999999999972</v>
      </c>
    </row>
    <row r="13" spans="1:21" x14ac:dyDescent="0.25">
      <c r="A13" s="43">
        <v>1919</v>
      </c>
      <c r="B13" s="38"/>
      <c r="C13" s="38">
        <v>31.7</v>
      </c>
      <c r="D13" s="38">
        <v>31.7</v>
      </c>
      <c r="E13" s="38">
        <v>32.4</v>
      </c>
      <c r="F13" s="38"/>
      <c r="G13" s="38">
        <v>31</v>
      </c>
      <c r="H13" s="38">
        <v>30.8</v>
      </c>
      <c r="I13" s="39">
        <v>30</v>
      </c>
      <c r="J13" s="38"/>
      <c r="K13" s="38">
        <v>46.7</v>
      </c>
      <c r="L13" s="38">
        <v>46.7</v>
      </c>
      <c r="M13" s="38">
        <v>53.9</v>
      </c>
      <c r="N13" s="38"/>
      <c r="O13" s="38"/>
      <c r="P13" s="39">
        <v>65.5</v>
      </c>
      <c r="Q13" s="38">
        <v>39.4</v>
      </c>
      <c r="R13" s="38">
        <v>64</v>
      </c>
      <c r="T13" s="2">
        <f t="shared" ref="T13:T19" si="0">AVERAGE(P13,R13)</f>
        <v>64.75</v>
      </c>
      <c r="U13" s="2">
        <f t="shared" ref="U13:U18" si="1">T13-27</f>
        <v>37.75</v>
      </c>
    </row>
    <row r="14" spans="1:21" x14ac:dyDescent="0.25">
      <c r="A14" s="43">
        <v>1920</v>
      </c>
      <c r="B14" s="38">
        <v>30.9</v>
      </c>
      <c r="C14" s="38">
        <v>32.200000000000003</v>
      </c>
      <c r="D14" s="38">
        <v>32.200000000000003</v>
      </c>
      <c r="E14" s="38">
        <v>30.6</v>
      </c>
      <c r="F14" s="38">
        <v>39.299999999999997</v>
      </c>
      <c r="G14" s="38">
        <v>31.2</v>
      </c>
      <c r="H14" s="38">
        <v>31</v>
      </c>
      <c r="I14" s="39">
        <v>31.3</v>
      </c>
      <c r="J14" s="38">
        <v>35.299999999999997</v>
      </c>
      <c r="K14" s="38">
        <v>43.3</v>
      </c>
      <c r="L14" s="38">
        <v>43.3</v>
      </c>
      <c r="M14" s="38">
        <v>41</v>
      </c>
      <c r="N14" s="38">
        <v>45.4</v>
      </c>
      <c r="O14" s="38"/>
      <c r="P14" s="39">
        <v>79.5</v>
      </c>
      <c r="Q14" s="38">
        <v>49.9</v>
      </c>
      <c r="R14" s="38">
        <v>56.1</v>
      </c>
      <c r="T14" s="2">
        <f t="shared" si="0"/>
        <v>67.8</v>
      </c>
      <c r="U14" s="2">
        <f t="shared" si="1"/>
        <v>40.799999999999997</v>
      </c>
    </row>
    <row r="15" spans="1:21" x14ac:dyDescent="0.25">
      <c r="A15" s="43">
        <v>1921</v>
      </c>
      <c r="B15" s="38">
        <v>32.6</v>
      </c>
      <c r="C15" s="38">
        <v>37.299999999999997</v>
      </c>
      <c r="D15" s="38">
        <v>37.299999999999997</v>
      </c>
      <c r="E15" s="38">
        <v>31.7</v>
      </c>
      <c r="F15" s="38">
        <v>40.6</v>
      </c>
      <c r="G15" s="38">
        <v>35.5</v>
      </c>
      <c r="H15" s="38">
        <v>35.299999999999997</v>
      </c>
      <c r="I15" s="39">
        <v>37.799999999999997</v>
      </c>
      <c r="J15" s="38">
        <v>29.2</v>
      </c>
      <c r="K15" s="38">
        <v>29.7</v>
      </c>
      <c r="L15" s="38">
        <v>40</v>
      </c>
      <c r="M15" s="38">
        <v>37.1</v>
      </c>
      <c r="N15" s="38">
        <v>39.799999999999997</v>
      </c>
      <c r="O15" s="38"/>
      <c r="P15" s="39">
        <v>40.4</v>
      </c>
      <c r="Q15" s="38">
        <v>42.6</v>
      </c>
      <c r="R15" s="38">
        <v>41.4</v>
      </c>
      <c r="T15" s="2">
        <f t="shared" si="0"/>
        <v>40.9</v>
      </c>
      <c r="U15" s="2">
        <f t="shared" si="1"/>
        <v>13.899999999999999</v>
      </c>
    </row>
    <row r="16" spans="1:21" x14ac:dyDescent="0.25">
      <c r="A16" s="43">
        <v>1922</v>
      </c>
      <c r="B16" s="38">
        <v>33.4</v>
      </c>
      <c r="C16" s="38">
        <v>38.200000000000003</v>
      </c>
      <c r="D16" s="38">
        <v>38.200000000000003</v>
      </c>
      <c r="E16" s="38">
        <v>35</v>
      </c>
      <c r="F16" s="38">
        <v>43.7</v>
      </c>
      <c r="G16" s="38">
        <v>37.299999999999997</v>
      </c>
      <c r="H16" s="38">
        <v>36.799999999999997</v>
      </c>
      <c r="I16" s="39">
        <v>41.4</v>
      </c>
      <c r="J16" s="38">
        <v>32.1</v>
      </c>
      <c r="K16" s="38">
        <v>29.6</v>
      </c>
      <c r="L16" s="38">
        <v>29.6</v>
      </c>
      <c r="M16" s="38">
        <v>29.8</v>
      </c>
      <c r="N16" s="38">
        <v>38.799999999999997</v>
      </c>
      <c r="O16" s="38"/>
      <c r="P16" s="39">
        <v>55.3</v>
      </c>
      <c r="Q16" s="38">
        <v>43</v>
      </c>
      <c r="R16" s="38">
        <v>47.1</v>
      </c>
      <c r="T16" s="2">
        <f t="shared" si="0"/>
        <v>51.2</v>
      </c>
      <c r="U16" s="2">
        <f t="shared" si="1"/>
        <v>24.200000000000003</v>
      </c>
    </row>
    <row r="17" spans="1:21" x14ac:dyDescent="0.25">
      <c r="A17" s="43">
        <v>1923</v>
      </c>
      <c r="B17" s="38">
        <v>42.8</v>
      </c>
      <c r="C17" s="38">
        <v>45.5</v>
      </c>
      <c r="D17" s="38">
        <v>45.5</v>
      </c>
      <c r="E17" s="38">
        <v>36.200000000000003</v>
      </c>
      <c r="F17" s="38">
        <v>47</v>
      </c>
      <c r="G17" s="38">
        <v>43.9</v>
      </c>
      <c r="H17" s="38">
        <v>42.8</v>
      </c>
      <c r="I17" s="39">
        <v>46.5</v>
      </c>
      <c r="J17" s="38">
        <v>23.1</v>
      </c>
      <c r="K17" s="38">
        <v>25.5</v>
      </c>
      <c r="L17" s="38">
        <v>25.5</v>
      </c>
      <c r="M17" s="38">
        <v>38</v>
      </c>
      <c r="N17" s="38">
        <v>29.1</v>
      </c>
      <c r="O17" s="38"/>
      <c r="P17" s="39">
        <v>22.3</v>
      </c>
      <c r="Q17" s="38">
        <v>28.1</v>
      </c>
      <c r="R17" s="38">
        <v>28.7</v>
      </c>
      <c r="T17" s="2">
        <f t="shared" si="0"/>
        <v>25.5</v>
      </c>
      <c r="U17" s="2">
        <f t="shared" si="1"/>
        <v>-1.5</v>
      </c>
    </row>
    <row r="18" spans="1:21" x14ac:dyDescent="0.25">
      <c r="A18" s="43">
        <v>1924</v>
      </c>
      <c r="B18" s="38">
        <v>43.8</v>
      </c>
      <c r="C18" s="38">
        <v>42.2</v>
      </c>
      <c r="D18" s="38">
        <v>42.2</v>
      </c>
      <c r="E18" s="38">
        <v>44</v>
      </c>
      <c r="F18" s="38">
        <v>49</v>
      </c>
      <c r="G18" s="38">
        <v>42</v>
      </c>
      <c r="H18" s="38">
        <v>41</v>
      </c>
      <c r="I18" s="39">
        <v>43.6</v>
      </c>
      <c r="J18" s="38">
        <v>24.1</v>
      </c>
      <c r="K18" s="38">
        <v>23.5</v>
      </c>
      <c r="L18" s="38">
        <v>23.5</v>
      </c>
      <c r="M18" s="38">
        <v>22.5</v>
      </c>
      <c r="N18" s="38">
        <v>27.6</v>
      </c>
      <c r="O18" s="38"/>
      <c r="P18" s="39">
        <v>23.1</v>
      </c>
      <c r="Q18" s="38"/>
      <c r="R18" s="38">
        <v>22.4</v>
      </c>
      <c r="T18" s="2">
        <f t="shared" si="0"/>
        <v>22.75</v>
      </c>
      <c r="U18" s="2">
        <f t="shared" si="1"/>
        <v>-4.25</v>
      </c>
    </row>
    <row r="19" spans="1:21" x14ac:dyDescent="0.25">
      <c r="A19" s="43">
        <v>1925</v>
      </c>
      <c r="B19" s="38">
        <v>45.9</v>
      </c>
      <c r="C19" s="38">
        <v>43.9</v>
      </c>
      <c r="D19" s="38">
        <v>43.9</v>
      </c>
      <c r="E19" s="38">
        <v>42.3</v>
      </c>
      <c r="F19" s="38">
        <v>47.3</v>
      </c>
      <c r="G19" s="38"/>
      <c r="H19" s="38"/>
      <c r="I19" s="39">
        <v>45.7</v>
      </c>
      <c r="J19" s="38">
        <v>25.2</v>
      </c>
      <c r="K19" s="38">
        <v>24.5</v>
      </c>
      <c r="L19" s="38">
        <v>24.5</v>
      </c>
      <c r="M19" s="38">
        <v>21.7</v>
      </c>
      <c r="N19" s="38">
        <v>28.7</v>
      </c>
      <c r="O19" s="38"/>
      <c r="P19" s="39">
        <v>23.3</v>
      </c>
      <c r="Q19" s="39"/>
      <c r="R19" s="38">
        <v>23.8</v>
      </c>
      <c r="T19" s="2">
        <f t="shared" si="0"/>
        <v>23.55</v>
      </c>
    </row>
    <row r="20" spans="1:21" x14ac:dyDescent="0.25">
      <c r="A20" s="43">
        <v>1926</v>
      </c>
      <c r="B20" s="38">
        <v>44.7</v>
      </c>
      <c r="C20" s="38">
        <v>42.5</v>
      </c>
      <c r="D20" s="38">
        <v>42.5</v>
      </c>
      <c r="E20" s="38">
        <v>43.8</v>
      </c>
      <c r="F20" s="38">
        <v>45.6</v>
      </c>
      <c r="G20" s="38"/>
      <c r="H20" s="38"/>
      <c r="I20" s="39">
        <v>42.6</v>
      </c>
      <c r="J20" s="38">
        <v>21.3</v>
      </c>
      <c r="K20" s="38">
        <v>21.5</v>
      </c>
      <c r="L20" s="38">
        <v>21.5</v>
      </c>
      <c r="M20" s="38">
        <v>22.9</v>
      </c>
      <c r="N20" s="38">
        <v>25.5</v>
      </c>
      <c r="O20" s="38"/>
      <c r="P20" s="39">
        <v>19.899999999999999</v>
      </c>
      <c r="Q20" s="39"/>
      <c r="R20" s="38">
        <v>22.7</v>
      </c>
    </row>
    <row r="22" spans="1:21" x14ac:dyDescent="0.25">
      <c r="A22" t="s">
        <v>8</v>
      </c>
      <c r="B22" t="s">
        <v>18</v>
      </c>
    </row>
    <row r="23" spans="1:21" x14ac:dyDescent="0.25">
      <c r="A23" t="s">
        <v>9</v>
      </c>
      <c r="B23" t="s">
        <v>19</v>
      </c>
    </row>
    <row r="24" spans="1:21" x14ac:dyDescent="0.25">
      <c r="A24" t="s">
        <v>10</v>
      </c>
      <c r="B24" t="s">
        <v>20</v>
      </c>
    </row>
    <row r="25" spans="1:21" x14ac:dyDescent="0.25">
      <c r="A25" t="s">
        <v>11</v>
      </c>
      <c r="B25" t="s">
        <v>0</v>
      </c>
    </row>
    <row r="26" spans="1:21" x14ac:dyDescent="0.25">
      <c r="A26" t="s">
        <v>12</v>
      </c>
      <c r="B26" t="s">
        <v>21</v>
      </c>
    </row>
    <row r="27" spans="1:21" x14ac:dyDescent="0.25">
      <c r="A27" t="s">
        <v>13</v>
      </c>
      <c r="B27" t="s">
        <v>22</v>
      </c>
    </row>
    <row r="28" spans="1:21" x14ac:dyDescent="0.25">
      <c r="A28" t="s">
        <v>14</v>
      </c>
      <c r="B28" t="s">
        <v>23</v>
      </c>
    </row>
    <row r="29" spans="1:21" x14ac:dyDescent="0.25">
      <c r="A29" t="s">
        <v>5</v>
      </c>
      <c r="B29" t="s">
        <v>24</v>
      </c>
    </row>
    <row r="30" spans="1:21" x14ac:dyDescent="0.25">
      <c r="A30" t="s">
        <v>15</v>
      </c>
      <c r="B30" t="s">
        <v>25</v>
      </c>
    </row>
    <row r="31" spans="1:21" x14ac:dyDescent="0.25">
      <c r="A31" t="s">
        <v>16</v>
      </c>
      <c r="B31" t="s">
        <v>25</v>
      </c>
    </row>
  </sheetData>
  <mergeCells count="3">
    <mergeCell ref="B5:I5"/>
    <mergeCell ref="J5:R5"/>
    <mergeCell ref="T11:U11"/>
  </mergeCell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21878B-4C6A-4A41-8450-F0C8CBD0F660}">
  <sheetPr codeName="Sheet2"/>
  <dimension ref="A1:Q20"/>
  <sheetViews>
    <sheetView workbookViewId="0">
      <selection activeCell="A3" sqref="A3:J20"/>
    </sheetView>
  </sheetViews>
  <sheetFormatPr defaultRowHeight="15" x14ac:dyDescent="0.25"/>
  <cols>
    <col min="7" max="7" width="16" customWidth="1"/>
    <col min="8" max="9" width="11.5703125" bestFit="1" customWidth="1"/>
  </cols>
  <sheetData>
    <row r="1" spans="1:17" ht="18.75" x14ac:dyDescent="0.3">
      <c r="A1" s="6" t="s">
        <v>110</v>
      </c>
    </row>
    <row r="3" spans="1:17" x14ac:dyDescent="0.25">
      <c r="A3" s="12" t="s">
        <v>3</v>
      </c>
      <c r="B3" s="12" t="s">
        <v>1</v>
      </c>
      <c r="C3" s="12" t="s">
        <v>2</v>
      </c>
      <c r="D3" s="12" t="s">
        <v>4</v>
      </c>
      <c r="E3" s="13" t="s">
        <v>26</v>
      </c>
      <c r="F3" s="12" t="s">
        <v>30</v>
      </c>
      <c r="G3" s="12" t="s">
        <v>27</v>
      </c>
      <c r="H3" s="12" t="s">
        <v>28</v>
      </c>
      <c r="I3" s="12" t="s">
        <v>29</v>
      </c>
      <c r="J3" s="12" t="s">
        <v>32</v>
      </c>
    </row>
    <row r="4" spans="1:17" x14ac:dyDescent="0.25">
      <c r="A4">
        <v>1915</v>
      </c>
      <c r="B4" s="7">
        <v>35.9</v>
      </c>
      <c r="C4" s="7">
        <v>28.8</v>
      </c>
      <c r="D4" s="7">
        <f>B4-C4</f>
        <v>7.0999999999999979</v>
      </c>
      <c r="E4" s="11">
        <v>-5</v>
      </c>
      <c r="F4" s="3">
        <v>90834</v>
      </c>
      <c r="G4" s="4">
        <f>[1]!YearAveragePopulation(F4,B4,C4,E4)</f>
        <v>91154.719286336243</v>
      </c>
      <c r="H4" s="4">
        <f>G4*B4/1000</f>
        <v>3272.454422379471</v>
      </c>
      <c r="I4" s="4">
        <f>G4*C4/1000</f>
        <v>2625.2559154464839</v>
      </c>
      <c r="J4" s="4">
        <f>H4-I4</f>
        <v>647.19850693298713</v>
      </c>
      <c r="L4" s="2"/>
      <c r="O4" s="3"/>
      <c r="P4" s="3"/>
      <c r="Q4" s="3"/>
    </row>
    <row r="5" spans="1:17" x14ac:dyDescent="0.25">
      <c r="A5">
        <v>1916</v>
      </c>
      <c r="B5" s="7">
        <v>27.1</v>
      </c>
      <c r="C5" s="7">
        <v>25.4</v>
      </c>
      <c r="D5" s="7">
        <f t="shared" ref="D5:D15" si="0">B5-C5</f>
        <v>1.7000000000000028</v>
      </c>
      <c r="E5" s="11">
        <v>-5</v>
      </c>
      <c r="F5" s="4">
        <f>F4+J4+E4</f>
        <v>91476.198506932982</v>
      </c>
      <c r="G5" s="4">
        <f t="shared" ref="G5:G15" si="1">[1]!YearAveragePopulation(F5,B5,C5,E5)</f>
        <v>91551.495938166234</v>
      </c>
      <c r="H5" s="4">
        <f t="shared" ref="H5:H15" si="2">G5*B5/1000</f>
        <v>2481.0455399243051</v>
      </c>
      <c r="I5" s="4">
        <f t="shared" ref="I5:I15" si="3">G5*C5/1000</f>
        <v>2325.4079968294222</v>
      </c>
      <c r="J5" s="4">
        <f t="shared" ref="J5:J15" si="4">H5-I5</f>
        <v>155.63754309488286</v>
      </c>
      <c r="L5" s="2"/>
      <c r="O5" s="3"/>
      <c r="P5" s="3"/>
    </row>
    <row r="6" spans="1:17" x14ac:dyDescent="0.25">
      <c r="A6">
        <v>1917</v>
      </c>
      <c r="B6" s="7">
        <v>26.3</v>
      </c>
      <c r="C6" s="7">
        <v>29.1</v>
      </c>
      <c r="D6" s="7">
        <f t="shared" si="0"/>
        <v>-2.8000000000000007</v>
      </c>
      <c r="E6" s="11">
        <v>-25</v>
      </c>
      <c r="F6" s="4">
        <f t="shared" ref="F6:F16" si="5">F5+J5+E5</f>
        <v>91626.836050027865</v>
      </c>
      <c r="G6" s="4">
        <f t="shared" si="1"/>
        <v>91486.189780034736</v>
      </c>
      <c r="H6" s="4">
        <f t="shared" si="2"/>
        <v>2406.0867912149138</v>
      </c>
      <c r="I6" s="4">
        <f t="shared" si="3"/>
        <v>2662.2481225990109</v>
      </c>
      <c r="J6" s="4">
        <f t="shared" si="4"/>
        <v>-256.16133138409714</v>
      </c>
      <c r="L6" s="2"/>
      <c r="O6" s="3"/>
      <c r="P6" s="4"/>
      <c r="Q6" s="3"/>
    </row>
    <row r="7" spans="1:17" x14ac:dyDescent="0.25">
      <c r="A7">
        <v>1918</v>
      </c>
      <c r="B7" s="7">
        <v>34.700000000000003</v>
      </c>
      <c r="C7" s="7">
        <v>44.2</v>
      </c>
      <c r="D7" s="7">
        <f t="shared" si="0"/>
        <v>-9.5</v>
      </c>
      <c r="E7" s="11">
        <v>-220</v>
      </c>
      <c r="F7" s="4">
        <f t="shared" si="5"/>
        <v>91345.674718643771</v>
      </c>
      <c r="G7" s="4">
        <f t="shared" si="1"/>
        <v>90803.501005493265</v>
      </c>
      <c r="H7" s="4">
        <f t="shared" si="2"/>
        <v>3150.8814848906163</v>
      </c>
      <c r="I7" s="4">
        <f t="shared" si="3"/>
        <v>4013.5147444428026</v>
      </c>
      <c r="J7" s="4">
        <f t="shared" si="4"/>
        <v>-862.63325955218625</v>
      </c>
      <c r="L7" s="2"/>
      <c r="O7" s="3"/>
      <c r="P7" s="3"/>
    </row>
    <row r="8" spans="1:17" x14ac:dyDescent="0.25">
      <c r="A8">
        <v>1919</v>
      </c>
      <c r="B8" s="7">
        <v>31.7</v>
      </c>
      <c r="C8" s="7">
        <v>46.7</v>
      </c>
      <c r="D8" s="7">
        <f t="shared" si="0"/>
        <v>-15.000000000000004</v>
      </c>
      <c r="E8" s="11">
        <v>-270</v>
      </c>
      <c r="F8" s="4">
        <f t="shared" si="5"/>
        <v>90263.04145909159</v>
      </c>
      <c r="G8" s="4">
        <f t="shared" si="1"/>
        <v>89455.113333272529</v>
      </c>
      <c r="H8" s="4">
        <f t="shared" si="2"/>
        <v>2835.7270926647393</v>
      </c>
      <c r="I8" s="4">
        <f t="shared" si="3"/>
        <v>4177.5537926638272</v>
      </c>
      <c r="J8" s="4">
        <f t="shared" si="4"/>
        <v>-1341.8266999990879</v>
      </c>
      <c r="L8" s="2"/>
      <c r="O8" s="3"/>
      <c r="P8" s="3"/>
    </row>
    <row r="9" spans="1:17" x14ac:dyDescent="0.25">
      <c r="A9">
        <v>1920</v>
      </c>
      <c r="B9" s="7">
        <v>32.200000000000003</v>
      </c>
      <c r="C9" s="7">
        <v>43.3</v>
      </c>
      <c r="D9" s="7">
        <f t="shared" si="0"/>
        <v>-11.099999999999994</v>
      </c>
      <c r="E9" s="11">
        <v>-390</v>
      </c>
      <c r="F9" s="4">
        <f t="shared" si="5"/>
        <v>88651.214759092501</v>
      </c>
      <c r="G9" s="4">
        <f t="shared" si="1"/>
        <v>87966.735431586829</v>
      </c>
      <c r="H9" s="4">
        <f t="shared" si="2"/>
        <v>2832.5288808970963</v>
      </c>
      <c r="I9" s="4">
        <f t="shared" si="3"/>
        <v>3808.9596441877093</v>
      </c>
      <c r="J9" s="4">
        <f t="shared" si="4"/>
        <v>-976.43076329061296</v>
      </c>
      <c r="L9" s="2"/>
      <c r="O9" s="3"/>
      <c r="P9" s="3"/>
      <c r="Q9" s="3"/>
    </row>
    <row r="10" spans="1:17" x14ac:dyDescent="0.25">
      <c r="A10">
        <v>1921</v>
      </c>
      <c r="B10" s="7">
        <v>37.299999999999997</v>
      </c>
      <c r="C10" s="7">
        <v>29.7</v>
      </c>
      <c r="D10" s="7">
        <f t="shared" si="0"/>
        <v>7.5999999999999979</v>
      </c>
      <c r="E10" s="11">
        <v>-150</v>
      </c>
      <c r="F10" s="4">
        <f t="shared" si="5"/>
        <v>87284.783995801889</v>
      </c>
      <c r="G10" s="4">
        <f t="shared" si="1"/>
        <v>87542.117673884684</v>
      </c>
      <c r="H10" s="4">
        <f t="shared" si="2"/>
        <v>3265.3209892358987</v>
      </c>
      <c r="I10" s="4">
        <f t="shared" si="3"/>
        <v>2600.0008949143753</v>
      </c>
      <c r="J10" s="4">
        <f t="shared" si="4"/>
        <v>665.32009432152336</v>
      </c>
      <c r="L10" s="2"/>
      <c r="O10" s="3"/>
      <c r="P10" s="3"/>
    </row>
    <row r="11" spans="1:17" x14ac:dyDescent="0.25">
      <c r="A11">
        <v>1922</v>
      </c>
      <c r="B11" s="7">
        <v>38.200000000000003</v>
      </c>
      <c r="C11" s="7">
        <v>29.6</v>
      </c>
      <c r="D11" s="7">
        <f t="shared" si="0"/>
        <v>8.6000000000000014</v>
      </c>
      <c r="E11" s="11">
        <v>-55</v>
      </c>
      <c r="F11" s="4">
        <f t="shared" si="5"/>
        <v>87800.104090123408</v>
      </c>
      <c r="G11" s="4">
        <f t="shared" si="1"/>
        <v>88151.150148125424</v>
      </c>
      <c r="H11" s="4">
        <f t="shared" si="2"/>
        <v>3367.3739356583915</v>
      </c>
      <c r="I11" s="4">
        <f t="shared" si="3"/>
        <v>2609.2740443845128</v>
      </c>
      <c r="J11" s="4">
        <f t="shared" si="4"/>
        <v>758.09989127387871</v>
      </c>
      <c r="L11" s="2"/>
      <c r="O11" s="3"/>
      <c r="P11" s="3"/>
    </row>
    <row r="12" spans="1:17" x14ac:dyDescent="0.25">
      <c r="A12">
        <v>1923</v>
      </c>
      <c r="B12" s="7">
        <v>45.5</v>
      </c>
      <c r="C12" s="7">
        <v>25.5</v>
      </c>
      <c r="D12" s="7">
        <f t="shared" si="0"/>
        <v>20</v>
      </c>
      <c r="E12" s="11">
        <v>-20</v>
      </c>
      <c r="F12" s="4">
        <f t="shared" si="5"/>
        <v>88503.203981397281</v>
      </c>
      <c r="G12" s="4">
        <f t="shared" si="1"/>
        <v>89384.098852938812</v>
      </c>
      <c r="H12" s="4">
        <f t="shared" si="2"/>
        <v>4066.976497808716</v>
      </c>
      <c r="I12" s="4">
        <f t="shared" si="3"/>
        <v>2279.2945207499397</v>
      </c>
      <c r="J12" s="4">
        <f t="shared" si="4"/>
        <v>1787.6819770587763</v>
      </c>
      <c r="L12" s="2"/>
      <c r="O12" s="3"/>
      <c r="P12" s="3"/>
      <c r="Q12" s="3"/>
    </row>
    <row r="13" spans="1:17" x14ac:dyDescent="0.25">
      <c r="A13">
        <v>1924</v>
      </c>
      <c r="B13" s="7">
        <v>42.2</v>
      </c>
      <c r="C13" s="7">
        <v>23.5</v>
      </c>
      <c r="D13" s="7">
        <f t="shared" si="0"/>
        <v>18.700000000000003</v>
      </c>
      <c r="E13" s="11">
        <v>-10</v>
      </c>
      <c r="F13" s="4">
        <f t="shared" si="5"/>
        <v>90270.885958456056</v>
      </c>
      <c r="G13" s="4">
        <f t="shared" si="1"/>
        <v>91115.173255029309</v>
      </c>
      <c r="H13" s="4">
        <f t="shared" si="2"/>
        <v>3845.0603113622374</v>
      </c>
      <c r="I13" s="4">
        <f t="shared" si="3"/>
        <v>2141.2065714931887</v>
      </c>
      <c r="J13" s="4">
        <f t="shared" si="4"/>
        <v>1703.8537398690487</v>
      </c>
      <c r="L13" s="2"/>
      <c r="O13" s="3"/>
      <c r="P13" s="3"/>
    </row>
    <row r="14" spans="1:17" x14ac:dyDescent="0.25">
      <c r="A14">
        <v>1925</v>
      </c>
      <c r="B14" s="7">
        <v>43.9</v>
      </c>
      <c r="C14" s="7">
        <v>24.5</v>
      </c>
      <c r="D14" s="7">
        <f t="shared" si="0"/>
        <v>19.399999999999999</v>
      </c>
      <c r="E14" s="11">
        <v>-5</v>
      </c>
      <c r="F14" s="4">
        <f t="shared" si="5"/>
        <v>91964.739698325109</v>
      </c>
      <c r="G14" s="4">
        <f t="shared" si="1"/>
        <v>92860.078156408519</v>
      </c>
      <c r="H14" s="4">
        <f t="shared" si="2"/>
        <v>4076.5574310663337</v>
      </c>
      <c r="I14" s="4">
        <f t="shared" si="3"/>
        <v>2275.0719148320086</v>
      </c>
      <c r="J14" s="4">
        <f t="shared" si="4"/>
        <v>1801.4855162343251</v>
      </c>
      <c r="L14" s="2"/>
      <c r="O14" s="3"/>
      <c r="P14" s="3"/>
    </row>
    <row r="15" spans="1:17" x14ac:dyDescent="0.25">
      <c r="A15">
        <v>1926</v>
      </c>
      <c r="B15" s="7">
        <v>42.5</v>
      </c>
      <c r="C15" s="7">
        <v>21.5</v>
      </c>
      <c r="D15" s="7">
        <f t="shared" si="0"/>
        <v>21</v>
      </c>
      <c r="E15" s="7">
        <v>0</v>
      </c>
      <c r="F15" s="4">
        <f t="shared" si="5"/>
        <v>93761.225214559439</v>
      </c>
      <c r="G15" s="4">
        <f t="shared" si="1"/>
        <v>94752.645861967816</v>
      </c>
      <c r="H15" s="4">
        <f t="shared" si="2"/>
        <v>4026.9874491336323</v>
      </c>
      <c r="I15" s="4">
        <f t="shared" si="3"/>
        <v>2037.1818860323081</v>
      </c>
      <c r="J15" s="4">
        <f t="shared" si="4"/>
        <v>1989.8055631013242</v>
      </c>
      <c r="L15" s="2"/>
      <c r="O15" s="3"/>
      <c r="P15" s="3"/>
      <c r="Q15" s="3"/>
    </row>
    <row r="16" spans="1:17" x14ac:dyDescent="0.25">
      <c r="A16">
        <v>1927</v>
      </c>
      <c r="F16" s="4">
        <f t="shared" si="5"/>
        <v>95751.030777660766</v>
      </c>
      <c r="O16" s="3"/>
      <c r="P16" s="3"/>
      <c r="Q16" s="3"/>
    </row>
    <row r="18" spans="1:6" x14ac:dyDescent="0.25">
      <c r="A18" s="15" t="s">
        <v>31</v>
      </c>
      <c r="F18">
        <v>93604</v>
      </c>
    </row>
    <row r="19" spans="1:6" x14ac:dyDescent="0.25">
      <c r="A19" s="15" t="s">
        <v>33</v>
      </c>
      <c r="F19">
        <v>200</v>
      </c>
    </row>
    <row r="20" spans="1:6" x14ac:dyDescent="0.25">
      <c r="A20" s="15" t="s">
        <v>34</v>
      </c>
      <c r="B20" s="14"/>
      <c r="F20" s="3">
        <f>F16+F19-F18</f>
        <v>2347.030777660766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8C3AE3-145B-44E3-B5B1-D80D4E673F68}">
  <dimension ref="A1:U21"/>
  <sheetViews>
    <sheetView topLeftCell="A13" workbookViewId="0">
      <selection activeCell="Q70" sqref="Q70"/>
    </sheetView>
  </sheetViews>
  <sheetFormatPr defaultRowHeight="15" x14ac:dyDescent="0.25"/>
  <cols>
    <col min="5" max="5" width="13.7109375" customWidth="1"/>
    <col min="6" max="6" width="12.5703125" customWidth="1"/>
    <col min="7" max="7" width="24.5703125" customWidth="1"/>
    <col min="10" max="10" width="14.140625" customWidth="1"/>
    <col min="16" max="16" width="12.28515625" customWidth="1"/>
    <col min="17" max="17" width="20.140625" customWidth="1"/>
    <col min="20" max="20" width="12.140625" customWidth="1"/>
    <col min="21" max="21" width="11" customWidth="1"/>
  </cols>
  <sheetData>
    <row r="1" spans="1:21" ht="18.75" x14ac:dyDescent="0.3">
      <c r="A1" s="6" t="s">
        <v>114</v>
      </c>
      <c r="T1" s="26" t="s">
        <v>117</v>
      </c>
      <c r="U1">
        <v>2.614E-3</v>
      </c>
    </row>
    <row r="3" spans="1:21" x14ac:dyDescent="0.25">
      <c r="A3" s="12" t="s">
        <v>3</v>
      </c>
      <c r="B3" s="12" t="s">
        <v>1</v>
      </c>
      <c r="C3" s="12" t="s">
        <v>2</v>
      </c>
      <c r="D3" s="12" t="s">
        <v>4</v>
      </c>
      <c r="E3" s="12" t="s">
        <v>6</v>
      </c>
      <c r="F3" s="12" t="s">
        <v>7</v>
      </c>
      <c r="G3" s="12" t="s">
        <v>139</v>
      </c>
      <c r="H3" s="13" t="s">
        <v>26</v>
      </c>
      <c r="I3" s="12" t="s">
        <v>30</v>
      </c>
      <c r="J3" s="12" t="s">
        <v>27</v>
      </c>
      <c r="K3" s="12" t="s">
        <v>28</v>
      </c>
      <c r="L3" s="12" t="s">
        <v>29</v>
      </c>
      <c r="M3" s="12" t="s">
        <v>32</v>
      </c>
      <c r="P3" s="12" t="s">
        <v>115</v>
      </c>
      <c r="Q3" s="12" t="s">
        <v>116</v>
      </c>
    </row>
    <row r="4" spans="1:21" x14ac:dyDescent="0.25">
      <c r="A4" s="28">
        <v>1914</v>
      </c>
      <c r="B4" s="27"/>
      <c r="C4" s="27"/>
      <c r="D4" s="27"/>
      <c r="E4" s="28">
        <v>48.4</v>
      </c>
      <c r="F4" s="28">
        <v>31.5</v>
      </c>
      <c r="G4" s="27"/>
      <c r="H4" s="29"/>
      <c r="I4" s="31">
        <v>89296</v>
      </c>
      <c r="J4" s="31">
        <v>90063</v>
      </c>
      <c r="K4" s="27"/>
      <c r="L4" s="27"/>
      <c r="M4" s="27"/>
      <c r="P4" s="27"/>
      <c r="Q4" s="27"/>
    </row>
    <row r="5" spans="1:21" x14ac:dyDescent="0.25">
      <c r="A5" s="5">
        <v>1915</v>
      </c>
      <c r="B5" s="7">
        <v>35.9</v>
      </c>
      <c r="C5" s="7">
        <v>28.8</v>
      </c>
      <c r="D5" s="7">
        <f>B5-C5</f>
        <v>7.0999999999999979</v>
      </c>
      <c r="E5" s="30">
        <f>B5/Q5</f>
        <v>35.9</v>
      </c>
      <c r="F5" s="30">
        <f>C5*Q5</f>
        <v>28.8</v>
      </c>
      <c r="G5" s="25">
        <f>E5-F5</f>
        <v>7.0999999999999979</v>
      </c>
      <c r="H5" s="11">
        <v>-5</v>
      </c>
      <c r="I5" s="3">
        <v>90834</v>
      </c>
      <c r="J5" s="4">
        <f>[1]!YearAveragePopulation(I5,D5,E5,H5)</f>
        <v>89535.981228996941</v>
      </c>
      <c r="K5" s="4">
        <f>J5*E5/1000</f>
        <v>3214.3417261209902</v>
      </c>
      <c r="L5" s="4">
        <f>J5*F5/1000</f>
        <v>2578.6362593951117</v>
      </c>
      <c r="M5" s="4">
        <f>K5-L5</f>
        <v>635.70546672587852</v>
      </c>
      <c r="P5">
        <v>0</v>
      </c>
      <c r="Q5" s="24">
        <f t="shared" ref="Q5:Q16" si="0">P5*WEIGHT + 1</f>
        <v>1</v>
      </c>
    </row>
    <row r="6" spans="1:21" x14ac:dyDescent="0.25">
      <c r="A6" s="5">
        <v>1916</v>
      </c>
      <c r="B6" s="7">
        <v>27.1</v>
      </c>
      <c r="C6" s="7">
        <v>25.4</v>
      </c>
      <c r="D6" s="7">
        <f t="shared" ref="D6:D16" si="1">B6-C6</f>
        <v>1.7000000000000028</v>
      </c>
      <c r="E6" s="30">
        <f t="shared" ref="E6:E16" si="2">B6/Q6</f>
        <v>27.1</v>
      </c>
      <c r="F6" s="30">
        <f t="shared" ref="F6:F16" si="3">C6*Q6</f>
        <v>25.4</v>
      </c>
      <c r="G6" s="25">
        <f t="shared" ref="G6:G16" si="4">E6-F6</f>
        <v>1.7000000000000028</v>
      </c>
      <c r="H6" s="11">
        <v>-5</v>
      </c>
      <c r="I6" s="4">
        <f>I5+M5+H5</f>
        <v>91464.705466725878</v>
      </c>
      <c r="J6" s="4">
        <f t="shared" ref="J6:J16" si="5">[1]!YearAveragePopulation(I6,D6,E6,H6)</f>
        <v>90310.397499466446</v>
      </c>
      <c r="K6" s="4">
        <f t="shared" ref="K6:K16" si="6">J6*E6/1000</f>
        <v>2447.4117722355409</v>
      </c>
      <c r="L6" s="4">
        <f t="shared" ref="L6:L16" si="7">J6*F6/1000</f>
        <v>2293.8840964864476</v>
      </c>
      <c r="M6" s="4">
        <f t="shared" ref="M6:M16" si="8">K6-L6</f>
        <v>153.52767574909331</v>
      </c>
      <c r="P6">
        <v>0</v>
      </c>
      <c r="Q6" s="24">
        <f t="shared" si="0"/>
        <v>1</v>
      </c>
    </row>
    <row r="7" spans="1:21" x14ac:dyDescent="0.25">
      <c r="A7" s="5">
        <v>1917</v>
      </c>
      <c r="B7" s="7">
        <v>26.3</v>
      </c>
      <c r="C7" s="7">
        <v>29.1</v>
      </c>
      <c r="D7" s="7">
        <f t="shared" si="1"/>
        <v>-2.8000000000000007</v>
      </c>
      <c r="E7" s="30">
        <f t="shared" si="2"/>
        <v>26.3</v>
      </c>
      <c r="F7" s="30">
        <f t="shared" si="3"/>
        <v>29.1</v>
      </c>
      <c r="G7" s="25">
        <f t="shared" si="4"/>
        <v>-2.8000000000000007</v>
      </c>
      <c r="H7" s="11">
        <v>-25</v>
      </c>
      <c r="I7" s="4">
        <f t="shared" ref="I7:I17" si="9">I6+M6+H6</f>
        <v>91613.233142474972</v>
      </c>
      <c r="J7" s="4">
        <f t="shared" si="5"/>
        <v>90280.717287198233</v>
      </c>
      <c r="K7" s="4">
        <f t="shared" si="6"/>
        <v>2374.3828646533134</v>
      </c>
      <c r="L7" s="4">
        <f t="shared" si="7"/>
        <v>2627.1688730574688</v>
      </c>
      <c r="M7" s="4">
        <f t="shared" si="8"/>
        <v>-252.78600840415538</v>
      </c>
      <c r="P7">
        <v>0</v>
      </c>
      <c r="Q7" s="24">
        <f t="shared" si="0"/>
        <v>1</v>
      </c>
    </row>
    <row r="8" spans="1:21" x14ac:dyDescent="0.25">
      <c r="A8" s="5">
        <v>1918</v>
      </c>
      <c r="B8" s="7">
        <v>34.700000000000003</v>
      </c>
      <c r="C8" s="7">
        <v>44.2</v>
      </c>
      <c r="D8" s="7">
        <f t="shared" si="1"/>
        <v>-9.5</v>
      </c>
      <c r="E8" s="30">
        <f t="shared" si="2"/>
        <v>33.984866646615274</v>
      </c>
      <c r="F8" s="30">
        <f t="shared" si="3"/>
        <v>45.130087340000003</v>
      </c>
      <c r="G8" s="25">
        <f t="shared" si="4"/>
        <v>-11.145220693384729</v>
      </c>
      <c r="H8" s="11">
        <v>-220</v>
      </c>
      <c r="I8" s="4">
        <f t="shared" si="9"/>
        <v>91335.447134070811</v>
      </c>
      <c r="J8" s="4">
        <f t="shared" si="5"/>
        <v>89269.644179243973</v>
      </c>
      <c r="K8" s="4">
        <f t="shared" si="6"/>
        <v>3033.8169530224018</v>
      </c>
      <c r="L8" s="4">
        <f t="shared" si="7"/>
        <v>4028.7468386200035</v>
      </c>
      <c r="M8" s="4">
        <f t="shared" si="8"/>
        <v>-994.9298855976017</v>
      </c>
      <c r="P8" s="2">
        <v>8.0499999999999972</v>
      </c>
      <c r="Q8" s="24">
        <f t="shared" si="0"/>
        <v>1.0210427</v>
      </c>
    </row>
    <row r="9" spans="1:21" x14ac:dyDescent="0.25">
      <c r="A9" s="5">
        <v>1919</v>
      </c>
      <c r="B9" s="7">
        <v>31.7</v>
      </c>
      <c r="C9" s="7">
        <v>46.7</v>
      </c>
      <c r="D9" s="7">
        <f t="shared" si="1"/>
        <v>-15.000000000000004</v>
      </c>
      <c r="E9" s="30">
        <f t="shared" si="2"/>
        <v>28.852844576461628</v>
      </c>
      <c r="F9" s="30">
        <f t="shared" si="3"/>
        <v>51.308285950000005</v>
      </c>
      <c r="G9" s="25">
        <f t="shared" si="4"/>
        <v>-22.455441373538378</v>
      </c>
      <c r="H9" s="11">
        <v>-270</v>
      </c>
      <c r="I9" s="4">
        <f t="shared" si="9"/>
        <v>90120.517248473203</v>
      </c>
      <c r="J9" s="4">
        <f t="shared" si="5"/>
        <v>88040.019457205737</v>
      </c>
      <c r="K9" s="4">
        <f t="shared" si="6"/>
        <v>2540.2049979074145</v>
      </c>
      <c r="L9" s="4">
        <f t="shared" si="7"/>
        <v>4517.1824933538765</v>
      </c>
      <c r="M9" s="4">
        <f t="shared" si="8"/>
        <v>-1976.9774954464619</v>
      </c>
      <c r="P9" s="2">
        <v>37.75</v>
      </c>
      <c r="Q9" s="24">
        <f t="shared" si="0"/>
        <v>1.0986785000000001</v>
      </c>
    </row>
    <row r="10" spans="1:21" x14ac:dyDescent="0.25">
      <c r="A10" s="5">
        <v>1920</v>
      </c>
      <c r="B10" s="7">
        <v>32.200000000000003</v>
      </c>
      <c r="C10" s="7">
        <v>43.3</v>
      </c>
      <c r="D10" s="7">
        <f t="shared" si="1"/>
        <v>-11.099999999999994</v>
      </c>
      <c r="E10" s="30">
        <f t="shared" si="2"/>
        <v>29.096792196131901</v>
      </c>
      <c r="F10" s="30">
        <f t="shared" si="3"/>
        <v>47.917996959999996</v>
      </c>
      <c r="G10" s="25">
        <f t="shared" si="4"/>
        <v>-18.821204763868096</v>
      </c>
      <c r="H10" s="11">
        <v>-390</v>
      </c>
      <c r="I10" s="4">
        <f t="shared" si="9"/>
        <v>87873.539753026736</v>
      </c>
      <c r="J10" s="4">
        <f t="shared" si="5"/>
        <v>85938.437465402298</v>
      </c>
      <c r="K10" s="4">
        <f t="shared" si="6"/>
        <v>2500.5328565910868</v>
      </c>
      <c r="L10" s="4">
        <f t="shared" si="7"/>
        <v>4117.9977852142974</v>
      </c>
      <c r="M10" s="4">
        <f t="shared" si="8"/>
        <v>-1617.4649286232107</v>
      </c>
      <c r="P10" s="2">
        <v>40.799999999999997</v>
      </c>
      <c r="Q10" s="24">
        <f t="shared" si="0"/>
        <v>1.1066511999999999</v>
      </c>
    </row>
    <row r="11" spans="1:21" x14ac:dyDescent="0.25">
      <c r="A11" s="5">
        <v>1921</v>
      </c>
      <c r="B11" s="7">
        <v>37.299999999999997</v>
      </c>
      <c r="C11" s="7">
        <v>29.7</v>
      </c>
      <c r="D11" s="7">
        <f t="shared" si="1"/>
        <v>7.5999999999999979</v>
      </c>
      <c r="E11" s="30">
        <f t="shared" si="2"/>
        <v>35.99223648423974</v>
      </c>
      <c r="F11" s="30">
        <f t="shared" si="3"/>
        <v>30.77913762</v>
      </c>
      <c r="G11" s="25">
        <f t="shared" si="4"/>
        <v>5.2130988642397398</v>
      </c>
      <c r="H11" s="11">
        <v>-150</v>
      </c>
      <c r="I11" s="4">
        <f t="shared" si="9"/>
        <v>85866.07482440352</v>
      </c>
      <c r="J11" s="4">
        <f t="shared" si="5"/>
        <v>84584.269626622117</v>
      </c>
      <c r="K11" s="4">
        <f t="shared" si="6"/>
        <v>3044.3770352480797</v>
      </c>
      <c r="L11" s="4">
        <f t="shared" si="7"/>
        <v>2603.4308753249884</v>
      </c>
      <c r="M11" s="4">
        <f t="shared" si="8"/>
        <v>440.94615992309127</v>
      </c>
      <c r="P11" s="2">
        <v>13.899999999999999</v>
      </c>
      <c r="Q11" s="24">
        <f t="shared" si="0"/>
        <v>1.0363346</v>
      </c>
    </row>
    <row r="12" spans="1:21" x14ac:dyDescent="0.25">
      <c r="A12" s="5">
        <v>1922</v>
      </c>
      <c r="B12" s="7">
        <v>38.200000000000003</v>
      </c>
      <c r="C12" s="7">
        <v>29.6</v>
      </c>
      <c r="D12" s="7">
        <f t="shared" si="1"/>
        <v>8.6000000000000014</v>
      </c>
      <c r="E12" s="30">
        <f t="shared" si="2"/>
        <v>35.927283178846018</v>
      </c>
      <c r="F12" s="30">
        <f t="shared" si="3"/>
        <v>31.472460480000002</v>
      </c>
      <c r="G12" s="25">
        <f t="shared" si="4"/>
        <v>4.4548226988460158</v>
      </c>
      <c r="H12" s="11">
        <v>-55</v>
      </c>
      <c r="I12" s="4">
        <f t="shared" si="9"/>
        <v>86157.020984326606</v>
      </c>
      <c r="J12" s="4">
        <f t="shared" si="5"/>
        <v>84963.201661335988</v>
      </c>
      <c r="K12" s="4">
        <f t="shared" si="6"/>
        <v>3052.4970058682184</v>
      </c>
      <c r="L12" s="4">
        <f t="shared" si="7"/>
        <v>2674.0010065406673</v>
      </c>
      <c r="M12" s="4">
        <f t="shared" si="8"/>
        <v>378.49599932755109</v>
      </c>
      <c r="P12" s="2">
        <v>24.200000000000003</v>
      </c>
      <c r="Q12" s="24">
        <f t="shared" si="0"/>
        <v>1.0632588000000001</v>
      </c>
    </row>
    <row r="13" spans="1:21" x14ac:dyDescent="0.25">
      <c r="A13" s="5">
        <v>1923</v>
      </c>
      <c r="B13" s="7">
        <v>45.5</v>
      </c>
      <c r="C13" s="7">
        <v>25.5</v>
      </c>
      <c r="D13" s="7">
        <f t="shared" si="1"/>
        <v>20</v>
      </c>
      <c r="E13" s="30">
        <f t="shared" si="2"/>
        <v>45.5</v>
      </c>
      <c r="F13" s="30">
        <f t="shared" si="3"/>
        <v>25.5</v>
      </c>
      <c r="G13" s="25">
        <f t="shared" si="4"/>
        <v>20</v>
      </c>
      <c r="H13" s="11">
        <v>-20</v>
      </c>
      <c r="I13" s="4">
        <f t="shared" si="9"/>
        <v>86480.516983654161</v>
      </c>
      <c r="J13" s="4">
        <f t="shared" si="5"/>
        <v>85377.287733866513</v>
      </c>
      <c r="K13" s="4">
        <f t="shared" si="6"/>
        <v>3884.6665918909266</v>
      </c>
      <c r="L13" s="4">
        <f t="shared" si="7"/>
        <v>2177.1208372135957</v>
      </c>
      <c r="M13" s="4">
        <f t="shared" si="8"/>
        <v>1707.5457546773309</v>
      </c>
      <c r="P13" s="2">
        <v>0</v>
      </c>
      <c r="Q13" s="24">
        <f t="shared" si="0"/>
        <v>1</v>
      </c>
    </row>
    <row r="14" spans="1:21" x14ac:dyDescent="0.25">
      <c r="A14" s="5">
        <v>1924</v>
      </c>
      <c r="B14" s="7">
        <v>42.2</v>
      </c>
      <c r="C14" s="7">
        <v>23.5</v>
      </c>
      <c r="D14" s="7">
        <f t="shared" si="1"/>
        <v>18.700000000000003</v>
      </c>
      <c r="E14" s="30">
        <f t="shared" si="2"/>
        <v>42.2</v>
      </c>
      <c r="F14" s="30">
        <f t="shared" si="3"/>
        <v>23.5</v>
      </c>
      <c r="G14" s="25">
        <f t="shared" si="4"/>
        <v>18.700000000000003</v>
      </c>
      <c r="H14" s="11">
        <v>-10</v>
      </c>
      <c r="I14" s="4">
        <f t="shared" si="9"/>
        <v>88168.062738331486</v>
      </c>
      <c r="J14" s="4">
        <f t="shared" si="5"/>
        <v>87135.194621020666</v>
      </c>
      <c r="K14" s="4">
        <f t="shared" si="6"/>
        <v>3677.1052130070725</v>
      </c>
      <c r="L14" s="4">
        <f t="shared" si="7"/>
        <v>2047.6770735939858</v>
      </c>
      <c r="M14" s="4">
        <f t="shared" si="8"/>
        <v>1629.4281394130867</v>
      </c>
      <c r="P14" s="2">
        <v>0</v>
      </c>
      <c r="Q14" s="24">
        <f t="shared" si="0"/>
        <v>1</v>
      </c>
    </row>
    <row r="15" spans="1:21" x14ac:dyDescent="0.25">
      <c r="A15" s="5">
        <v>1925</v>
      </c>
      <c r="B15" s="7">
        <v>43.9</v>
      </c>
      <c r="C15" s="7">
        <v>24.5</v>
      </c>
      <c r="D15" s="7">
        <f t="shared" si="1"/>
        <v>19.399999999999999</v>
      </c>
      <c r="E15" s="30">
        <f t="shared" si="2"/>
        <v>43.9</v>
      </c>
      <c r="F15" s="30">
        <f t="shared" si="3"/>
        <v>24.5</v>
      </c>
      <c r="G15" s="25">
        <f t="shared" si="4"/>
        <v>19.399999999999999</v>
      </c>
      <c r="H15" s="11">
        <v>-5</v>
      </c>
      <c r="I15" s="4">
        <f t="shared" si="9"/>
        <v>89787.490877744567</v>
      </c>
      <c r="J15" s="4">
        <f t="shared" si="5"/>
        <v>88694.042147687564</v>
      </c>
      <c r="K15" s="4">
        <f t="shared" si="6"/>
        <v>3893.6684502834842</v>
      </c>
      <c r="L15" s="4">
        <f t="shared" si="7"/>
        <v>2173.0040326183453</v>
      </c>
      <c r="M15" s="4">
        <f t="shared" si="8"/>
        <v>1720.6644176651389</v>
      </c>
      <c r="P15" s="2">
        <v>0</v>
      </c>
      <c r="Q15" s="24">
        <f t="shared" si="0"/>
        <v>1</v>
      </c>
    </row>
    <row r="16" spans="1:21" x14ac:dyDescent="0.25">
      <c r="A16" s="5">
        <v>1926</v>
      </c>
      <c r="B16" s="7">
        <v>42.5</v>
      </c>
      <c r="C16" s="7">
        <v>21.5</v>
      </c>
      <c r="D16" s="7">
        <f t="shared" si="1"/>
        <v>21</v>
      </c>
      <c r="E16" s="30">
        <f t="shared" si="2"/>
        <v>42.5</v>
      </c>
      <c r="F16" s="30">
        <f t="shared" si="3"/>
        <v>21.5</v>
      </c>
      <c r="G16" s="25">
        <f t="shared" si="4"/>
        <v>21</v>
      </c>
      <c r="H16" s="7">
        <v>0</v>
      </c>
      <c r="I16" s="4">
        <f t="shared" si="9"/>
        <v>91503.155295409699</v>
      </c>
      <c r="J16" s="4">
        <f t="shared" si="5"/>
        <v>90526.508202562603</v>
      </c>
      <c r="K16" s="4">
        <f t="shared" si="6"/>
        <v>3847.3765986089106</v>
      </c>
      <c r="L16" s="4">
        <f t="shared" si="7"/>
        <v>1946.319926355096</v>
      </c>
      <c r="M16" s="4">
        <f t="shared" si="8"/>
        <v>1901.0566722538147</v>
      </c>
      <c r="P16" s="2">
        <v>0</v>
      </c>
      <c r="Q16" s="24">
        <f t="shared" si="0"/>
        <v>1</v>
      </c>
    </row>
    <row r="17" spans="1:9" x14ac:dyDescent="0.25">
      <c r="A17" s="5">
        <v>1927</v>
      </c>
      <c r="I17" s="4">
        <f t="shared" si="9"/>
        <v>93404.211967663519</v>
      </c>
    </row>
    <row r="19" spans="1:9" x14ac:dyDescent="0.25">
      <c r="A19" s="15" t="s">
        <v>31</v>
      </c>
      <c r="I19">
        <v>93604</v>
      </c>
    </row>
    <row r="20" spans="1:9" x14ac:dyDescent="0.25">
      <c r="A20" s="15" t="s">
        <v>33</v>
      </c>
      <c r="I20">
        <v>200</v>
      </c>
    </row>
    <row r="21" spans="1:9" x14ac:dyDescent="0.25">
      <c r="A21" s="15" t="s">
        <v>34</v>
      </c>
      <c r="B21" s="14"/>
      <c r="I21" s="3">
        <f>I17+I20-I19</f>
        <v>0.21196766351931728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63937D-04B0-4CBE-BD7E-BB3F4204ACA6}">
  <sheetPr codeName="Sheet3"/>
  <dimension ref="A1:J20"/>
  <sheetViews>
    <sheetView workbookViewId="0">
      <selection activeCell="A2" sqref="A2"/>
    </sheetView>
  </sheetViews>
  <sheetFormatPr defaultRowHeight="15" x14ac:dyDescent="0.25"/>
  <sheetData>
    <row r="1" spans="1:10" ht="18.75" x14ac:dyDescent="0.3">
      <c r="A1" s="6" t="s">
        <v>111</v>
      </c>
    </row>
    <row r="3" spans="1:10" x14ac:dyDescent="0.25">
      <c r="A3" s="12" t="s">
        <v>3</v>
      </c>
      <c r="B3" s="12" t="s">
        <v>1</v>
      </c>
      <c r="C3" s="12" t="s">
        <v>2</v>
      </c>
      <c r="D3" s="12" t="s">
        <v>4</v>
      </c>
      <c r="E3" s="13" t="s">
        <v>26</v>
      </c>
      <c r="F3" s="12" t="s">
        <v>30</v>
      </c>
      <c r="G3" s="12" t="s">
        <v>27</v>
      </c>
      <c r="H3" s="12" t="s">
        <v>28</v>
      </c>
      <c r="I3" s="12" t="s">
        <v>29</v>
      </c>
      <c r="J3" s="12" t="s">
        <v>32</v>
      </c>
    </row>
    <row r="4" spans="1:10" x14ac:dyDescent="0.25">
      <c r="A4">
        <v>1915</v>
      </c>
      <c r="B4" s="1">
        <v>35.9</v>
      </c>
      <c r="C4" s="1">
        <v>28.8</v>
      </c>
      <c r="D4" s="7">
        <f>B4-C4</f>
        <v>7.0999999999999979</v>
      </c>
      <c r="E4" s="11">
        <v>-5</v>
      </c>
      <c r="F4" s="3">
        <v>90834</v>
      </c>
      <c r="G4" s="4">
        <f>[1]!YearAveragePopulation(F4,B4,C4,E4)</f>
        <v>91154.719286336243</v>
      </c>
      <c r="H4" s="4">
        <f>G4*B4/1000</f>
        <v>3272.454422379471</v>
      </c>
      <c r="I4" s="4">
        <f>G4*C4/1000</f>
        <v>2625.2559154464839</v>
      </c>
      <c r="J4" s="4">
        <f>H4-I4</f>
        <v>647.19850693298713</v>
      </c>
    </row>
    <row r="5" spans="1:10" x14ac:dyDescent="0.25">
      <c r="A5">
        <v>1916</v>
      </c>
      <c r="B5" s="1">
        <v>27.1</v>
      </c>
      <c r="C5" s="1">
        <v>25.4</v>
      </c>
      <c r="D5" s="7">
        <f t="shared" ref="D5:D15" si="0">B5-C5</f>
        <v>1.7000000000000028</v>
      </c>
      <c r="E5" s="11">
        <v>-5</v>
      </c>
      <c r="F5" s="4">
        <f>F4+J4+E4</f>
        <v>91476.198506932982</v>
      </c>
      <c r="G5" s="4">
        <f t="shared" ref="G5:G15" si="1">[1]!YearAveragePopulation(F5,B5,C5,E5)</f>
        <v>91551.495938166234</v>
      </c>
      <c r="H5" s="4">
        <f t="shared" ref="H5:H15" si="2">G5*B5/1000</f>
        <v>2481.0455399243051</v>
      </c>
      <c r="I5" s="4">
        <f t="shared" ref="I5:I15" si="3">G5*C5/1000</f>
        <v>2325.4079968294222</v>
      </c>
      <c r="J5" s="4">
        <f t="shared" ref="J5:J15" si="4">H5-I5</f>
        <v>155.63754309488286</v>
      </c>
    </row>
    <row r="6" spans="1:10" x14ac:dyDescent="0.25">
      <c r="A6">
        <v>1917</v>
      </c>
      <c r="B6" s="1">
        <v>26.3</v>
      </c>
      <c r="C6" s="1">
        <v>29.1</v>
      </c>
      <c r="D6" s="7">
        <f t="shared" si="0"/>
        <v>-2.8000000000000007</v>
      </c>
      <c r="E6" s="11">
        <v>-25</v>
      </c>
      <c r="F6" s="4">
        <f t="shared" ref="F6:F16" si="5">F5+J5+E5</f>
        <v>91626.836050027865</v>
      </c>
      <c r="G6" s="4">
        <f t="shared" si="1"/>
        <v>91486.189780034736</v>
      </c>
      <c r="H6" s="4">
        <f t="shared" si="2"/>
        <v>2406.0867912149138</v>
      </c>
      <c r="I6" s="4">
        <f t="shared" si="3"/>
        <v>2662.2481225990109</v>
      </c>
      <c r="J6" s="4">
        <f t="shared" si="4"/>
        <v>-256.16133138409714</v>
      </c>
    </row>
    <row r="7" spans="1:10" x14ac:dyDescent="0.25">
      <c r="A7">
        <v>1918</v>
      </c>
      <c r="B7" s="1">
        <v>34.700000000000003</v>
      </c>
      <c r="C7" s="1">
        <v>44.2</v>
      </c>
      <c r="D7" s="7">
        <f t="shared" si="0"/>
        <v>-9.5</v>
      </c>
      <c r="E7" s="11">
        <v>-220</v>
      </c>
      <c r="F7" s="4">
        <f t="shared" si="5"/>
        <v>91345.674718643771</v>
      </c>
      <c r="G7" s="4">
        <f t="shared" si="1"/>
        <v>90803.501005493265</v>
      </c>
      <c r="H7" s="4">
        <f t="shared" si="2"/>
        <v>3150.8814848906163</v>
      </c>
      <c r="I7" s="4">
        <f t="shared" si="3"/>
        <v>4013.5147444428026</v>
      </c>
      <c r="J7" s="4">
        <f t="shared" si="4"/>
        <v>-862.63325955218625</v>
      </c>
    </row>
    <row r="8" spans="1:10" x14ac:dyDescent="0.25">
      <c r="A8">
        <v>1919</v>
      </c>
      <c r="B8" s="1">
        <v>31.7</v>
      </c>
      <c r="C8" s="1">
        <v>46.7</v>
      </c>
      <c r="D8" s="7">
        <f t="shared" si="0"/>
        <v>-15.000000000000004</v>
      </c>
      <c r="E8" s="11">
        <v>-270</v>
      </c>
      <c r="F8" s="4">
        <f t="shared" si="5"/>
        <v>90263.04145909159</v>
      </c>
      <c r="G8" s="4">
        <f t="shared" si="1"/>
        <v>89455.113333272529</v>
      </c>
      <c r="H8" s="4">
        <f t="shared" si="2"/>
        <v>2835.7270926647393</v>
      </c>
      <c r="I8" s="4">
        <f t="shared" si="3"/>
        <v>4177.5537926638272</v>
      </c>
      <c r="J8" s="4">
        <f t="shared" si="4"/>
        <v>-1341.8266999990879</v>
      </c>
    </row>
    <row r="9" spans="1:10" x14ac:dyDescent="0.25">
      <c r="A9">
        <v>1920</v>
      </c>
      <c r="B9" s="1">
        <v>32.200000000000003</v>
      </c>
      <c r="C9" s="1">
        <v>43.3</v>
      </c>
      <c r="D9" s="7">
        <f t="shared" si="0"/>
        <v>-11.099999999999994</v>
      </c>
      <c r="E9" s="11">
        <v>-390</v>
      </c>
      <c r="F9" s="4">
        <f t="shared" si="5"/>
        <v>88651.214759092501</v>
      </c>
      <c r="G9" s="4">
        <f t="shared" si="1"/>
        <v>87966.735431586829</v>
      </c>
      <c r="H9" s="4">
        <f t="shared" si="2"/>
        <v>2832.5288808970963</v>
      </c>
      <c r="I9" s="4">
        <f t="shared" si="3"/>
        <v>3808.9596441877093</v>
      </c>
      <c r="J9" s="4">
        <f t="shared" si="4"/>
        <v>-976.43076329061296</v>
      </c>
    </row>
    <row r="10" spans="1:10" x14ac:dyDescent="0.25">
      <c r="A10">
        <v>1921</v>
      </c>
      <c r="B10" s="1">
        <v>37.299999999999997</v>
      </c>
      <c r="C10" s="1">
        <v>40</v>
      </c>
      <c r="D10" s="7">
        <f t="shared" si="0"/>
        <v>-2.7000000000000028</v>
      </c>
      <c r="E10" s="11">
        <v>-150</v>
      </c>
      <c r="F10" s="4">
        <f t="shared" si="5"/>
        <v>87284.783995801889</v>
      </c>
      <c r="G10" s="4">
        <f t="shared" si="1"/>
        <v>87092.122971335746</v>
      </c>
      <c r="H10" s="4">
        <f t="shared" si="2"/>
        <v>3248.5361868308232</v>
      </c>
      <c r="I10" s="4">
        <f t="shared" si="3"/>
        <v>3483.6849188534302</v>
      </c>
      <c r="J10" s="4">
        <f t="shared" si="4"/>
        <v>-235.14873202260696</v>
      </c>
    </row>
    <row r="11" spans="1:10" x14ac:dyDescent="0.25">
      <c r="A11">
        <v>1922</v>
      </c>
      <c r="B11" s="1">
        <v>38.200000000000003</v>
      </c>
      <c r="C11" s="1">
        <v>29.6</v>
      </c>
      <c r="D11" s="7">
        <f t="shared" si="0"/>
        <v>8.6000000000000014</v>
      </c>
      <c r="E11" s="11">
        <v>-55</v>
      </c>
      <c r="F11" s="4">
        <f t="shared" si="5"/>
        <v>86899.635263779288</v>
      </c>
      <c r="G11" s="4">
        <f t="shared" si="1"/>
        <v>87246.798182143335</v>
      </c>
      <c r="H11" s="4">
        <f t="shared" si="2"/>
        <v>3332.8276905578755</v>
      </c>
      <c r="I11" s="4">
        <f t="shared" si="3"/>
        <v>2582.5052261914429</v>
      </c>
      <c r="J11" s="4">
        <f t="shared" si="4"/>
        <v>750.32246436643254</v>
      </c>
    </row>
    <row r="12" spans="1:10" x14ac:dyDescent="0.25">
      <c r="A12">
        <v>1923</v>
      </c>
      <c r="B12" s="1">
        <v>45.5</v>
      </c>
      <c r="C12" s="1">
        <v>25.5</v>
      </c>
      <c r="D12" s="7">
        <f t="shared" si="0"/>
        <v>20</v>
      </c>
      <c r="E12" s="11">
        <v>-20</v>
      </c>
      <c r="F12" s="4">
        <f t="shared" si="5"/>
        <v>87594.957728145717</v>
      </c>
      <c r="G12" s="4">
        <f t="shared" si="1"/>
        <v>88466.709283440723</v>
      </c>
      <c r="H12" s="4">
        <f t="shared" si="2"/>
        <v>4025.2352723965528</v>
      </c>
      <c r="I12" s="4">
        <f t="shared" si="3"/>
        <v>2255.9010867277384</v>
      </c>
      <c r="J12" s="4">
        <f t="shared" si="4"/>
        <v>1769.3341856688144</v>
      </c>
    </row>
    <row r="13" spans="1:10" x14ac:dyDescent="0.25">
      <c r="A13">
        <v>1924</v>
      </c>
      <c r="B13" s="1">
        <v>42.2</v>
      </c>
      <c r="C13" s="1">
        <v>23.5</v>
      </c>
      <c r="D13" s="7">
        <f t="shared" si="0"/>
        <v>18.700000000000003</v>
      </c>
      <c r="E13" s="11">
        <v>-10</v>
      </c>
      <c r="F13" s="4">
        <f t="shared" si="5"/>
        <v>89344.291913814537</v>
      </c>
      <c r="G13" s="4">
        <f t="shared" si="1"/>
        <v>90179.861299211872</v>
      </c>
      <c r="H13" s="4">
        <f t="shared" si="2"/>
        <v>3805.5901468267411</v>
      </c>
      <c r="I13" s="4">
        <f t="shared" si="3"/>
        <v>2119.2267405314792</v>
      </c>
      <c r="J13" s="4">
        <f t="shared" si="4"/>
        <v>1686.3634062952619</v>
      </c>
    </row>
    <row r="14" spans="1:10" x14ac:dyDescent="0.25">
      <c r="A14">
        <v>1925</v>
      </c>
      <c r="B14" s="1">
        <v>43.9</v>
      </c>
      <c r="C14" s="1">
        <v>24.5</v>
      </c>
      <c r="D14" s="7">
        <f t="shared" si="0"/>
        <v>19.399999999999999</v>
      </c>
      <c r="E14" s="11">
        <v>-5</v>
      </c>
      <c r="F14" s="4">
        <f t="shared" si="5"/>
        <v>91020.6553201098</v>
      </c>
      <c r="G14" s="4">
        <f t="shared" si="1"/>
        <v>91906.77665212698</v>
      </c>
      <c r="H14" s="4">
        <f t="shared" si="2"/>
        <v>4034.7074950283741</v>
      </c>
      <c r="I14" s="4">
        <f t="shared" si="3"/>
        <v>2251.716027977111</v>
      </c>
      <c r="J14" s="4">
        <f t="shared" si="4"/>
        <v>1782.991467051263</v>
      </c>
    </row>
    <row r="15" spans="1:10" x14ac:dyDescent="0.25">
      <c r="A15">
        <v>1926</v>
      </c>
      <c r="B15" s="1">
        <v>42.5</v>
      </c>
      <c r="C15" s="1">
        <v>21.5</v>
      </c>
      <c r="D15" s="7">
        <f t="shared" si="0"/>
        <v>21</v>
      </c>
      <c r="E15" s="7">
        <v>0</v>
      </c>
      <c r="F15" s="4">
        <f t="shared" si="5"/>
        <v>92798.646787161066</v>
      </c>
      <c r="G15" s="4">
        <f t="shared" si="1"/>
        <v>93779.889238566902</v>
      </c>
      <c r="H15" s="4">
        <f t="shared" si="2"/>
        <v>3985.6452926390934</v>
      </c>
      <c r="I15" s="4">
        <f t="shared" si="3"/>
        <v>2016.2676186291885</v>
      </c>
      <c r="J15" s="4">
        <f t="shared" si="4"/>
        <v>1969.3776740099049</v>
      </c>
    </row>
    <row r="16" spans="1:10" x14ac:dyDescent="0.25">
      <c r="A16">
        <v>1927</v>
      </c>
      <c r="F16" s="4">
        <f t="shared" si="5"/>
        <v>94768.024461170964</v>
      </c>
    </row>
    <row r="18" spans="1:6" x14ac:dyDescent="0.25">
      <c r="A18" s="15" t="s">
        <v>31</v>
      </c>
      <c r="F18">
        <v>93604</v>
      </c>
    </row>
    <row r="19" spans="1:6" x14ac:dyDescent="0.25">
      <c r="A19" s="15" t="s">
        <v>33</v>
      </c>
      <c r="F19">
        <v>200</v>
      </c>
    </row>
    <row r="20" spans="1:6" x14ac:dyDescent="0.25">
      <c r="A20" s="15" t="s">
        <v>34</v>
      </c>
      <c r="B20" s="14"/>
      <c r="F20" s="3">
        <f>F16+F19-F18</f>
        <v>1364.0244611709641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1BB2B9-3EBA-4FC7-BED4-56062D0A5218}">
  <sheetPr codeName="Sheet4"/>
  <dimension ref="A1:J20"/>
  <sheetViews>
    <sheetView workbookViewId="0"/>
  </sheetViews>
  <sheetFormatPr defaultRowHeight="15" x14ac:dyDescent="0.25"/>
  <sheetData>
    <row r="1" spans="1:10" ht="18.75" x14ac:dyDescent="0.3">
      <c r="A1" s="6" t="s">
        <v>112</v>
      </c>
    </row>
    <row r="3" spans="1:10" x14ac:dyDescent="0.25">
      <c r="A3" s="12" t="s">
        <v>3</v>
      </c>
      <c r="B3" s="12" t="s">
        <v>1</v>
      </c>
      <c r="C3" s="12" t="s">
        <v>2</v>
      </c>
      <c r="D3" s="12" t="s">
        <v>4</v>
      </c>
      <c r="E3" s="13" t="s">
        <v>26</v>
      </c>
      <c r="F3" s="12" t="s">
        <v>30</v>
      </c>
      <c r="G3" s="12" t="s">
        <v>27</v>
      </c>
      <c r="H3" s="12" t="s">
        <v>28</v>
      </c>
      <c r="I3" s="12" t="s">
        <v>29</v>
      </c>
      <c r="J3" s="12" t="s">
        <v>32</v>
      </c>
    </row>
    <row r="4" spans="1:10" x14ac:dyDescent="0.25">
      <c r="A4">
        <v>1915</v>
      </c>
      <c r="B4" s="1">
        <v>37.4</v>
      </c>
      <c r="C4" s="1">
        <v>42.6</v>
      </c>
      <c r="D4" s="7">
        <f>B4-C4</f>
        <v>-5.2000000000000028</v>
      </c>
      <c r="E4" s="11">
        <v>-5</v>
      </c>
      <c r="F4" s="3">
        <v>90834</v>
      </c>
      <c r="G4" s="4">
        <f>[1]!YearAveragePopulation(F4,B4,C4,E4)</f>
        <v>90595.744754651852</v>
      </c>
      <c r="H4" s="4">
        <f>G4*B4/1000</f>
        <v>3388.2808538239788</v>
      </c>
      <c r="I4" s="4">
        <f>G4*C4/1000</f>
        <v>3859.3787265481692</v>
      </c>
      <c r="J4" s="4">
        <f>H4-I4</f>
        <v>-471.09787272419044</v>
      </c>
    </row>
    <row r="5" spans="1:10" x14ac:dyDescent="0.25">
      <c r="A5">
        <v>1916</v>
      </c>
      <c r="B5" s="1">
        <v>32.5</v>
      </c>
      <c r="C5" s="1">
        <v>39.200000000000003</v>
      </c>
      <c r="D5" s="7">
        <f t="shared" ref="D5:D15" si="0">B5-C5</f>
        <v>-6.7000000000000028</v>
      </c>
      <c r="E5" s="11">
        <v>-5</v>
      </c>
      <c r="F5" s="4">
        <f>F4+J4+E4</f>
        <v>90357.902127275811</v>
      </c>
      <c r="G5" s="4">
        <f t="shared" ref="G5:G15" si="1">[1]!YearAveragePopulation(F5,B5,C5,E5)</f>
        <v>90053.383626016832</v>
      </c>
      <c r="H5" s="4">
        <f t="shared" ref="H5:H15" si="2">G5*B5/1000</f>
        <v>2926.7349678455471</v>
      </c>
      <c r="I5" s="4">
        <f t="shared" ref="I5:I15" si="3">G5*C5/1000</f>
        <v>3530.0926381398604</v>
      </c>
      <c r="J5" s="4">
        <f t="shared" ref="J5:J15" si="4">H5-I5</f>
        <v>-603.35767029431327</v>
      </c>
    </row>
    <row r="6" spans="1:10" x14ac:dyDescent="0.25">
      <c r="A6">
        <v>1917</v>
      </c>
      <c r="B6" s="1">
        <v>28.8</v>
      </c>
      <c r="C6" s="1">
        <v>47.1</v>
      </c>
      <c r="D6" s="7">
        <f t="shared" si="0"/>
        <v>-18.3</v>
      </c>
      <c r="E6" s="11">
        <v>-25</v>
      </c>
      <c r="F6" s="4">
        <f t="shared" ref="F6:F16" si="5">F5+J5+E5</f>
        <v>89749.544456981501</v>
      </c>
      <c r="G6" s="4">
        <f t="shared" si="1"/>
        <v>88920.898564205592</v>
      </c>
      <c r="H6" s="4">
        <f t="shared" si="2"/>
        <v>2560.921878649121</v>
      </c>
      <c r="I6" s="4">
        <f t="shared" si="3"/>
        <v>4188.1743223740832</v>
      </c>
      <c r="J6" s="4">
        <f t="shared" si="4"/>
        <v>-1627.2524437249622</v>
      </c>
    </row>
    <row r="7" spans="1:10" x14ac:dyDescent="0.25">
      <c r="A7">
        <v>1918</v>
      </c>
      <c r="B7" s="1">
        <v>32.4</v>
      </c>
      <c r="C7" s="1">
        <v>53.9</v>
      </c>
      <c r="D7" s="7">
        <f t="shared" si="0"/>
        <v>-21.5</v>
      </c>
      <c r="E7" s="11">
        <v>-220</v>
      </c>
      <c r="F7" s="4">
        <f t="shared" si="5"/>
        <v>88097.292013256534</v>
      </c>
      <c r="G7" s="4">
        <f t="shared" si="1"/>
        <v>87047.781075827341</v>
      </c>
      <c r="H7" s="4">
        <f t="shared" si="2"/>
        <v>2820.3481068568058</v>
      </c>
      <c r="I7" s="4">
        <f t="shared" si="3"/>
        <v>4691.8753999870933</v>
      </c>
      <c r="J7" s="4">
        <f t="shared" si="4"/>
        <v>-1871.5272931302875</v>
      </c>
    </row>
    <row r="8" spans="1:10" x14ac:dyDescent="0.25">
      <c r="A8">
        <v>1919</v>
      </c>
      <c r="B8" s="1">
        <v>30.6</v>
      </c>
      <c r="C8" s="1">
        <v>41</v>
      </c>
      <c r="D8" s="7">
        <f t="shared" si="0"/>
        <v>-10.399999999999999</v>
      </c>
      <c r="E8" s="11">
        <v>-270</v>
      </c>
      <c r="F8" s="4">
        <f t="shared" si="5"/>
        <v>86005.764720126244</v>
      </c>
      <c r="G8" s="4">
        <f t="shared" si="1"/>
        <v>85425.547903897881</v>
      </c>
      <c r="H8" s="4">
        <f t="shared" si="2"/>
        <v>2614.0217658592751</v>
      </c>
      <c r="I8" s="4">
        <f t="shared" si="3"/>
        <v>3502.4474640598128</v>
      </c>
      <c r="J8" s="4">
        <f t="shared" si="4"/>
        <v>-888.42569820053768</v>
      </c>
    </row>
    <row r="9" spans="1:10" x14ac:dyDescent="0.25">
      <c r="A9">
        <v>1920</v>
      </c>
      <c r="B9" s="1">
        <v>31.7</v>
      </c>
      <c r="C9" s="1">
        <v>37.1</v>
      </c>
      <c r="D9" s="7">
        <f t="shared" si="0"/>
        <v>-5.4000000000000021</v>
      </c>
      <c r="E9" s="11">
        <v>-390</v>
      </c>
      <c r="F9" s="4">
        <f t="shared" si="5"/>
        <v>84847.339021925713</v>
      </c>
      <c r="G9" s="4">
        <f t="shared" si="1"/>
        <v>84424.013535212216</v>
      </c>
      <c r="H9" s="4">
        <f t="shared" si="2"/>
        <v>2676.2412290662269</v>
      </c>
      <c r="I9" s="4">
        <f t="shared" si="3"/>
        <v>3132.1309021563734</v>
      </c>
      <c r="J9" s="4">
        <f t="shared" si="4"/>
        <v>-455.88967309014652</v>
      </c>
    </row>
    <row r="10" spans="1:10" x14ac:dyDescent="0.25">
      <c r="A10">
        <v>1921</v>
      </c>
      <c r="B10" s="1">
        <v>35</v>
      </c>
      <c r="C10" s="1">
        <v>29.8</v>
      </c>
      <c r="D10" s="7">
        <f t="shared" si="0"/>
        <v>5.1999999999999993</v>
      </c>
      <c r="E10" s="11">
        <v>-150</v>
      </c>
      <c r="F10" s="4">
        <f t="shared" si="5"/>
        <v>84001.449348835566</v>
      </c>
      <c r="G10" s="4">
        <f t="shared" si="1"/>
        <v>84145.102007147187</v>
      </c>
      <c r="H10" s="4">
        <f t="shared" si="2"/>
        <v>2945.0785702501516</v>
      </c>
      <c r="I10" s="4">
        <f t="shared" si="3"/>
        <v>2507.5240398129863</v>
      </c>
      <c r="J10" s="4">
        <f t="shared" si="4"/>
        <v>437.55453043716534</v>
      </c>
    </row>
    <row r="11" spans="1:10" x14ac:dyDescent="0.25">
      <c r="A11">
        <v>1922</v>
      </c>
      <c r="B11" s="1">
        <v>36.200000000000003</v>
      </c>
      <c r="C11" s="1">
        <v>38</v>
      </c>
      <c r="D11" s="7">
        <f t="shared" si="0"/>
        <v>-1.7999999999999972</v>
      </c>
      <c r="E11" s="11">
        <v>-55</v>
      </c>
      <c r="F11" s="4">
        <f t="shared" si="5"/>
        <v>84289.003879272728</v>
      </c>
      <c r="G11" s="4">
        <f t="shared" si="1"/>
        <v>84185.70576394329</v>
      </c>
      <c r="H11" s="4">
        <f t="shared" si="2"/>
        <v>3047.522548654747</v>
      </c>
      <c r="I11" s="4">
        <f t="shared" si="3"/>
        <v>3199.056819029845</v>
      </c>
      <c r="J11" s="4">
        <f t="shared" si="4"/>
        <v>-151.534270375098</v>
      </c>
    </row>
    <row r="12" spans="1:10" x14ac:dyDescent="0.25">
      <c r="A12">
        <v>1923</v>
      </c>
      <c r="B12" s="1">
        <v>44</v>
      </c>
      <c r="C12" s="1">
        <v>22.5</v>
      </c>
      <c r="D12" s="7">
        <f t="shared" si="0"/>
        <v>21.5</v>
      </c>
      <c r="E12" s="11">
        <v>-20</v>
      </c>
      <c r="F12" s="4">
        <f t="shared" si="5"/>
        <v>84082.469608897634</v>
      </c>
      <c r="G12" s="4">
        <f t="shared" si="1"/>
        <v>84982.796925972973</v>
      </c>
      <c r="H12" s="4">
        <f t="shared" si="2"/>
        <v>3739.2430647428109</v>
      </c>
      <c r="I12" s="4">
        <f t="shared" si="3"/>
        <v>1912.1129308343918</v>
      </c>
      <c r="J12" s="4">
        <f t="shared" si="4"/>
        <v>1827.1301339084191</v>
      </c>
    </row>
    <row r="13" spans="1:10" x14ac:dyDescent="0.25">
      <c r="A13">
        <v>1924</v>
      </c>
      <c r="B13" s="1">
        <v>42.3</v>
      </c>
      <c r="C13" s="1">
        <v>21.7</v>
      </c>
      <c r="D13" s="7">
        <f t="shared" si="0"/>
        <v>20.599999999999998</v>
      </c>
      <c r="E13" s="11">
        <v>-10</v>
      </c>
      <c r="F13" s="4">
        <f t="shared" si="5"/>
        <v>85889.599742806051</v>
      </c>
      <c r="G13" s="4">
        <f t="shared" si="1"/>
        <v>86775.334208332148</v>
      </c>
      <c r="H13" s="4">
        <f t="shared" si="2"/>
        <v>3670.5966370124497</v>
      </c>
      <c r="I13" s="4">
        <f t="shared" si="3"/>
        <v>1883.0247523208075</v>
      </c>
      <c r="J13" s="4">
        <f t="shared" si="4"/>
        <v>1787.5718846916423</v>
      </c>
    </row>
    <row r="14" spans="1:10" x14ac:dyDescent="0.25">
      <c r="A14">
        <v>1925</v>
      </c>
      <c r="B14" s="1">
        <v>43.8</v>
      </c>
      <c r="C14" s="1">
        <v>22.9</v>
      </c>
      <c r="D14" s="7">
        <f t="shared" si="0"/>
        <v>20.9</v>
      </c>
      <c r="E14" s="11">
        <v>-5</v>
      </c>
      <c r="F14" s="4">
        <f t="shared" si="5"/>
        <v>87667.171627497693</v>
      </c>
      <c r="G14" s="4">
        <f t="shared" si="1"/>
        <v>88587.191866642723</v>
      </c>
      <c r="H14" s="4">
        <f t="shared" si="2"/>
        <v>3880.1190037589513</v>
      </c>
      <c r="I14" s="4">
        <f t="shared" si="3"/>
        <v>2028.6466937461184</v>
      </c>
      <c r="J14" s="4">
        <f t="shared" si="4"/>
        <v>1851.4723100128328</v>
      </c>
    </row>
    <row r="15" spans="1:10" x14ac:dyDescent="0.25">
      <c r="A15">
        <v>1926</v>
      </c>
      <c r="B15" s="1">
        <v>42.3</v>
      </c>
      <c r="C15" s="1">
        <v>20</v>
      </c>
      <c r="D15" s="7">
        <f t="shared" si="0"/>
        <v>22.299999999999997</v>
      </c>
      <c r="E15" s="7">
        <v>0</v>
      </c>
      <c r="F15" s="4">
        <f t="shared" si="5"/>
        <v>89513.643937510526</v>
      </c>
      <c r="G15" s="4">
        <f t="shared" si="1"/>
        <v>90519.181653718901</v>
      </c>
      <c r="H15" s="4">
        <f t="shared" si="2"/>
        <v>3828.9613839523095</v>
      </c>
      <c r="I15" s="4">
        <f t="shared" si="3"/>
        <v>1810.3836330743782</v>
      </c>
      <c r="J15" s="4">
        <f t="shared" si="4"/>
        <v>2018.5777508779313</v>
      </c>
    </row>
    <row r="16" spans="1:10" x14ac:dyDescent="0.25">
      <c r="A16">
        <v>1927</v>
      </c>
      <c r="F16" s="4">
        <f t="shared" si="5"/>
        <v>91532.221688388454</v>
      </c>
    </row>
    <row r="18" spans="1:6" x14ac:dyDescent="0.25">
      <c r="A18" s="15" t="s">
        <v>31</v>
      </c>
      <c r="F18">
        <v>93604</v>
      </c>
    </row>
    <row r="19" spans="1:6" x14ac:dyDescent="0.25">
      <c r="A19" s="15" t="s">
        <v>33</v>
      </c>
      <c r="F19">
        <v>200</v>
      </c>
    </row>
    <row r="20" spans="1:6" x14ac:dyDescent="0.25">
      <c r="A20" s="15" t="s">
        <v>34</v>
      </c>
      <c r="B20" s="14"/>
      <c r="F20" s="3">
        <f>F16+F19-F18</f>
        <v>-1871.7783116115461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EB7E7C-5A5A-4CF2-A7FD-BE3D99500761}">
  <sheetPr codeName="Sheet5"/>
  <dimension ref="A1:L36"/>
  <sheetViews>
    <sheetView workbookViewId="0">
      <selection activeCell="A2" sqref="A2"/>
    </sheetView>
  </sheetViews>
  <sheetFormatPr defaultRowHeight="15" x14ac:dyDescent="0.25"/>
  <sheetData>
    <row r="1" spans="1:12" ht="18.75" x14ac:dyDescent="0.3">
      <c r="A1" s="6" t="s">
        <v>113</v>
      </c>
    </row>
    <row r="3" spans="1:12" x14ac:dyDescent="0.25">
      <c r="A3" s="47" t="s">
        <v>3</v>
      </c>
      <c r="B3" s="44"/>
      <c r="C3" s="44"/>
      <c r="D3" s="44"/>
      <c r="E3" s="44"/>
      <c r="F3" s="45"/>
      <c r="G3" s="45"/>
      <c r="H3" s="45"/>
      <c r="I3" s="45"/>
      <c r="K3" s="48" t="s">
        <v>35</v>
      </c>
      <c r="L3" s="48"/>
    </row>
    <row r="4" spans="1:12" x14ac:dyDescent="0.25">
      <c r="A4" s="47"/>
      <c r="B4" s="8" t="s">
        <v>9</v>
      </c>
      <c r="C4" s="8" t="s">
        <v>11</v>
      </c>
      <c r="D4" s="8" t="s">
        <v>13</v>
      </c>
      <c r="E4" s="8" t="s">
        <v>5</v>
      </c>
      <c r="F4" s="9" t="s">
        <v>9</v>
      </c>
      <c r="G4" s="9" t="s">
        <v>11</v>
      </c>
      <c r="H4" s="9" t="s">
        <v>5</v>
      </c>
      <c r="I4" s="9" t="s">
        <v>16</v>
      </c>
      <c r="K4" s="18" t="s">
        <v>1</v>
      </c>
      <c r="L4" s="18" t="s">
        <v>2</v>
      </c>
    </row>
    <row r="5" spans="1:12" x14ac:dyDescent="0.25">
      <c r="A5" s="7">
        <v>1915</v>
      </c>
      <c r="B5" s="1">
        <v>35.9</v>
      </c>
      <c r="C5" s="1">
        <v>37.4</v>
      </c>
      <c r="D5" s="1">
        <v>39.700000000000003</v>
      </c>
      <c r="E5" s="1"/>
      <c r="F5" s="1">
        <v>28.8</v>
      </c>
      <c r="G5" s="1">
        <v>42.6</v>
      </c>
      <c r="H5" s="1"/>
      <c r="I5" s="1"/>
      <c r="K5" s="2">
        <f>AVERAGE(B5:E5)</f>
        <v>37.666666666666664</v>
      </c>
      <c r="L5" s="2">
        <f>AVERAGE(F5:I5)</f>
        <v>35.700000000000003</v>
      </c>
    </row>
    <row r="6" spans="1:12" x14ac:dyDescent="0.25">
      <c r="A6" s="7">
        <v>1916</v>
      </c>
      <c r="B6" s="1">
        <v>27.1</v>
      </c>
      <c r="C6" s="1">
        <v>32.5</v>
      </c>
      <c r="D6" s="1">
        <v>29.9</v>
      </c>
      <c r="E6" s="1"/>
      <c r="F6" s="1">
        <v>25.4</v>
      </c>
      <c r="G6" s="1">
        <v>39.200000000000003</v>
      </c>
      <c r="H6" s="1"/>
      <c r="I6" s="1"/>
      <c r="K6" s="2">
        <f t="shared" ref="K6:K16" si="0">AVERAGE(B6:E6)</f>
        <v>29.833333333333332</v>
      </c>
      <c r="L6" s="2">
        <f t="shared" ref="L6:L16" si="1">AVERAGE(F6:I6)</f>
        <v>32.299999999999997</v>
      </c>
    </row>
    <row r="7" spans="1:12" x14ac:dyDescent="0.25">
      <c r="A7" s="7">
        <v>1917</v>
      </c>
      <c r="B7" s="1">
        <v>26.3</v>
      </c>
      <c r="C7" s="1">
        <v>28.8</v>
      </c>
      <c r="D7" s="1">
        <v>23.9</v>
      </c>
      <c r="E7" s="17">
        <v>27.4</v>
      </c>
      <c r="F7" s="1">
        <v>29.1</v>
      </c>
      <c r="G7" s="1">
        <v>47.1</v>
      </c>
      <c r="H7" s="17">
        <v>27.4</v>
      </c>
      <c r="I7" s="17"/>
      <c r="K7" s="2">
        <f t="shared" si="0"/>
        <v>26.6</v>
      </c>
      <c r="L7" s="2">
        <f t="shared" si="1"/>
        <v>34.533333333333331</v>
      </c>
    </row>
    <row r="8" spans="1:12" x14ac:dyDescent="0.25">
      <c r="A8" s="7">
        <v>1918</v>
      </c>
      <c r="B8" s="1">
        <v>34.700000000000003</v>
      </c>
      <c r="C8" s="1">
        <v>32.4</v>
      </c>
      <c r="D8" s="1">
        <v>32</v>
      </c>
      <c r="E8" s="17">
        <v>33.1</v>
      </c>
      <c r="F8" s="1">
        <v>44.2</v>
      </c>
      <c r="G8" s="1">
        <v>53.9</v>
      </c>
      <c r="H8" s="17">
        <v>39.9</v>
      </c>
      <c r="I8" s="1">
        <v>30.2</v>
      </c>
      <c r="K8" s="2">
        <f t="shared" si="0"/>
        <v>33.049999999999997</v>
      </c>
      <c r="L8" s="2">
        <f t="shared" si="1"/>
        <v>42.05</v>
      </c>
    </row>
    <row r="9" spans="1:12" x14ac:dyDescent="0.25">
      <c r="A9" s="7">
        <v>1919</v>
      </c>
      <c r="B9" s="1">
        <v>31.7</v>
      </c>
      <c r="C9" s="1">
        <v>30.6</v>
      </c>
      <c r="D9" s="1">
        <v>31</v>
      </c>
      <c r="E9" s="17">
        <v>30</v>
      </c>
      <c r="F9" s="1">
        <v>46.7</v>
      </c>
      <c r="G9" s="1">
        <v>41</v>
      </c>
      <c r="H9" s="17">
        <v>65.5</v>
      </c>
      <c r="I9" s="1">
        <v>64</v>
      </c>
      <c r="K9" s="2">
        <f t="shared" si="0"/>
        <v>30.824999999999999</v>
      </c>
      <c r="L9" s="2">
        <f t="shared" si="1"/>
        <v>54.3</v>
      </c>
    </row>
    <row r="10" spans="1:12" x14ac:dyDescent="0.25">
      <c r="A10" s="7">
        <v>1920</v>
      </c>
      <c r="B10" s="1">
        <v>32.200000000000003</v>
      </c>
      <c r="C10" s="1">
        <v>31.7</v>
      </c>
      <c r="D10" s="1">
        <v>31.2</v>
      </c>
      <c r="E10" s="17">
        <v>31.3</v>
      </c>
      <c r="F10" s="1">
        <v>43.3</v>
      </c>
      <c r="G10" s="1">
        <v>37.1</v>
      </c>
      <c r="H10" s="17">
        <v>79.5</v>
      </c>
      <c r="I10" s="1">
        <v>56.1</v>
      </c>
      <c r="K10" s="2">
        <f t="shared" si="0"/>
        <v>31.6</v>
      </c>
      <c r="L10" s="2">
        <f t="shared" si="1"/>
        <v>54</v>
      </c>
    </row>
    <row r="11" spans="1:12" x14ac:dyDescent="0.25">
      <c r="A11" s="7">
        <v>1921</v>
      </c>
      <c r="B11" s="1">
        <v>37.299999999999997</v>
      </c>
      <c r="C11" s="1">
        <v>35</v>
      </c>
      <c r="D11" s="1">
        <v>35.5</v>
      </c>
      <c r="E11" s="17">
        <v>37.799999999999997</v>
      </c>
      <c r="F11" s="1">
        <v>29.7</v>
      </c>
      <c r="G11" s="1">
        <v>29.8</v>
      </c>
      <c r="H11" s="17">
        <v>40.4</v>
      </c>
      <c r="I11" s="1">
        <v>41.4</v>
      </c>
      <c r="K11" s="2">
        <f t="shared" si="0"/>
        <v>36.4</v>
      </c>
      <c r="L11" s="2">
        <f t="shared" si="1"/>
        <v>35.325000000000003</v>
      </c>
    </row>
    <row r="12" spans="1:12" x14ac:dyDescent="0.25">
      <c r="A12" s="7">
        <v>1922</v>
      </c>
      <c r="B12" s="1">
        <v>38.200000000000003</v>
      </c>
      <c r="C12" s="1">
        <v>36.200000000000003</v>
      </c>
      <c r="D12" s="1">
        <v>37.299999999999997</v>
      </c>
      <c r="E12" s="17">
        <v>41.4</v>
      </c>
      <c r="F12" s="1">
        <v>29.6</v>
      </c>
      <c r="G12" s="1">
        <v>38</v>
      </c>
      <c r="H12" s="17">
        <v>55.3</v>
      </c>
      <c r="I12" s="1">
        <v>47.1</v>
      </c>
      <c r="K12" s="2">
        <f t="shared" si="0"/>
        <v>38.274999999999999</v>
      </c>
      <c r="L12" s="2">
        <f t="shared" si="1"/>
        <v>42.5</v>
      </c>
    </row>
    <row r="13" spans="1:12" x14ac:dyDescent="0.25">
      <c r="A13" s="7">
        <v>1923</v>
      </c>
      <c r="B13" s="1">
        <v>45.5</v>
      </c>
      <c r="C13" s="1">
        <v>44</v>
      </c>
      <c r="D13" s="1">
        <v>43.9</v>
      </c>
      <c r="E13" s="17">
        <v>46.5</v>
      </c>
      <c r="F13" s="1">
        <v>25.5</v>
      </c>
      <c r="G13" s="1">
        <v>22.5</v>
      </c>
      <c r="H13" s="17">
        <v>22.3</v>
      </c>
      <c r="I13" s="1">
        <v>28.7</v>
      </c>
      <c r="K13" s="2">
        <f t="shared" si="0"/>
        <v>44.975000000000001</v>
      </c>
      <c r="L13" s="2">
        <f t="shared" si="1"/>
        <v>24.75</v>
      </c>
    </row>
    <row r="14" spans="1:12" x14ac:dyDescent="0.25">
      <c r="A14" s="7">
        <v>1924</v>
      </c>
      <c r="B14" s="1">
        <v>42.2</v>
      </c>
      <c r="C14" s="1">
        <v>42.3</v>
      </c>
      <c r="D14" s="1">
        <v>42</v>
      </c>
      <c r="E14" s="17">
        <v>43.6</v>
      </c>
      <c r="F14" s="1">
        <v>23.5</v>
      </c>
      <c r="G14" s="1">
        <v>21.7</v>
      </c>
      <c r="H14" s="17">
        <v>23.1</v>
      </c>
      <c r="I14" s="1">
        <v>22.4</v>
      </c>
      <c r="K14" s="2">
        <f t="shared" si="0"/>
        <v>42.524999999999999</v>
      </c>
      <c r="L14" s="2">
        <f t="shared" si="1"/>
        <v>22.675000000000004</v>
      </c>
    </row>
    <row r="15" spans="1:12" x14ac:dyDescent="0.25">
      <c r="A15" s="7">
        <v>1925</v>
      </c>
      <c r="B15" s="1">
        <v>43.9</v>
      </c>
      <c r="C15" s="1">
        <v>43.8</v>
      </c>
      <c r="D15" s="1"/>
      <c r="E15" s="17">
        <v>45.7</v>
      </c>
      <c r="F15" s="1">
        <v>24.5</v>
      </c>
      <c r="G15" s="1">
        <v>22.9</v>
      </c>
      <c r="H15" s="17">
        <v>23.3</v>
      </c>
      <c r="I15" s="1">
        <v>23.8</v>
      </c>
      <c r="K15" s="2">
        <f t="shared" si="0"/>
        <v>44.466666666666661</v>
      </c>
      <c r="L15" s="2">
        <f t="shared" si="1"/>
        <v>23.625</v>
      </c>
    </row>
    <row r="16" spans="1:12" x14ac:dyDescent="0.25">
      <c r="A16" s="7">
        <v>1926</v>
      </c>
      <c r="B16" s="1">
        <v>42.5</v>
      </c>
      <c r="C16" s="1">
        <v>42.3</v>
      </c>
      <c r="D16" s="1"/>
      <c r="E16" s="17">
        <v>42.6</v>
      </c>
      <c r="F16" s="1">
        <v>21.5</v>
      </c>
      <c r="G16" s="1">
        <v>20</v>
      </c>
      <c r="H16" s="17">
        <v>19.899999999999999</v>
      </c>
      <c r="I16" s="1">
        <v>22.7</v>
      </c>
      <c r="K16" s="2">
        <f t="shared" si="0"/>
        <v>42.466666666666669</v>
      </c>
      <c r="L16" s="2">
        <f t="shared" si="1"/>
        <v>21.024999999999999</v>
      </c>
    </row>
    <row r="19" spans="1:10" x14ac:dyDescent="0.25">
      <c r="A19" s="12" t="s">
        <v>3</v>
      </c>
      <c r="B19" s="12" t="s">
        <v>1</v>
      </c>
      <c r="C19" s="12" t="s">
        <v>2</v>
      </c>
      <c r="D19" s="12" t="s">
        <v>4</v>
      </c>
      <c r="E19" s="13" t="s">
        <v>26</v>
      </c>
      <c r="F19" s="12" t="s">
        <v>30</v>
      </c>
      <c r="G19" s="12" t="s">
        <v>27</v>
      </c>
      <c r="H19" s="12" t="s">
        <v>28</v>
      </c>
      <c r="I19" s="12" t="s">
        <v>29</v>
      </c>
      <c r="J19" s="12" t="s">
        <v>32</v>
      </c>
    </row>
    <row r="20" spans="1:10" x14ac:dyDescent="0.25">
      <c r="A20">
        <v>1915</v>
      </c>
      <c r="B20" s="1">
        <v>37.666666666666664</v>
      </c>
      <c r="C20" s="1">
        <v>35.700000000000003</v>
      </c>
      <c r="D20" s="1">
        <f>B20-C20</f>
        <v>1.9666666666666615</v>
      </c>
      <c r="E20" s="11">
        <v>-5</v>
      </c>
      <c r="F20" s="3">
        <v>90834</v>
      </c>
      <c r="G20" s="4">
        <f>[1]!YearAveragePopulation(F20,B20,C20,E20)</f>
        <v>90920.877043389846</v>
      </c>
      <c r="H20" s="4">
        <f>G20*B20/1000</f>
        <v>3424.6863686343504</v>
      </c>
      <c r="I20" s="4">
        <f>G20*C20/1000</f>
        <v>3245.8753104490179</v>
      </c>
      <c r="J20" s="4">
        <f>H20-I20</f>
        <v>178.81105818533251</v>
      </c>
    </row>
    <row r="21" spans="1:10" x14ac:dyDescent="0.25">
      <c r="A21">
        <v>1916</v>
      </c>
      <c r="B21" s="1">
        <v>29.833333333333332</v>
      </c>
      <c r="C21" s="1">
        <v>32.299999999999997</v>
      </c>
      <c r="D21" s="1">
        <f t="shared" ref="D21:D31" si="2">B21-C21</f>
        <v>-2.466666666666665</v>
      </c>
      <c r="E21" s="11">
        <v>-5</v>
      </c>
      <c r="F21" s="4">
        <f>F20+J20+E20</f>
        <v>91007.811058185325</v>
      </c>
      <c r="G21" s="4">
        <f t="shared" ref="G21:G31" si="3">[1]!YearAveragePopulation(F21,B21,C21,E21)</f>
        <v>90893.162377279412</v>
      </c>
      <c r="H21" s="4">
        <f t="shared" ref="H21:H31" si="4">G21*B21/1000</f>
        <v>2711.6460109221689</v>
      </c>
      <c r="I21" s="4">
        <f t="shared" ref="I21:I31" si="5">G21*C21/1000</f>
        <v>2935.8491447861247</v>
      </c>
      <c r="J21" s="4">
        <f t="shared" ref="J21:J31" si="6">H21-I21</f>
        <v>-224.20313386395583</v>
      </c>
    </row>
    <row r="22" spans="1:10" x14ac:dyDescent="0.25">
      <c r="A22">
        <v>1917</v>
      </c>
      <c r="B22" s="1">
        <v>26.6</v>
      </c>
      <c r="C22" s="1">
        <v>34.533333333333331</v>
      </c>
      <c r="D22" s="1">
        <f t="shared" si="2"/>
        <v>-7.93333333333333</v>
      </c>
      <c r="E22" s="11">
        <v>-25</v>
      </c>
      <c r="F22" s="4">
        <f t="shared" ref="F22:F32" si="7">F21+J21+E21</f>
        <v>90778.607924321375</v>
      </c>
      <c r="G22" s="4">
        <f t="shared" si="3"/>
        <v>90407.002784690849</v>
      </c>
      <c r="H22" s="4">
        <f t="shared" si="4"/>
        <v>2404.8262740727764</v>
      </c>
      <c r="I22" s="4">
        <f t="shared" si="5"/>
        <v>3122.0551628313237</v>
      </c>
      <c r="J22" s="4">
        <f t="shared" si="6"/>
        <v>-717.22888875854733</v>
      </c>
    </row>
    <row r="23" spans="1:10" x14ac:dyDescent="0.25">
      <c r="A23">
        <v>1918</v>
      </c>
      <c r="B23" s="1">
        <v>33.049999999999997</v>
      </c>
      <c r="C23" s="1">
        <v>42.05</v>
      </c>
      <c r="D23" s="1">
        <f t="shared" si="2"/>
        <v>-9</v>
      </c>
      <c r="E23" s="11">
        <v>-220</v>
      </c>
      <c r="F23" s="4">
        <f t="shared" si="7"/>
        <v>90036.37903556283</v>
      </c>
      <c r="G23" s="4">
        <f t="shared" si="3"/>
        <v>89522.757349914842</v>
      </c>
      <c r="H23" s="4">
        <f t="shared" si="4"/>
        <v>2958.7271304146852</v>
      </c>
      <c r="I23" s="4">
        <f t="shared" si="5"/>
        <v>3764.4319465639192</v>
      </c>
      <c r="J23" s="4">
        <f t="shared" si="6"/>
        <v>-805.70481614923392</v>
      </c>
    </row>
    <row r="24" spans="1:10" x14ac:dyDescent="0.25">
      <c r="A24">
        <v>1919</v>
      </c>
      <c r="B24" s="1">
        <v>30.824999999999999</v>
      </c>
      <c r="C24" s="1">
        <v>54.3</v>
      </c>
      <c r="D24" s="1">
        <f t="shared" si="2"/>
        <v>-23.474999999999998</v>
      </c>
      <c r="E24" s="11">
        <v>-270</v>
      </c>
      <c r="F24" s="4">
        <f t="shared" si="7"/>
        <v>89010.674219413602</v>
      </c>
      <c r="G24" s="4">
        <f t="shared" si="3"/>
        <v>87840.089149749576</v>
      </c>
      <c r="H24" s="4">
        <f t="shared" si="4"/>
        <v>2707.6707480410305</v>
      </c>
      <c r="I24" s="4">
        <f t="shared" si="5"/>
        <v>4769.7168408314019</v>
      </c>
      <c r="J24" s="4">
        <f t="shared" si="6"/>
        <v>-2062.0460927903714</v>
      </c>
    </row>
    <row r="25" spans="1:10" x14ac:dyDescent="0.25">
      <c r="A25">
        <v>1920</v>
      </c>
      <c r="B25" s="1">
        <v>31.6</v>
      </c>
      <c r="C25" s="1">
        <v>54</v>
      </c>
      <c r="D25" s="1">
        <f t="shared" si="2"/>
        <v>-22.4</v>
      </c>
      <c r="E25" s="11">
        <v>-390</v>
      </c>
      <c r="F25" s="4">
        <f t="shared" si="7"/>
        <v>86678.628126623225</v>
      </c>
      <c r="G25" s="4">
        <f t="shared" si="3"/>
        <v>85521.483607905451</v>
      </c>
      <c r="H25" s="4">
        <f t="shared" si="4"/>
        <v>2702.478882009812</v>
      </c>
      <c r="I25" s="4">
        <f t="shared" si="5"/>
        <v>4618.1601148268946</v>
      </c>
      <c r="J25" s="4">
        <f t="shared" si="6"/>
        <v>-1915.6812328170827</v>
      </c>
    </row>
    <row r="26" spans="1:10" x14ac:dyDescent="0.25">
      <c r="A26">
        <v>1921</v>
      </c>
      <c r="B26" s="1">
        <v>36.4</v>
      </c>
      <c r="C26" s="1">
        <v>35.325000000000003</v>
      </c>
      <c r="D26" s="1">
        <f t="shared" si="2"/>
        <v>1.0749999999999957</v>
      </c>
      <c r="E26" s="11">
        <v>-150</v>
      </c>
      <c r="F26" s="4">
        <f t="shared" si="7"/>
        <v>84372.946893806147</v>
      </c>
      <c r="G26" s="4">
        <f t="shared" si="3"/>
        <v>84343.286725481812</v>
      </c>
      <c r="H26" s="4">
        <f t="shared" si="4"/>
        <v>3070.0956368075376</v>
      </c>
      <c r="I26" s="4">
        <f t="shared" si="5"/>
        <v>2979.426603577645</v>
      </c>
      <c r="J26" s="4">
        <f t="shared" si="6"/>
        <v>90.669033229892648</v>
      </c>
    </row>
    <row r="27" spans="1:10" x14ac:dyDescent="0.25">
      <c r="A27">
        <v>1922</v>
      </c>
      <c r="B27" s="1">
        <v>38.274999999999999</v>
      </c>
      <c r="C27" s="1">
        <v>42.5</v>
      </c>
      <c r="D27" s="1">
        <f t="shared" si="2"/>
        <v>-4.2250000000000014</v>
      </c>
      <c r="E27" s="11">
        <v>-55</v>
      </c>
      <c r="F27" s="4">
        <f t="shared" si="7"/>
        <v>84313.615927036037</v>
      </c>
      <c r="G27" s="4">
        <f t="shared" si="3"/>
        <v>84108.292678745318</v>
      </c>
      <c r="H27" s="4">
        <f t="shared" si="4"/>
        <v>3219.244902278977</v>
      </c>
      <c r="I27" s="4">
        <f t="shared" si="5"/>
        <v>3574.6024388466763</v>
      </c>
      <c r="J27" s="4">
        <f t="shared" si="6"/>
        <v>-355.3575365676993</v>
      </c>
    </row>
    <row r="28" spans="1:10" x14ac:dyDescent="0.25">
      <c r="A28">
        <v>1923</v>
      </c>
      <c r="B28" s="1">
        <v>44.975000000000001</v>
      </c>
      <c r="C28" s="1">
        <v>24.75</v>
      </c>
      <c r="D28" s="1">
        <f t="shared" si="2"/>
        <v>20.225000000000001</v>
      </c>
      <c r="E28" s="11">
        <v>-20</v>
      </c>
      <c r="F28" s="4">
        <f t="shared" si="7"/>
        <v>83903.258390468342</v>
      </c>
      <c r="G28" s="4">
        <f t="shared" si="3"/>
        <v>84747.411485106131</v>
      </c>
      <c r="H28" s="4">
        <f t="shared" si="4"/>
        <v>3811.5148315426482</v>
      </c>
      <c r="I28" s="4">
        <f t="shared" si="5"/>
        <v>2097.4984342563766</v>
      </c>
      <c r="J28" s="4">
        <f t="shared" si="6"/>
        <v>1714.0163972862715</v>
      </c>
    </row>
    <row r="29" spans="1:10" x14ac:dyDescent="0.25">
      <c r="A29">
        <v>1924</v>
      </c>
      <c r="B29" s="1">
        <v>42.524999999999999</v>
      </c>
      <c r="C29" s="1">
        <v>22.675000000000004</v>
      </c>
      <c r="D29" s="1">
        <f t="shared" si="2"/>
        <v>19.849999999999994</v>
      </c>
      <c r="E29" s="11">
        <v>-10</v>
      </c>
      <c r="F29" s="4">
        <f t="shared" si="7"/>
        <v>85597.274787754606</v>
      </c>
      <c r="G29" s="4">
        <f t="shared" si="3"/>
        <v>86447.443706919978</v>
      </c>
      <c r="H29" s="4">
        <f t="shared" si="4"/>
        <v>3676.177543636772</v>
      </c>
      <c r="I29" s="4">
        <f t="shared" si="5"/>
        <v>1960.195786054411</v>
      </c>
      <c r="J29" s="4">
        <f t="shared" si="6"/>
        <v>1715.9817575823611</v>
      </c>
    </row>
    <row r="30" spans="1:10" x14ac:dyDescent="0.25">
      <c r="A30">
        <v>1925</v>
      </c>
      <c r="B30" s="1">
        <v>44.466666666666661</v>
      </c>
      <c r="C30" s="1">
        <v>23.625</v>
      </c>
      <c r="D30" s="1">
        <f t="shared" si="2"/>
        <v>20.841666666666661</v>
      </c>
      <c r="E30" s="11">
        <v>-5</v>
      </c>
      <c r="F30" s="4">
        <f t="shared" si="7"/>
        <v>87303.256545336961</v>
      </c>
      <c r="G30" s="4">
        <f t="shared" si="3"/>
        <v>88216.865234975689</v>
      </c>
      <c r="H30" s="4">
        <f t="shared" si="4"/>
        <v>3922.7099407819182</v>
      </c>
      <c r="I30" s="4">
        <f t="shared" si="5"/>
        <v>2084.1234411763007</v>
      </c>
      <c r="J30" s="4">
        <f t="shared" si="6"/>
        <v>1838.5864996056175</v>
      </c>
    </row>
    <row r="31" spans="1:10" x14ac:dyDescent="0.25">
      <c r="A31">
        <v>1926</v>
      </c>
      <c r="B31" s="1">
        <v>42.466666666666669</v>
      </c>
      <c r="C31" s="1">
        <v>21.024999999999999</v>
      </c>
      <c r="D31" s="1">
        <f t="shared" si="2"/>
        <v>21.44166666666667</v>
      </c>
      <c r="E31" s="7">
        <v>0</v>
      </c>
      <c r="F31" s="4">
        <f t="shared" si="7"/>
        <v>89136.84304494258</v>
      </c>
      <c r="G31" s="4">
        <f t="shared" si="3"/>
        <v>90099.331089848667</v>
      </c>
      <c r="H31" s="4">
        <f t="shared" si="4"/>
        <v>3826.2182602822404</v>
      </c>
      <c r="I31" s="4">
        <f t="shared" si="5"/>
        <v>1894.3384361640681</v>
      </c>
      <c r="J31" s="4">
        <f t="shared" si="6"/>
        <v>1931.8798241181723</v>
      </c>
    </row>
    <row r="32" spans="1:10" x14ac:dyDescent="0.25">
      <c r="A32">
        <v>1927</v>
      </c>
      <c r="F32" s="4">
        <f t="shared" si="7"/>
        <v>91068.722869060759</v>
      </c>
    </row>
    <row r="34" spans="1:6" x14ac:dyDescent="0.25">
      <c r="A34" s="15" t="s">
        <v>31</v>
      </c>
      <c r="F34">
        <v>93604</v>
      </c>
    </row>
    <row r="35" spans="1:6" x14ac:dyDescent="0.25">
      <c r="A35" s="15" t="s">
        <v>33</v>
      </c>
      <c r="F35">
        <v>200</v>
      </c>
    </row>
    <row r="36" spans="1:6" x14ac:dyDescent="0.25">
      <c r="A36" s="15" t="s">
        <v>34</v>
      </c>
      <c r="B36" s="14"/>
      <c r="F36" s="3">
        <f>F32+F35-F34</f>
        <v>-2335.277130939241</v>
      </c>
    </row>
  </sheetData>
  <mergeCells count="4">
    <mergeCell ref="A3:A4"/>
    <mergeCell ref="B3:E3"/>
    <mergeCell ref="F3:I3"/>
    <mergeCell ref="K3:L3"/>
  </mergeCells>
  <pageMargins left="0.7" right="0.7" top="0.75" bottom="0.75" header="0.3" footer="0.3"/>
  <ignoredErrors>
    <ignoredError sqref="K5:L16" formulaRange="1"/>
  </ignoredError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215099-DB09-478A-9647-39027422EDA5}">
  <dimension ref="A2:Q15"/>
  <sheetViews>
    <sheetView workbookViewId="0">
      <selection activeCell="A20" sqref="A20"/>
    </sheetView>
  </sheetViews>
  <sheetFormatPr defaultRowHeight="15" x14ac:dyDescent="0.25"/>
  <cols>
    <col min="14" max="14" width="14.85546875" customWidth="1"/>
  </cols>
  <sheetData>
    <row r="2" spans="1:17" x14ac:dyDescent="0.25">
      <c r="L2" s="5" t="s">
        <v>36</v>
      </c>
      <c r="M2" s="5" t="s">
        <v>36</v>
      </c>
      <c r="N2" s="5" t="s">
        <v>36</v>
      </c>
      <c r="O2" s="5" t="s">
        <v>36</v>
      </c>
      <c r="P2" s="5" t="s">
        <v>36</v>
      </c>
      <c r="Q2" s="5"/>
    </row>
    <row r="3" spans="1:17" x14ac:dyDescent="0.25">
      <c r="A3" s="16" t="s">
        <v>3</v>
      </c>
      <c r="B3" s="8" t="s">
        <v>8</v>
      </c>
      <c r="C3" s="8" t="s">
        <v>9</v>
      </c>
      <c r="D3" s="8" t="s">
        <v>10</v>
      </c>
      <c r="E3" s="8" t="s">
        <v>11</v>
      </c>
      <c r="F3" s="8" t="s">
        <v>13</v>
      </c>
      <c r="G3" s="8" t="s">
        <v>14</v>
      </c>
      <c r="H3" s="8" t="s">
        <v>5</v>
      </c>
      <c r="J3" s="8" t="s">
        <v>1</v>
      </c>
      <c r="L3" s="8" t="s">
        <v>28</v>
      </c>
      <c r="M3" s="10" t="s">
        <v>37</v>
      </c>
      <c r="N3" s="10" t="s">
        <v>38</v>
      </c>
      <c r="O3" s="10" t="s">
        <v>39</v>
      </c>
      <c r="P3" s="10" t="s">
        <v>40</v>
      </c>
      <c r="Q3" s="10" t="s">
        <v>2</v>
      </c>
    </row>
    <row r="4" spans="1:17" x14ac:dyDescent="0.25">
      <c r="A4" s="7">
        <v>1915</v>
      </c>
      <c r="B4" s="1"/>
      <c r="C4" s="1">
        <v>35.9</v>
      </c>
      <c r="D4" s="1"/>
      <c r="E4" s="1"/>
      <c r="F4" s="1">
        <v>39.700000000000003</v>
      </c>
      <c r="G4" s="1"/>
      <c r="H4" s="1"/>
      <c r="J4" s="2">
        <f>AVERAGE(B4:H4)</f>
        <v>37.799999999999997</v>
      </c>
      <c r="L4" s="3">
        <f>91000*J4/1000</f>
        <v>3439.7999999999997</v>
      </c>
      <c r="M4" s="3">
        <f>L4*28.3/100</f>
        <v>973.46339999999998</v>
      </c>
      <c r="N4" s="3">
        <f>91000*15.3/1000</f>
        <v>1392.3</v>
      </c>
      <c r="O4">
        <v>450</v>
      </c>
      <c r="P4" s="3">
        <f>SUM(M4:O4)</f>
        <v>2815.7633999999998</v>
      </c>
      <c r="Q4">
        <f>P4/91000*1000</f>
        <v>30.942454945054941</v>
      </c>
    </row>
    <row r="5" spans="1:17" x14ac:dyDescent="0.25">
      <c r="A5" s="7">
        <v>1916</v>
      </c>
      <c r="B5" s="1"/>
      <c r="C5" s="1">
        <v>27.1</v>
      </c>
      <c r="D5" s="1"/>
      <c r="E5" s="1"/>
      <c r="F5" s="1">
        <v>29.9</v>
      </c>
      <c r="G5" s="1"/>
      <c r="H5" s="1"/>
      <c r="J5" s="2">
        <f t="shared" ref="J5:J15" si="0">AVERAGE(B5:H5)</f>
        <v>28.5</v>
      </c>
      <c r="L5" s="3">
        <f t="shared" ref="L5:L15" si="1">91000*J5/1000</f>
        <v>2593.5</v>
      </c>
      <c r="M5" s="3">
        <f t="shared" ref="M5:M15" si="2">L5*28.3/100</f>
        <v>733.96050000000002</v>
      </c>
      <c r="N5" s="3">
        <f t="shared" ref="N5:N15" si="3">91000*15.3/1000</f>
        <v>1392.3</v>
      </c>
      <c r="O5">
        <v>450</v>
      </c>
      <c r="P5" s="3">
        <f>SUM(M5:O5)</f>
        <v>2576.2604999999999</v>
      </c>
      <c r="Q5">
        <f>P5/91000*1000</f>
        <v>28.310554945054943</v>
      </c>
    </row>
    <row r="6" spans="1:17" x14ac:dyDescent="0.25">
      <c r="A6" s="7">
        <v>1917</v>
      </c>
      <c r="B6" s="1"/>
      <c r="C6" s="1">
        <v>26.3</v>
      </c>
      <c r="D6" s="1"/>
      <c r="E6" s="1"/>
      <c r="F6" s="1">
        <v>23.9</v>
      </c>
      <c r="G6" s="1"/>
      <c r="H6" s="17">
        <v>27.4</v>
      </c>
      <c r="J6" s="2">
        <f t="shared" si="0"/>
        <v>25.866666666666664</v>
      </c>
      <c r="L6" s="3">
        <f t="shared" si="1"/>
        <v>2353.8666666666663</v>
      </c>
      <c r="M6" s="3">
        <f t="shared" si="2"/>
        <v>666.14426666666657</v>
      </c>
      <c r="N6" s="3">
        <f t="shared" si="3"/>
        <v>1392.3</v>
      </c>
      <c r="P6" s="3">
        <f t="shared" ref="P6:P15" si="4">SUM(M6:O6)</f>
        <v>2058.4442666666664</v>
      </c>
      <c r="Q6">
        <f t="shared" ref="Q6:Q15" si="5">P6/91000*1000</f>
        <v>22.620266666666662</v>
      </c>
    </row>
    <row r="7" spans="1:17" x14ac:dyDescent="0.25">
      <c r="A7" s="7">
        <v>1918</v>
      </c>
      <c r="B7" s="1"/>
      <c r="C7" s="1">
        <v>34.700000000000003</v>
      </c>
      <c r="D7" s="1"/>
      <c r="E7" s="1"/>
      <c r="F7" s="1">
        <v>32</v>
      </c>
      <c r="G7" s="1">
        <v>31.8</v>
      </c>
      <c r="H7" s="17">
        <v>33.1</v>
      </c>
      <c r="J7" s="2">
        <f t="shared" si="0"/>
        <v>32.9</v>
      </c>
      <c r="L7" s="3">
        <f t="shared" si="1"/>
        <v>2993.9</v>
      </c>
      <c r="M7" s="3">
        <f t="shared" si="2"/>
        <v>847.27370000000008</v>
      </c>
      <c r="N7" s="3">
        <f t="shared" si="3"/>
        <v>1392.3</v>
      </c>
      <c r="P7" s="3">
        <f t="shared" si="4"/>
        <v>2239.5736999999999</v>
      </c>
      <c r="Q7">
        <f t="shared" si="5"/>
        <v>24.610699999999998</v>
      </c>
    </row>
    <row r="8" spans="1:17" x14ac:dyDescent="0.25">
      <c r="A8" s="7">
        <v>1919</v>
      </c>
      <c r="B8" s="1"/>
      <c r="C8" s="1">
        <v>31.7</v>
      </c>
      <c r="D8" s="1"/>
      <c r="E8" s="1"/>
      <c r="F8" s="1">
        <v>31</v>
      </c>
      <c r="G8" s="1">
        <v>30.8</v>
      </c>
      <c r="H8" s="17">
        <v>30</v>
      </c>
      <c r="J8" s="2">
        <f t="shared" si="0"/>
        <v>30.875</v>
      </c>
      <c r="L8" s="3">
        <f t="shared" si="1"/>
        <v>2809.625</v>
      </c>
      <c r="M8" s="3">
        <f t="shared" si="2"/>
        <v>795.123875</v>
      </c>
      <c r="N8" s="3">
        <f t="shared" si="3"/>
        <v>1392.3</v>
      </c>
      <c r="P8" s="3">
        <f t="shared" si="4"/>
        <v>2187.423875</v>
      </c>
      <c r="Q8">
        <f t="shared" si="5"/>
        <v>24.037624999999998</v>
      </c>
    </row>
    <row r="9" spans="1:17" x14ac:dyDescent="0.25">
      <c r="A9" s="7">
        <v>1920</v>
      </c>
      <c r="B9" s="1">
        <v>30.9</v>
      </c>
      <c r="C9" s="1">
        <v>32.200000000000003</v>
      </c>
      <c r="D9" s="1"/>
      <c r="E9" s="1"/>
      <c r="F9" s="1">
        <v>31.2</v>
      </c>
      <c r="G9" s="1">
        <v>31</v>
      </c>
      <c r="H9" s="17">
        <v>31.3</v>
      </c>
      <c r="J9" s="2">
        <f t="shared" si="0"/>
        <v>31.32</v>
      </c>
      <c r="L9" s="3">
        <f t="shared" si="1"/>
        <v>2850.12</v>
      </c>
      <c r="M9" s="3">
        <f t="shared" si="2"/>
        <v>806.58395999999993</v>
      </c>
      <c r="N9" s="3">
        <f t="shared" si="3"/>
        <v>1392.3</v>
      </c>
      <c r="P9" s="3">
        <f t="shared" si="4"/>
        <v>2198.8839600000001</v>
      </c>
      <c r="Q9">
        <f t="shared" si="5"/>
        <v>24.16356</v>
      </c>
    </row>
    <row r="10" spans="1:17" x14ac:dyDescent="0.25">
      <c r="A10" s="7">
        <v>1921</v>
      </c>
      <c r="B10" s="1">
        <v>32.6</v>
      </c>
      <c r="C10" s="1">
        <v>37.299999999999997</v>
      </c>
      <c r="D10" s="1"/>
      <c r="E10" s="1"/>
      <c r="F10" s="1">
        <v>35.5</v>
      </c>
      <c r="G10" s="1">
        <v>35.299999999999997</v>
      </c>
      <c r="H10" s="17">
        <v>37.799999999999997</v>
      </c>
      <c r="J10" s="2">
        <f t="shared" si="0"/>
        <v>35.700000000000003</v>
      </c>
      <c r="L10" s="3">
        <f t="shared" si="1"/>
        <v>3248.7000000000003</v>
      </c>
      <c r="M10" s="3">
        <f t="shared" si="2"/>
        <v>919.38210000000004</v>
      </c>
      <c r="N10" s="3">
        <f t="shared" si="3"/>
        <v>1392.3</v>
      </c>
      <c r="P10" s="3">
        <f t="shared" si="4"/>
        <v>2311.6821</v>
      </c>
      <c r="Q10">
        <f t="shared" si="5"/>
        <v>25.403100000000002</v>
      </c>
    </row>
    <row r="11" spans="1:17" x14ac:dyDescent="0.25">
      <c r="A11" s="7">
        <v>1922</v>
      </c>
      <c r="B11" s="1">
        <v>33.4</v>
      </c>
      <c r="C11" s="1">
        <v>38.200000000000003</v>
      </c>
      <c r="D11" s="1"/>
      <c r="E11" s="1"/>
      <c r="F11" s="1">
        <v>37.299999999999997</v>
      </c>
      <c r="G11" s="1">
        <v>36.799999999999997</v>
      </c>
      <c r="H11" s="17">
        <v>41.4</v>
      </c>
      <c r="J11" s="2">
        <f t="shared" si="0"/>
        <v>37.42</v>
      </c>
      <c r="L11" s="3">
        <f t="shared" si="1"/>
        <v>3405.22</v>
      </c>
      <c r="M11" s="3">
        <f t="shared" si="2"/>
        <v>963.67725999999993</v>
      </c>
      <c r="N11" s="3">
        <f t="shared" si="3"/>
        <v>1392.3</v>
      </c>
      <c r="P11" s="3">
        <f t="shared" si="4"/>
        <v>2355.9772599999997</v>
      </c>
      <c r="Q11">
        <f t="shared" si="5"/>
        <v>25.889859999999999</v>
      </c>
    </row>
    <row r="12" spans="1:17" x14ac:dyDescent="0.25">
      <c r="A12" s="7">
        <v>1923</v>
      </c>
      <c r="B12" s="1">
        <v>42.8</v>
      </c>
      <c r="C12" s="1">
        <v>45.5</v>
      </c>
      <c r="D12" s="1"/>
      <c r="E12" s="1"/>
      <c r="F12" s="1">
        <v>43.9</v>
      </c>
      <c r="G12" s="1">
        <v>42.8</v>
      </c>
      <c r="H12" s="17">
        <v>46.5</v>
      </c>
      <c r="J12" s="2">
        <f t="shared" si="0"/>
        <v>44.3</v>
      </c>
      <c r="L12" s="3">
        <f t="shared" si="1"/>
        <v>4031.2999999999997</v>
      </c>
      <c r="M12" s="3">
        <f t="shared" si="2"/>
        <v>1140.8579</v>
      </c>
      <c r="N12" s="3">
        <f t="shared" si="3"/>
        <v>1392.3</v>
      </c>
      <c r="P12" s="3">
        <f t="shared" si="4"/>
        <v>2533.1579000000002</v>
      </c>
      <c r="Q12">
        <f t="shared" si="5"/>
        <v>27.8369</v>
      </c>
    </row>
    <row r="13" spans="1:17" x14ac:dyDescent="0.25">
      <c r="A13" s="7">
        <v>1924</v>
      </c>
      <c r="B13" s="1">
        <v>43.8</v>
      </c>
      <c r="C13" s="1">
        <v>42.2</v>
      </c>
      <c r="D13" s="1"/>
      <c r="E13" s="1"/>
      <c r="F13" s="1">
        <v>42</v>
      </c>
      <c r="G13" s="1">
        <v>41</v>
      </c>
      <c r="H13" s="17">
        <v>43.6</v>
      </c>
      <c r="J13" s="2">
        <f t="shared" si="0"/>
        <v>42.519999999999996</v>
      </c>
      <c r="L13" s="3">
        <f t="shared" si="1"/>
        <v>3869.3199999999997</v>
      </c>
      <c r="M13" s="3">
        <f t="shared" si="2"/>
        <v>1095.01756</v>
      </c>
      <c r="N13" s="3">
        <f t="shared" si="3"/>
        <v>1392.3</v>
      </c>
      <c r="P13" s="3">
        <f t="shared" si="4"/>
        <v>2487.31756</v>
      </c>
      <c r="Q13">
        <f t="shared" si="5"/>
        <v>27.333159999999999</v>
      </c>
    </row>
    <row r="14" spans="1:17" x14ac:dyDescent="0.25">
      <c r="A14" s="7">
        <v>1925</v>
      </c>
      <c r="B14" s="1">
        <v>45.9</v>
      </c>
      <c r="C14" s="1">
        <v>43.9</v>
      </c>
      <c r="D14" s="1"/>
      <c r="E14" s="1"/>
      <c r="F14" s="1"/>
      <c r="G14" s="1"/>
      <c r="H14" s="17">
        <v>45.7</v>
      </c>
      <c r="J14" s="2">
        <f t="shared" si="0"/>
        <v>45.166666666666664</v>
      </c>
      <c r="L14" s="3">
        <f t="shared" si="1"/>
        <v>4110.1666666666661</v>
      </c>
      <c r="M14" s="3">
        <f t="shared" si="2"/>
        <v>1163.1771666666664</v>
      </c>
      <c r="N14" s="3">
        <f t="shared" si="3"/>
        <v>1392.3</v>
      </c>
      <c r="P14" s="3">
        <f t="shared" si="4"/>
        <v>2555.4771666666666</v>
      </c>
      <c r="Q14">
        <f t="shared" si="5"/>
        <v>28.082166666666666</v>
      </c>
    </row>
    <row r="15" spans="1:17" x14ac:dyDescent="0.25">
      <c r="A15" s="7">
        <v>1926</v>
      </c>
      <c r="B15" s="1">
        <v>44.7</v>
      </c>
      <c r="C15" s="1">
        <v>42.5</v>
      </c>
      <c r="D15" s="1"/>
      <c r="E15" s="1"/>
      <c r="F15" s="1"/>
      <c r="G15" s="1"/>
      <c r="H15" s="17">
        <v>42.6</v>
      </c>
      <c r="J15" s="2">
        <f t="shared" si="0"/>
        <v>43.266666666666673</v>
      </c>
      <c r="L15" s="3">
        <f t="shared" si="1"/>
        <v>3937.2666666666673</v>
      </c>
      <c r="M15" s="3">
        <f t="shared" si="2"/>
        <v>1114.2464666666667</v>
      </c>
      <c r="N15" s="3">
        <f t="shared" si="3"/>
        <v>1392.3</v>
      </c>
      <c r="P15" s="3">
        <f t="shared" si="4"/>
        <v>2506.5464666666667</v>
      </c>
      <c r="Q15">
        <f t="shared" si="5"/>
        <v>27.544466666666665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630E18-E91C-487F-91B5-16C784069E00}">
  <dimension ref="A1:F37"/>
  <sheetViews>
    <sheetView tabSelected="1" workbookViewId="0">
      <selection activeCell="A2" sqref="A2"/>
    </sheetView>
  </sheetViews>
  <sheetFormatPr defaultRowHeight="15" x14ac:dyDescent="0.25"/>
  <sheetData>
    <row r="1" spans="1:6" ht="21" x14ac:dyDescent="0.35">
      <c r="A1" s="52" t="s">
        <v>152</v>
      </c>
    </row>
    <row r="3" spans="1:6" x14ac:dyDescent="0.25">
      <c r="A3" t="s">
        <v>3</v>
      </c>
      <c r="B3" s="37" t="s">
        <v>150</v>
      </c>
      <c r="C3" s="37" t="s">
        <v>148</v>
      </c>
      <c r="D3" s="37" t="s">
        <v>149</v>
      </c>
      <c r="E3" s="37" t="s">
        <v>151</v>
      </c>
    </row>
    <row r="4" spans="1:6" x14ac:dyDescent="0.25">
      <c r="A4" s="42">
        <v>1913</v>
      </c>
      <c r="B4" s="50">
        <v>47</v>
      </c>
      <c r="C4" s="2">
        <f>B4*48.4/46.9</f>
        <v>48.503198294243063</v>
      </c>
      <c r="D4">
        <v>1</v>
      </c>
      <c r="E4" s="2">
        <f>C4*D4</f>
        <v>48.503198294243063</v>
      </c>
    </row>
    <row r="5" spans="1:6" x14ac:dyDescent="0.25">
      <c r="A5" s="42">
        <v>1914</v>
      </c>
      <c r="B5" s="50">
        <v>46.9</v>
      </c>
      <c r="C5" s="2">
        <f>B5*48.4/46.9</f>
        <v>48.400000000000006</v>
      </c>
      <c r="D5">
        <v>1</v>
      </c>
      <c r="E5" s="2">
        <f t="shared" ref="E5:E15" si="0">C5*D5</f>
        <v>48.400000000000006</v>
      </c>
      <c r="F5" s="41"/>
    </row>
    <row r="6" spans="1:6" x14ac:dyDescent="0.25">
      <c r="A6" s="43">
        <v>1915</v>
      </c>
      <c r="B6" s="50">
        <v>39.700000000000003</v>
      </c>
      <c r="C6" s="2">
        <f t="shared" ref="C6:C15" si="1">B6*48.4/46.9</f>
        <v>40.969722814498937</v>
      </c>
      <c r="D6">
        <v>1</v>
      </c>
      <c r="E6" s="2">
        <f t="shared" si="0"/>
        <v>40.969722814498937</v>
      </c>
      <c r="F6" s="38"/>
    </row>
    <row r="7" spans="1:6" x14ac:dyDescent="0.25">
      <c r="A7" s="43">
        <v>1916</v>
      </c>
      <c r="B7" s="50">
        <v>29.9</v>
      </c>
      <c r="C7" s="2">
        <f t="shared" si="1"/>
        <v>30.856289978678035</v>
      </c>
      <c r="D7">
        <v>1</v>
      </c>
      <c r="E7" s="2">
        <f t="shared" si="0"/>
        <v>30.856289978678035</v>
      </c>
      <c r="F7" s="38"/>
    </row>
    <row r="8" spans="1:6" x14ac:dyDescent="0.25">
      <c r="A8" s="43">
        <v>1917</v>
      </c>
      <c r="B8" s="50">
        <v>23.9</v>
      </c>
      <c r="C8" s="2">
        <f t="shared" si="1"/>
        <v>24.664392324093818</v>
      </c>
      <c r="D8">
        <v>1</v>
      </c>
      <c r="E8" s="2">
        <f t="shared" si="0"/>
        <v>24.664392324093818</v>
      </c>
      <c r="F8" s="38"/>
    </row>
    <row r="9" spans="1:6" x14ac:dyDescent="0.25">
      <c r="A9" s="43">
        <v>1918</v>
      </c>
      <c r="B9" s="50">
        <v>32</v>
      </c>
      <c r="C9" s="2">
        <f t="shared" si="1"/>
        <v>33.023454157782517</v>
      </c>
      <c r="D9">
        <v>1</v>
      </c>
      <c r="E9" s="2">
        <f t="shared" si="0"/>
        <v>33.023454157782517</v>
      </c>
      <c r="F9" s="38"/>
    </row>
    <row r="10" spans="1:6" x14ac:dyDescent="0.25">
      <c r="A10" s="43">
        <v>1919</v>
      </c>
      <c r="B10" s="50">
        <v>31</v>
      </c>
      <c r="C10" s="2">
        <f t="shared" si="1"/>
        <v>31.991471215351812</v>
      </c>
      <c r="D10">
        <v>1</v>
      </c>
      <c r="E10" s="2">
        <f t="shared" si="0"/>
        <v>31.991471215351812</v>
      </c>
      <c r="F10" s="38"/>
    </row>
    <row r="11" spans="1:6" x14ac:dyDescent="0.25">
      <c r="A11" s="43">
        <v>1920</v>
      </c>
      <c r="B11" s="50">
        <v>31.2</v>
      </c>
      <c r="C11" s="2">
        <f t="shared" si="1"/>
        <v>32.197867803837951</v>
      </c>
      <c r="D11">
        <v>1</v>
      </c>
      <c r="E11" s="2">
        <f t="shared" si="0"/>
        <v>32.197867803837951</v>
      </c>
      <c r="F11" s="38"/>
    </row>
    <row r="12" spans="1:6" x14ac:dyDescent="0.25">
      <c r="A12" s="43">
        <v>1921</v>
      </c>
      <c r="B12" s="50">
        <v>35.5</v>
      </c>
      <c r="C12" s="2">
        <f t="shared" si="1"/>
        <v>36.63539445628998</v>
      </c>
      <c r="D12">
        <v>1</v>
      </c>
      <c r="E12" s="2">
        <f t="shared" si="0"/>
        <v>36.63539445628998</v>
      </c>
      <c r="F12" s="38"/>
    </row>
    <row r="13" spans="1:6" x14ac:dyDescent="0.25">
      <c r="A13" s="43">
        <v>1922</v>
      </c>
      <c r="B13" s="50">
        <v>37.299999999999997</v>
      </c>
      <c r="C13" s="2">
        <f t="shared" si="1"/>
        <v>38.49296375266524</v>
      </c>
      <c r="D13">
        <v>1.02</v>
      </c>
      <c r="E13" s="2">
        <f t="shared" si="0"/>
        <v>39.262823027718547</v>
      </c>
      <c r="F13" s="38"/>
    </row>
    <row r="14" spans="1:6" x14ac:dyDescent="0.25">
      <c r="A14" s="43">
        <v>1923</v>
      </c>
      <c r="B14" s="50">
        <v>43.9</v>
      </c>
      <c r="C14" s="2">
        <f t="shared" si="1"/>
        <v>45.304051172707887</v>
      </c>
      <c r="D14">
        <v>1.08</v>
      </c>
      <c r="E14" s="2">
        <f t="shared" si="0"/>
        <v>48.928375266524519</v>
      </c>
      <c r="F14" s="38"/>
    </row>
    <row r="15" spans="1:6" x14ac:dyDescent="0.25">
      <c r="A15" s="43">
        <v>1924</v>
      </c>
      <c r="B15" s="51">
        <v>43.8</v>
      </c>
      <c r="C15" s="2">
        <f t="shared" si="1"/>
        <v>45.200852878464815</v>
      </c>
      <c r="D15">
        <v>1.03</v>
      </c>
      <c r="E15" s="2">
        <f t="shared" si="0"/>
        <v>46.556878464818759</v>
      </c>
      <c r="F15" s="38"/>
    </row>
    <row r="16" spans="1:6" x14ac:dyDescent="0.25">
      <c r="A16" s="43">
        <v>1925</v>
      </c>
      <c r="B16" s="51">
        <v>45.9</v>
      </c>
      <c r="D16">
        <v>1</v>
      </c>
      <c r="E16">
        <v>48.7</v>
      </c>
    </row>
    <row r="17" spans="1:5" x14ac:dyDescent="0.25">
      <c r="A17" s="43">
        <v>1926</v>
      </c>
      <c r="B17" s="51">
        <v>44.7</v>
      </c>
      <c r="D17">
        <v>1</v>
      </c>
      <c r="E17">
        <v>47</v>
      </c>
    </row>
    <row r="18" spans="1:5" x14ac:dyDescent="0.25">
      <c r="A18" s="49">
        <v>1927</v>
      </c>
      <c r="E18">
        <v>49.6</v>
      </c>
    </row>
    <row r="27" spans="1:5" x14ac:dyDescent="0.25">
      <c r="B27" s="41"/>
    </row>
    <row r="28" spans="1:5" x14ac:dyDescent="0.25">
      <c r="B28" s="38"/>
    </row>
    <row r="29" spans="1:5" x14ac:dyDescent="0.25">
      <c r="B29" s="38"/>
    </row>
    <row r="30" spans="1:5" x14ac:dyDescent="0.25">
      <c r="B30" s="38"/>
    </row>
    <row r="31" spans="1:5" x14ac:dyDescent="0.25">
      <c r="B31" s="38"/>
    </row>
    <row r="32" spans="1:5" x14ac:dyDescent="0.25">
      <c r="B32" s="38"/>
    </row>
    <row r="33" spans="2:2" x14ac:dyDescent="0.25">
      <c r="B33" s="38"/>
    </row>
    <row r="34" spans="2:2" x14ac:dyDescent="0.25">
      <c r="B34" s="38"/>
    </row>
    <row r="35" spans="2:2" x14ac:dyDescent="0.25">
      <c r="B35" s="38"/>
    </row>
    <row r="36" spans="2:2" x14ac:dyDescent="0.25">
      <c r="B36" s="38"/>
    </row>
    <row r="37" spans="2:2" x14ac:dyDescent="0.25">
      <c r="B37" s="38"/>
    </row>
  </sheetData>
  <pageMargins left="0.7" right="0.7" top="0.75" bottom="0.75" header="0.3" footer="0.3"/>
  <pageSetup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8DB20F-C47E-44E4-954C-277D60C2E30E}">
  <dimension ref="A1:N219"/>
  <sheetViews>
    <sheetView workbookViewId="0">
      <selection activeCell="A3" sqref="A3"/>
    </sheetView>
  </sheetViews>
  <sheetFormatPr defaultRowHeight="15" x14ac:dyDescent="0.25"/>
  <cols>
    <col min="1" max="1" width="21.140625" customWidth="1"/>
  </cols>
  <sheetData>
    <row r="1" spans="1:14" x14ac:dyDescent="0.25">
      <c r="A1" s="22" t="s">
        <v>92</v>
      </c>
    </row>
    <row r="2" spans="1:14" x14ac:dyDescent="0.25">
      <c r="A2" t="s">
        <v>138</v>
      </c>
    </row>
    <row r="3" spans="1:14" x14ac:dyDescent="0.25">
      <c r="A3" t="s">
        <v>93</v>
      </c>
    </row>
    <row r="5" spans="1:14" x14ac:dyDescent="0.25">
      <c r="A5" t="s">
        <v>98</v>
      </c>
      <c r="B5" t="s">
        <v>94</v>
      </c>
    </row>
    <row r="6" spans="1:14" x14ac:dyDescent="0.25">
      <c r="B6" t="s">
        <v>97</v>
      </c>
    </row>
    <row r="7" spans="1:14" x14ac:dyDescent="0.25">
      <c r="B7" t="s">
        <v>95</v>
      </c>
    </row>
    <row r="8" spans="1:14" x14ac:dyDescent="0.25">
      <c r="B8" t="s">
        <v>96</v>
      </c>
    </row>
    <row r="10" spans="1:14" x14ac:dyDescent="0.25">
      <c r="B10" s="20">
        <v>1912</v>
      </c>
      <c r="C10" s="20">
        <v>1913</v>
      </c>
      <c r="D10" s="20">
        <v>1914</v>
      </c>
      <c r="E10" s="20">
        <v>1915</v>
      </c>
      <c r="F10" s="20">
        <v>1916</v>
      </c>
      <c r="G10" s="20">
        <v>1917</v>
      </c>
      <c r="I10" s="20"/>
      <c r="J10" s="20"/>
      <c r="K10" s="20"/>
      <c r="L10" s="20"/>
      <c r="M10" s="20"/>
      <c r="N10" s="20"/>
    </row>
    <row r="11" spans="1:14" x14ac:dyDescent="0.25">
      <c r="A11" t="s">
        <v>41</v>
      </c>
      <c r="B11" s="3">
        <v>3750</v>
      </c>
      <c r="C11" s="3">
        <v>3883</v>
      </c>
      <c r="D11" s="3">
        <v>3598</v>
      </c>
      <c r="E11" s="3">
        <v>2027</v>
      </c>
    </row>
    <row r="12" spans="1:14" x14ac:dyDescent="0.25">
      <c r="B12" s="3">
        <v>20220</v>
      </c>
      <c r="C12" s="3">
        <v>20694</v>
      </c>
      <c r="D12" s="3">
        <v>20696</v>
      </c>
      <c r="E12" s="3">
        <v>18439</v>
      </c>
      <c r="F12" s="3">
        <v>15749</v>
      </c>
      <c r="I12" s="3"/>
      <c r="J12" s="3"/>
      <c r="K12" s="3"/>
      <c r="L12" s="3"/>
      <c r="M12" s="3"/>
      <c r="N12" s="3"/>
    </row>
    <row r="13" spans="1:14" x14ac:dyDescent="0.25">
      <c r="B13" s="3">
        <v>12003</v>
      </c>
      <c r="C13" s="3">
        <v>12272</v>
      </c>
      <c r="D13" s="3">
        <v>13587</v>
      </c>
      <c r="E13" s="3">
        <v>12709</v>
      </c>
      <c r="F13" s="3">
        <v>12694</v>
      </c>
    </row>
    <row r="14" spans="1:14" x14ac:dyDescent="0.25">
      <c r="B14" s="3">
        <v>8217</v>
      </c>
      <c r="C14" s="3">
        <v>8422</v>
      </c>
      <c r="D14" s="3">
        <v>7109</v>
      </c>
      <c r="E14" s="3">
        <v>5730</v>
      </c>
      <c r="F14" s="3">
        <v>3055</v>
      </c>
    </row>
    <row r="15" spans="1:14" x14ac:dyDescent="0.25">
      <c r="A15" t="s">
        <v>42</v>
      </c>
      <c r="B15" s="3">
        <v>8205</v>
      </c>
      <c r="C15" s="3">
        <v>9579</v>
      </c>
      <c r="D15" s="3">
        <v>8421</v>
      </c>
      <c r="F15" s="3"/>
    </row>
    <row r="16" spans="1:14" x14ac:dyDescent="0.25">
      <c r="B16" s="3">
        <v>48755</v>
      </c>
      <c r="C16" s="3">
        <v>50086</v>
      </c>
      <c r="D16" s="3">
        <v>52352</v>
      </c>
      <c r="E16" s="3">
        <v>43931</v>
      </c>
      <c r="F16" s="3"/>
      <c r="I16" s="3"/>
      <c r="J16" s="3"/>
      <c r="K16" s="3"/>
      <c r="L16" s="3"/>
      <c r="M16" s="3"/>
      <c r="N16" s="3"/>
    </row>
    <row r="17" spans="1:14" x14ac:dyDescent="0.25">
      <c r="B17" s="3">
        <v>28647</v>
      </c>
      <c r="C17" s="3">
        <v>30059</v>
      </c>
      <c r="D17" s="3">
        <v>29166</v>
      </c>
      <c r="E17" s="3">
        <v>33060</v>
      </c>
    </row>
    <row r="18" spans="1:14" x14ac:dyDescent="0.25">
      <c r="B18" s="3">
        <v>20108</v>
      </c>
      <c r="C18" s="3">
        <v>20027</v>
      </c>
      <c r="D18" s="3">
        <v>23186</v>
      </c>
      <c r="E18" s="3">
        <v>10871</v>
      </c>
    </row>
    <row r="19" spans="1:14" x14ac:dyDescent="0.25">
      <c r="A19" t="s">
        <v>43</v>
      </c>
      <c r="B19" s="3">
        <v>20918</v>
      </c>
      <c r="C19" s="3">
        <v>20069</v>
      </c>
      <c r="D19" s="3">
        <v>21110</v>
      </c>
      <c r="E19" s="3"/>
    </row>
    <row r="20" spans="1:14" x14ac:dyDescent="0.25">
      <c r="B20" s="3">
        <v>102654</v>
      </c>
      <c r="C20" s="3">
        <v>102397</v>
      </c>
      <c r="D20" s="3">
        <v>100871</v>
      </c>
      <c r="E20" s="3"/>
      <c r="I20" s="3"/>
      <c r="J20" s="3"/>
      <c r="K20" s="3"/>
      <c r="L20" s="3"/>
      <c r="M20" s="3"/>
      <c r="N20" s="3"/>
    </row>
    <row r="21" spans="1:14" x14ac:dyDescent="0.25">
      <c r="B21" s="3">
        <v>77431</v>
      </c>
      <c r="C21" s="3">
        <v>77745</v>
      </c>
      <c r="D21" s="3">
        <v>79202</v>
      </c>
    </row>
    <row r="22" spans="1:14" x14ac:dyDescent="0.25">
      <c r="B22" s="3">
        <v>25223</v>
      </c>
      <c r="C22" s="3">
        <v>24652</v>
      </c>
      <c r="D22" s="3">
        <v>21669</v>
      </c>
    </row>
    <row r="23" spans="1:14" x14ac:dyDescent="0.25">
      <c r="A23" t="s">
        <v>44</v>
      </c>
      <c r="B23" s="3">
        <v>11999</v>
      </c>
      <c r="C23" s="3">
        <v>12500</v>
      </c>
      <c r="D23" s="3">
        <v>12065</v>
      </c>
    </row>
    <row r="24" spans="1:14" x14ac:dyDescent="0.25">
      <c r="B24" s="3">
        <v>62505</v>
      </c>
      <c r="C24" s="3">
        <v>57672</v>
      </c>
      <c r="D24" s="3">
        <v>60509</v>
      </c>
      <c r="I24" s="3"/>
      <c r="J24" s="3"/>
      <c r="K24" s="3"/>
      <c r="L24" s="3"/>
      <c r="M24" s="3"/>
      <c r="N24" s="3"/>
    </row>
    <row r="25" spans="1:14" x14ac:dyDescent="0.25">
      <c r="B25" s="3">
        <v>34870</v>
      </c>
      <c r="C25" s="3">
        <v>33490</v>
      </c>
      <c r="D25" s="3">
        <v>34087</v>
      </c>
    </row>
    <row r="26" spans="1:14" x14ac:dyDescent="0.25">
      <c r="B26" s="3">
        <v>27635</v>
      </c>
      <c r="C26" s="3">
        <v>24182</v>
      </c>
      <c r="D26" s="3">
        <v>26422</v>
      </c>
    </row>
    <row r="27" spans="1:14" x14ac:dyDescent="0.25">
      <c r="A27" t="s">
        <v>45</v>
      </c>
      <c r="B27" s="3">
        <v>11915</v>
      </c>
      <c r="C27" s="3">
        <v>10256</v>
      </c>
      <c r="D27" s="3">
        <v>10068</v>
      </c>
      <c r="E27" s="3">
        <v>5235</v>
      </c>
      <c r="F27" s="3">
        <v>5082</v>
      </c>
      <c r="G27" s="3">
        <v>4998</v>
      </c>
    </row>
    <row r="28" spans="1:14" x14ac:dyDescent="0.25">
      <c r="B28" s="3">
        <v>63281</v>
      </c>
      <c r="C28" s="3">
        <v>57334</v>
      </c>
      <c r="D28" s="3">
        <v>63639</v>
      </c>
      <c r="E28" s="3">
        <v>52005</v>
      </c>
      <c r="F28" s="3">
        <v>45340</v>
      </c>
      <c r="I28" s="3"/>
      <c r="J28" s="3"/>
      <c r="K28" s="3"/>
      <c r="L28" s="3"/>
      <c r="M28" s="3"/>
      <c r="N28" s="3"/>
    </row>
    <row r="29" spans="1:14" x14ac:dyDescent="0.25">
      <c r="B29" s="3">
        <v>32981</v>
      </c>
      <c r="C29" s="3">
        <v>34425</v>
      </c>
      <c r="D29" s="3">
        <v>34049</v>
      </c>
      <c r="E29" s="3">
        <v>42016</v>
      </c>
      <c r="F29" s="3">
        <v>38073</v>
      </c>
    </row>
    <row r="30" spans="1:14" x14ac:dyDescent="0.25">
      <c r="B30" s="3">
        <v>30300</v>
      </c>
      <c r="C30" s="3">
        <v>22909</v>
      </c>
      <c r="D30" s="3">
        <v>29590</v>
      </c>
      <c r="E30" s="3">
        <v>9989</v>
      </c>
      <c r="F30" s="3">
        <v>7267</v>
      </c>
    </row>
    <row r="31" spans="1:14" x14ac:dyDescent="0.25">
      <c r="A31" t="s">
        <v>46</v>
      </c>
      <c r="B31" s="3">
        <v>13902</v>
      </c>
      <c r="C31" s="3">
        <v>15683</v>
      </c>
      <c r="D31" s="3">
        <v>11609</v>
      </c>
      <c r="E31" s="3">
        <v>3943</v>
      </c>
      <c r="F31" s="3">
        <v>3926</v>
      </c>
      <c r="G31" s="3">
        <v>4896</v>
      </c>
    </row>
    <row r="32" spans="1:14" x14ac:dyDescent="0.25">
      <c r="B32" s="3">
        <v>84963</v>
      </c>
      <c r="C32" s="3">
        <v>90305</v>
      </c>
      <c r="D32" s="3">
        <v>89028</v>
      </c>
      <c r="E32" s="3">
        <v>79192</v>
      </c>
      <c r="F32" s="3">
        <v>59541</v>
      </c>
      <c r="G32" s="3">
        <v>37793</v>
      </c>
      <c r="I32" s="3"/>
      <c r="J32" s="3"/>
      <c r="K32" s="3"/>
      <c r="L32" s="3"/>
      <c r="M32" s="3"/>
      <c r="N32" s="3"/>
    </row>
    <row r="33" spans="1:14" x14ac:dyDescent="0.25">
      <c r="B33" s="3">
        <v>57098</v>
      </c>
      <c r="C33" s="3">
        <v>60397</v>
      </c>
      <c r="D33" s="3">
        <v>53331</v>
      </c>
      <c r="E33" s="3">
        <v>52841</v>
      </c>
      <c r="F33" s="3">
        <v>48132</v>
      </c>
      <c r="G33" s="3">
        <v>41490</v>
      </c>
    </row>
    <row r="34" spans="1:14" x14ac:dyDescent="0.25">
      <c r="B34" s="3">
        <v>27865</v>
      </c>
      <c r="C34" s="3">
        <v>29908</v>
      </c>
      <c r="D34" s="3">
        <v>35697</v>
      </c>
      <c r="E34" s="3">
        <v>26351</v>
      </c>
      <c r="F34" s="3">
        <v>11409</v>
      </c>
      <c r="G34" s="3">
        <v>-3697</v>
      </c>
    </row>
    <row r="35" spans="1:14" x14ac:dyDescent="0.25">
      <c r="A35" t="s">
        <v>51</v>
      </c>
      <c r="B35" s="3">
        <v>13744</v>
      </c>
      <c r="C35" s="3">
        <v>15388</v>
      </c>
      <c r="D35" s="3">
        <v>12289</v>
      </c>
      <c r="E35" s="3">
        <v>5010</v>
      </c>
      <c r="F35" s="3"/>
    </row>
    <row r="36" spans="1:14" x14ac:dyDescent="0.25">
      <c r="B36" s="3">
        <v>75606</v>
      </c>
      <c r="C36" s="3">
        <v>77732</v>
      </c>
      <c r="D36" s="3">
        <v>80204</v>
      </c>
      <c r="E36" s="3">
        <v>63389</v>
      </c>
      <c r="F36" s="3"/>
      <c r="I36" s="3"/>
      <c r="J36" s="3"/>
      <c r="K36" s="3"/>
      <c r="L36" s="3"/>
      <c r="M36" s="3"/>
      <c r="N36" s="3"/>
    </row>
    <row r="37" spans="1:14" x14ac:dyDescent="0.25">
      <c r="B37" s="3">
        <v>51131</v>
      </c>
      <c r="C37" s="3">
        <v>52557</v>
      </c>
      <c r="D37" s="3">
        <v>49964</v>
      </c>
      <c r="E37" s="3">
        <v>45126</v>
      </c>
      <c r="F37" s="3"/>
    </row>
    <row r="38" spans="1:14" x14ac:dyDescent="0.25">
      <c r="B38" s="3">
        <v>24475</v>
      </c>
      <c r="C38" s="3">
        <v>25175</v>
      </c>
      <c r="D38" s="3">
        <v>30240</v>
      </c>
      <c r="E38" s="3">
        <v>18263</v>
      </c>
      <c r="F38" s="3"/>
    </row>
    <row r="39" spans="1:14" x14ac:dyDescent="0.25">
      <c r="A39" t="s">
        <v>47</v>
      </c>
      <c r="B39" s="3">
        <v>28948</v>
      </c>
      <c r="C39" s="3">
        <v>28599</v>
      </c>
      <c r="D39" s="3">
        <v>20300</v>
      </c>
      <c r="F39" s="3"/>
    </row>
    <row r="40" spans="1:14" x14ac:dyDescent="0.25">
      <c r="B40" s="3">
        <v>154685</v>
      </c>
      <c r="C40" s="3">
        <v>145796</v>
      </c>
      <c r="D40" s="3">
        <v>142238</v>
      </c>
      <c r="E40" s="3">
        <v>100032</v>
      </c>
      <c r="F40" s="3"/>
      <c r="I40" s="3"/>
      <c r="J40" s="3"/>
      <c r="K40" s="3"/>
      <c r="L40" s="3"/>
      <c r="M40" s="3"/>
      <c r="N40" s="3"/>
    </row>
    <row r="41" spans="1:14" x14ac:dyDescent="0.25">
      <c r="B41" s="3">
        <v>72287</v>
      </c>
      <c r="C41" s="3">
        <v>84511</v>
      </c>
      <c r="D41" s="3">
        <v>90733</v>
      </c>
      <c r="E41" s="3">
        <v>74702</v>
      </c>
      <c r="F41" s="3"/>
    </row>
    <row r="42" spans="1:14" x14ac:dyDescent="0.25">
      <c r="B42" s="3">
        <v>82398</v>
      </c>
      <c r="C42" s="3">
        <v>61285</v>
      </c>
      <c r="D42" s="3">
        <v>51505</v>
      </c>
      <c r="E42" s="3">
        <v>25330</v>
      </c>
      <c r="F42" s="3"/>
    </row>
    <row r="43" spans="1:14" x14ac:dyDescent="0.25">
      <c r="A43" t="s">
        <v>48</v>
      </c>
      <c r="B43" s="3">
        <v>27753</v>
      </c>
      <c r="C43" s="3">
        <v>31950</v>
      </c>
      <c r="D43" s="3">
        <v>23168</v>
      </c>
      <c r="E43" s="3">
        <v>10591</v>
      </c>
      <c r="F43" s="3">
        <v>13920</v>
      </c>
    </row>
    <row r="44" spans="1:14" x14ac:dyDescent="0.25">
      <c r="B44" s="3">
        <v>176717</v>
      </c>
      <c r="C44" s="3">
        <v>175310</v>
      </c>
      <c r="D44" s="3">
        <v>179175</v>
      </c>
      <c r="E44" s="3">
        <v>153298</v>
      </c>
      <c r="F44" s="3">
        <v>116108</v>
      </c>
      <c r="I44" s="3"/>
      <c r="J44" s="3"/>
      <c r="K44" s="3"/>
      <c r="L44" s="3"/>
      <c r="M44" s="3"/>
      <c r="N44" s="3"/>
    </row>
    <row r="45" spans="1:14" x14ac:dyDescent="0.25">
      <c r="B45" s="3">
        <v>96620</v>
      </c>
      <c r="C45" s="3">
        <v>109194</v>
      </c>
      <c r="D45" s="3">
        <v>110219</v>
      </c>
      <c r="E45" s="3">
        <v>102033</v>
      </c>
      <c r="F45" s="3">
        <v>87704</v>
      </c>
    </row>
    <row r="46" spans="1:14" x14ac:dyDescent="0.25">
      <c r="B46" s="3">
        <v>80097</v>
      </c>
      <c r="C46" s="3">
        <v>66116</v>
      </c>
      <c r="D46" s="3">
        <v>68956</v>
      </c>
      <c r="E46" s="3">
        <v>51265</v>
      </c>
      <c r="F46" s="3">
        <v>28404</v>
      </c>
    </row>
    <row r="47" spans="1:14" x14ac:dyDescent="0.25">
      <c r="A47" t="s">
        <v>49</v>
      </c>
      <c r="B47" s="3">
        <v>29387</v>
      </c>
      <c r="C47" s="3">
        <v>34827</v>
      </c>
      <c r="D47" s="3">
        <v>31300</v>
      </c>
      <c r="E47" s="3">
        <v>16814</v>
      </c>
      <c r="F47" s="3"/>
    </row>
    <row r="48" spans="1:14" x14ac:dyDescent="0.25">
      <c r="B48" s="3">
        <v>188286</v>
      </c>
      <c r="C48" s="3">
        <v>188367</v>
      </c>
      <c r="D48" s="3">
        <v>190574</v>
      </c>
      <c r="E48" s="3">
        <v>160915</v>
      </c>
      <c r="F48" s="3"/>
      <c r="I48" s="3"/>
      <c r="J48" s="3"/>
      <c r="K48" s="3"/>
      <c r="L48" s="3"/>
      <c r="M48" s="3"/>
      <c r="N48" s="3"/>
    </row>
    <row r="49" spans="1:14" x14ac:dyDescent="0.25">
      <c r="B49" s="3">
        <v>139451</v>
      </c>
      <c r="C49" s="3">
        <v>136613</v>
      </c>
      <c r="D49" s="3">
        <v>142545</v>
      </c>
      <c r="E49" s="3">
        <v>149781</v>
      </c>
      <c r="F49" s="3"/>
    </row>
    <row r="50" spans="1:14" x14ac:dyDescent="0.25">
      <c r="B50" s="3">
        <v>48835</v>
      </c>
      <c r="C50" s="3">
        <v>51754</v>
      </c>
      <c r="D50" s="3">
        <v>48029</v>
      </c>
      <c r="E50" s="3">
        <v>11134</v>
      </c>
      <c r="F50" s="3"/>
    </row>
    <row r="51" spans="1:14" x14ac:dyDescent="0.25">
      <c r="A51" t="s">
        <v>50</v>
      </c>
      <c r="B51" s="3">
        <v>12429</v>
      </c>
      <c r="C51" s="3">
        <v>13631</v>
      </c>
      <c r="D51" s="3">
        <v>13911</v>
      </c>
      <c r="E51" s="3"/>
      <c r="F51" s="3"/>
      <c r="G51" s="3"/>
      <c r="H51" s="19"/>
    </row>
    <row r="52" spans="1:14" x14ac:dyDescent="0.25">
      <c r="B52" s="3">
        <v>63247</v>
      </c>
      <c r="C52" s="3">
        <v>60854</v>
      </c>
      <c r="D52" s="3">
        <v>62023</v>
      </c>
      <c r="E52" s="3"/>
      <c r="F52" s="3"/>
      <c r="G52" s="3"/>
      <c r="H52" s="19"/>
      <c r="I52" s="3"/>
      <c r="J52" s="3"/>
      <c r="K52" s="3"/>
      <c r="L52" s="3"/>
      <c r="M52" s="3"/>
      <c r="N52" s="3"/>
    </row>
    <row r="53" spans="1:14" x14ac:dyDescent="0.25">
      <c r="B53" s="3">
        <v>26625</v>
      </c>
      <c r="C53" s="3">
        <v>36942</v>
      </c>
      <c r="D53" s="3">
        <v>35541</v>
      </c>
      <c r="E53" s="3"/>
      <c r="F53" s="3"/>
      <c r="G53" s="3"/>
      <c r="H53" s="19"/>
    </row>
    <row r="54" spans="1:14" x14ac:dyDescent="0.25">
      <c r="B54" s="3">
        <v>36622</v>
      </c>
      <c r="C54" s="3">
        <v>23912</v>
      </c>
      <c r="D54" s="3">
        <v>26482</v>
      </c>
      <c r="E54" s="3"/>
      <c r="F54" s="3"/>
      <c r="G54" s="3"/>
      <c r="H54" s="19"/>
    </row>
    <row r="55" spans="1:14" x14ac:dyDescent="0.25">
      <c r="A55" t="s">
        <v>52</v>
      </c>
      <c r="B55" s="3">
        <v>24527</v>
      </c>
      <c r="C55" s="3">
        <v>32391</v>
      </c>
      <c r="D55" s="3">
        <v>25923</v>
      </c>
      <c r="E55" s="3">
        <v>15632</v>
      </c>
      <c r="F55" s="3"/>
      <c r="G55" s="3"/>
      <c r="H55" s="19"/>
    </row>
    <row r="56" spans="1:14" x14ac:dyDescent="0.25">
      <c r="B56" s="3">
        <v>174732</v>
      </c>
      <c r="C56" s="3">
        <v>172187</v>
      </c>
      <c r="D56" s="3">
        <v>174809</v>
      </c>
      <c r="E56" s="3">
        <v>154072</v>
      </c>
      <c r="F56" s="3">
        <v>104927</v>
      </c>
      <c r="G56" s="3"/>
      <c r="H56" s="19"/>
      <c r="I56" s="3"/>
      <c r="J56" s="3"/>
      <c r="K56" s="3"/>
      <c r="L56" s="3"/>
      <c r="M56" s="3"/>
      <c r="N56" s="3"/>
    </row>
    <row r="57" spans="1:14" x14ac:dyDescent="0.25">
      <c r="B57" s="3">
        <v>87175</v>
      </c>
      <c r="C57" s="3">
        <v>99138</v>
      </c>
      <c r="D57" s="3">
        <v>102833</v>
      </c>
      <c r="E57" s="3">
        <v>101041</v>
      </c>
      <c r="F57" s="3">
        <v>89192</v>
      </c>
      <c r="G57" s="3"/>
      <c r="H57" s="19"/>
    </row>
    <row r="58" spans="1:14" x14ac:dyDescent="0.25">
      <c r="B58" s="3">
        <v>87557</v>
      </c>
      <c r="C58" s="3">
        <v>73049</v>
      </c>
      <c r="D58" s="3">
        <v>71976</v>
      </c>
      <c r="E58" s="3">
        <v>53031</v>
      </c>
      <c r="F58" s="3">
        <v>15735</v>
      </c>
      <c r="G58" s="3"/>
      <c r="H58" s="19"/>
    </row>
    <row r="59" spans="1:14" x14ac:dyDescent="0.25">
      <c r="A59" t="s">
        <v>53</v>
      </c>
      <c r="B59" s="3">
        <v>24638</v>
      </c>
      <c r="C59" s="3">
        <v>30299</v>
      </c>
      <c r="D59" s="3">
        <v>20399</v>
      </c>
      <c r="E59" s="3">
        <v>12114</v>
      </c>
      <c r="F59" s="3"/>
      <c r="G59" s="3"/>
      <c r="H59" s="19"/>
    </row>
    <row r="60" spans="1:14" x14ac:dyDescent="0.25">
      <c r="B60" s="3">
        <v>159233</v>
      </c>
      <c r="C60" s="3">
        <v>160551</v>
      </c>
      <c r="D60" s="3">
        <v>163654</v>
      </c>
      <c r="E60" s="3">
        <v>137188</v>
      </c>
      <c r="F60" s="3"/>
      <c r="G60" s="3"/>
      <c r="H60" s="19"/>
      <c r="I60" s="3"/>
      <c r="J60" s="3"/>
      <c r="K60" s="3"/>
      <c r="L60" s="3"/>
      <c r="M60" s="3"/>
      <c r="N60" s="3"/>
    </row>
    <row r="61" spans="1:14" x14ac:dyDescent="0.25">
      <c r="B61" s="3">
        <v>72995</v>
      </c>
      <c r="C61" s="3">
        <v>78283</v>
      </c>
      <c r="D61" s="3">
        <v>76676</v>
      </c>
      <c r="E61" s="3">
        <v>89582</v>
      </c>
      <c r="F61" s="3"/>
      <c r="G61" s="3"/>
      <c r="H61" s="19"/>
    </row>
    <row r="62" spans="1:14" x14ac:dyDescent="0.25">
      <c r="B62" s="3">
        <v>86238</v>
      </c>
      <c r="C62" s="3">
        <v>82268</v>
      </c>
      <c r="D62" s="3">
        <v>86978</v>
      </c>
      <c r="E62" s="3">
        <v>47606</v>
      </c>
      <c r="F62" s="3"/>
      <c r="G62" s="3"/>
      <c r="H62" s="19"/>
    </row>
    <row r="63" spans="1:14" x14ac:dyDescent="0.25">
      <c r="A63" t="s">
        <v>54</v>
      </c>
      <c r="B63" s="3">
        <v>23923</v>
      </c>
      <c r="C63" s="3">
        <v>24366</v>
      </c>
      <c r="D63" s="3">
        <v>24220</v>
      </c>
      <c r="E63" s="3">
        <v>12568</v>
      </c>
      <c r="F63" s="3"/>
      <c r="G63" s="3"/>
      <c r="H63" s="19"/>
    </row>
    <row r="64" spans="1:14" x14ac:dyDescent="0.25">
      <c r="B64" s="3">
        <v>123200</v>
      </c>
      <c r="C64" s="3">
        <v>125067</v>
      </c>
      <c r="D64" s="3">
        <v>126363</v>
      </c>
      <c r="E64" s="3">
        <v>108493</v>
      </c>
      <c r="F64" s="3"/>
      <c r="G64" s="3"/>
      <c r="H64" s="19"/>
      <c r="I64" s="3"/>
      <c r="J64" s="3"/>
      <c r="K64" s="3"/>
      <c r="L64" s="3"/>
      <c r="M64" s="3"/>
      <c r="N64" s="3"/>
    </row>
    <row r="65" spans="1:14" x14ac:dyDescent="0.25">
      <c r="B65" s="3">
        <v>84070</v>
      </c>
      <c r="C65" s="3">
        <v>85265</v>
      </c>
      <c r="D65" s="3">
        <v>86173</v>
      </c>
      <c r="E65" s="3">
        <v>84471</v>
      </c>
      <c r="F65" s="3"/>
      <c r="G65" s="3"/>
      <c r="H65" s="19"/>
    </row>
    <row r="66" spans="1:14" x14ac:dyDescent="0.25">
      <c r="B66" s="3">
        <v>39130</v>
      </c>
      <c r="C66" s="3">
        <v>39802</v>
      </c>
      <c r="D66" s="3">
        <v>40190</v>
      </c>
      <c r="E66" s="3">
        <v>24022</v>
      </c>
      <c r="F66" s="3"/>
      <c r="G66" s="3"/>
      <c r="H66" s="19"/>
    </row>
    <row r="67" spans="1:14" x14ac:dyDescent="0.25">
      <c r="A67" t="s">
        <v>55</v>
      </c>
      <c r="B67" s="3">
        <v>12591</v>
      </c>
      <c r="C67" s="3">
        <v>18089</v>
      </c>
      <c r="D67" s="3">
        <v>9840</v>
      </c>
      <c r="E67" s="3">
        <v>4814</v>
      </c>
      <c r="F67" s="3">
        <v>4719</v>
      </c>
      <c r="G67" s="3">
        <v>6290</v>
      </c>
      <c r="H67" s="19"/>
    </row>
    <row r="68" spans="1:14" x14ac:dyDescent="0.25">
      <c r="B68" s="3">
        <v>69276</v>
      </c>
      <c r="C68" s="3">
        <v>68354</v>
      </c>
      <c r="D68" s="3">
        <v>69704</v>
      </c>
      <c r="E68" s="3">
        <v>61575</v>
      </c>
      <c r="F68" s="3">
        <v>42218</v>
      </c>
      <c r="G68" s="3">
        <v>30446</v>
      </c>
      <c r="H68" s="19"/>
      <c r="I68" s="3"/>
      <c r="J68" s="3"/>
      <c r="K68" s="3"/>
      <c r="L68" s="3"/>
      <c r="M68" s="3"/>
      <c r="N68" s="3"/>
    </row>
    <row r="69" spans="1:14" x14ac:dyDescent="0.25">
      <c r="B69" s="3">
        <v>44029</v>
      </c>
      <c r="C69" s="3">
        <v>46090</v>
      </c>
      <c r="D69" s="3">
        <v>48265</v>
      </c>
      <c r="E69" s="3">
        <v>44333</v>
      </c>
      <c r="F69" s="3">
        <v>36782</v>
      </c>
      <c r="G69" s="3">
        <v>34136</v>
      </c>
      <c r="H69" s="19"/>
    </row>
    <row r="70" spans="1:14" x14ac:dyDescent="0.25">
      <c r="B70" s="3">
        <v>25247</v>
      </c>
      <c r="C70" s="3">
        <v>22264</v>
      </c>
      <c r="D70" s="3">
        <v>21439</v>
      </c>
      <c r="E70" s="3">
        <v>17242</v>
      </c>
      <c r="F70" s="3">
        <v>5436</v>
      </c>
      <c r="G70" s="3">
        <v>-3690</v>
      </c>
      <c r="H70" s="19"/>
    </row>
    <row r="71" spans="1:14" x14ac:dyDescent="0.25">
      <c r="A71" t="s">
        <v>56</v>
      </c>
      <c r="B71" s="3">
        <v>35767</v>
      </c>
      <c r="C71" s="3">
        <v>37535</v>
      </c>
      <c r="D71" s="3">
        <v>29496</v>
      </c>
      <c r="E71" s="3"/>
      <c r="F71" s="3"/>
      <c r="G71" s="3"/>
      <c r="H71" s="19"/>
    </row>
    <row r="72" spans="1:14" x14ac:dyDescent="0.25">
      <c r="B72" s="3">
        <v>182024</v>
      </c>
      <c r="C72" s="3">
        <v>175110</v>
      </c>
      <c r="D72" s="3">
        <v>183123</v>
      </c>
      <c r="E72" s="3">
        <v>152405</v>
      </c>
      <c r="F72" s="3"/>
      <c r="G72" s="3"/>
      <c r="H72" s="19"/>
      <c r="I72" s="3"/>
      <c r="J72" s="3"/>
      <c r="K72" s="3"/>
      <c r="L72" s="3"/>
      <c r="M72" s="3"/>
      <c r="N72" s="3"/>
    </row>
    <row r="73" spans="1:14" x14ac:dyDescent="0.25">
      <c r="B73" s="3">
        <v>92109</v>
      </c>
      <c r="C73" s="3">
        <v>104327</v>
      </c>
      <c r="D73" s="3">
        <v>107838</v>
      </c>
      <c r="E73" s="3">
        <v>116408</v>
      </c>
      <c r="F73" s="3"/>
      <c r="G73" s="3"/>
      <c r="H73" s="19"/>
    </row>
    <row r="74" spans="1:14" x14ac:dyDescent="0.25">
      <c r="B74" s="3">
        <v>89915</v>
      </c>
      <c r="C74" s="3">
        <v>70783</v>
      </c>
      <c r="D74" s="3">
        <v>75285</v>
      </c>
      <c r="E74" s="3">
        <v>35997</v>
      </c>
      <c r="F74" s="3"/>
      <c r="G74" s="3"/>
      <c r="H74" s="19"/>
    </row>
    <row r="75" spans="1:14" x14ac:dyDescent="0.25">
      <c r="A75" t="s">
        <v>57</v>
      </c>
      <c r="B75" s="3">
        <v>9220</v>
      </c>
      <c r="C75" s="3">
        <v>9393</v>
      </c>
      <c r="D75" s="3">
        <v>9110</v>
      </c>
      <c r="E75" s="3"/>
      <c r="F75" s="3"/>
      <c r="G75" s="3"/>
      <c r="H75" s="19"/>
    </row>
    <row r="76" spans="1:14" x14ac:dyDescent="0.25">
      <c r="B76" s="3">
        <v>49780</v>
      </c>
      <c r="C76" s="3">
        <v>50344</v>
      </c>
      <c r="D76" s="3">
        <v>51346</v>
      </c>
      <c r="E76" s="3"/>
      <c r="F76" s="3"/>
      <c r="G76" s="3"/>
      <c r="H76" s="19"/>
      <c r="I76" s="3"/>
      <c r="J76" s="3"/>
      <c r="K76" s="3"/>
      <c r="L76" s="3"/>
      <c r="M76" s="3"/>
      <c r="N76" s="3"/>
    </row>
    <row r="77" spans="1:14" x14ac:dyDescent="0.25">
      <c r="B77" s="3">
        <v>30322</v>
      </c>
      <c r="C77" s="3">
        <v>30733</v>
      </c>
      <c r="D77" s="3">
        <v>31414</v>
      </c>
      <c r="E77" s="3"/>
      <c r="F77" s="3"/>
      <c r="G77" s="3"/>
      <c r="H77" s="19"/>
    </row>
    <row r="78" spans="1:14" x14ac:dyDescent="0.25">
      <c r="B78" s="3">
        <v>19458</v>
      </c>
      <c r="C78" s="3">
        <v>19611</v>
      </c>
      <c r="D78" s="3">
        <v>19932</v>
      </c>
      <c r="E78" s="3"/>
      <c r="F78" s="3"/>
      <c r="G78" s="3"/>
      <c r="H78" s="19"/>
    </row>
    <row r="79" spans="1:14" x14ac:dyDescent="0.25">
      <c r="A79" t="s">
        <v>58</v>
      </c>
      <c r="B79" s="3">
        <v>13290</v>
      </c>
      <c r="C79" s="3">
        <v>16116</v>
      </c>
      <c r="D79" s="3">
        <v>13655</v>
      </c>
      <c r="E79" s="3">
        <v>5705</v>
      </c>
      <c r="F79" s="3"/>
      <c r="G79" s="3"/>
      <c r="H79" s="19"/>
    </row>
    <row r="80" spans="1:14" x14ac:dyDescent="0.25">
      <c r="B80" s="3">
        <v>76670</v>
      </c>
      <c r="C80" s="3">
        <v>80394</v>
      </c>
      <c r="D80" s="3">
        <v>84144</v>
      </c>
      <c r="E80" s="3">
        <v>70008</v>
      </c>
      <c r="F80" s="3"/>
      <c r="G80" s="3"/>
      <c r="H80" s="19"/>
      <c r="I80" s="3"/>
      <c r="J80" s="3"/>
      <c r="K80" s="3"/>
      <c r="L80" s="3"/>
      <c r="M80" s="3"/>
      <c r="N80" s="3"/>
    </row>
    <row r="81" spans="1:14" x14ac:dyDescent="0.25">
      <c r="B81" s="3">
        <v>53047</v>
      </c>
      <c r="C81" s="3">
        <v>54758</v>
      </c>
      <c r="D81" s="3">
        <v>50241</v>
      </c>
      <c r="E81" s="3">
        <v>47501</v>
      </c>
      <c r="F81" s="3"/>
      <c r="G81" s="3"/>
      <c r="H81" s="19"/>
    </row>
    <row r="82" spans="1:14" x14ac:dyDescent="0.25">
      <c r="B82" s="3">
        <v>23623</v>
      </c>
      <c r="C82" s="3">
        <v>25636</v>
      </c>
      <c r="D82" s="3">
        <v>33903</v>
      </c>
      <c r="E82" s="3">
        <v>22507</v>
      </c>
      <c r="F82" s="3"/>
      <c r="G82" s="3"/>
      <c r="H82" s="19"/>
    </row>
    <row r="83" spans="1:14" x14ac:dyDescent="0.25">
      <c r="A83" t="s">
        <v>59</v>
      </c>
      <c r="B83" s="3">
        <v>4183</v>
      </c>
      <c r="C83" s="3">
        <v>4531</v>
      </c>
      <c r="D83" s="3">
        <v>4612</v>
      </c>
      <c r="E83" s="3"/>
      <c r="F83" s="3"/>
      <c r="G83" s="3"/>
      <c r="H83" s="19"/>
    </row>
    <row r="84" spans="1:14" x14ac:dyDescent="0.25">
      <c r="B84" s="3">
        <v>14467</v>
      </c>
      <c r="C84" s="3">
        <v>14629</v>
      </c>
      <c r="D84" s="3">
        <v>14341</v>
      </c>
      <c r="E84" s="3"/>
      <c r="F84" s="3"/>
      <c r="G84" s="3"/>
      <c r="H84" s="19"/>
      <c r="I84" s="3"/>
      <c r="J84" s="3"/>
      <c r="K84" s="3"/>
      <c r="L84" s="3"/>
      <c r="M84" s="3"/>
      <c r="N84" s="3"/>
    </row>
    <row r="85" spans="1:14" x14ac:dyDescent="0.25">
      <c r="B85" s="3">
        <v>10830</v>
      </c>
      <c r="C85" s="3">
        <v>11848</v>
      </c>
      <c r="D85" s="3">
        <v>11957</v>
      </c>
      <c r="E85" s="3"/>
      <c r="F85" s="3"/>
      <c r="G85" s="3"/>
      <c r="H85" s="19"/>
    </row>
    <row r="86" spans="1:14" x14ac:dyDescent="0.25">
      <c r="B86" s="3">
        <v>3637</v>
      </c>
      <c r="C86" s="3">
        <v>2781</v>
      </c>
      <c r="D86" s="3">
        <v>2384</v>
      </c>
      <c r="E86" s="3"/>
      <c r="F86" s="3"/>
      <c r="G86" s="3"/>
      <c r="H86" s="19"/>
    </row>
    <row r="87" spans="1:14" x14ac:dyDescent="0.25">
      <c r="A87" t="s">
        <v>60</v>
      </c>
      <c r="B87" s="3">
        <v>23708</v>
      </c>
      <c r="C87" s="3">
        <v>23574</v>
      </c>
      <c r="D87" s="3">
        <v>18207</v>
      </c>
      <c r="E87" s="3">
        <v>11585</v>
      </c>
      <c r="F87" s="3"/>
      <c r="G87" s="3"/>
      <c r="H87" s="19"/>
    </row>
    <row r="88" spans="1:14" x14ac:dyDescent="0.25">
      <c r="B88" s="3">
        <v>145050</v>
      </c>
      <c r="C88" s="3">
        <v>144236</v>
      </c>
      <c r="D88" s="3">
        <v>138965</v>
      </c>
      <c r="E88" s="3">
        <v>125864</v>
      </c>
      <c r="F88" s="3"/>
      <c r="G88" s="3"/>
      <c r="H88" s="19"/>
      <c r="I88" s="3"/>
      <c r="J88" s="3"/>
      <c r="K88" s="3"/>
      <c r="L88" s="3"/>
      <c r="M88" s="3"/>
      <c r="N88" s="3"/>
    </row>
    <row r="89" spans="1:14" x14ac:dyDescent="0.25">
      <c r="B89" s="3">
        <v>88041</v>
      </c>
      <c r="C89" s="3">
        <v>87667</v>
      </c>
      <c r="D89" s="3">
        <v>81912</v>
      </c>
      <c r="E89" s="3">
        <v>81346</v>
      </c>
      <c r="F89" s="3"/>
      <c r="G89" s="3"/>
      <c r="H89" s="19"/>
    </row>
    <row r="90" spans="1:14" x14ac:dyDescent="0.25">
      <c r="B90" s="3">
        <v>57009</v>
      </c>
      <c r="C90" s="3">
        <v>56569</v>
      </c>
      <c r="D90" s="3">
        <v>57053</v>
      </c>
      <c r="E90" s="3">
        <v>44518</v>
      </c>
      <c r="F90" s="3"/>
      <c r="G90" s="3"/>
      <c r="H90" s="19"/>
    </row>
    <row r="91" spans="1:14" x14ac:dyDescent="0.25">
      <c r="A91" t="s">
        <v>61</v>
      </c>
      <c r="B91" s="3">
        <v>11031</v>
      </c>
      <c r="C91" s="3">
        <v>11196</v>
      </c>
      <c r="D91" s="3">
        <v>9615</v>
      </c>
      <c r="E91" s="3"/>
      <c r="F91" s="3"/>
      <c r="G91" s="3"/>
      <c r="H91" s="19"/>
    </row>
    <row r="92" spans="1:14" x14ac:dyDescent="0.25">
      <c r="B92" s="3">
        <v>34481</v>
      </c>
      <c r="C92" s="3">
        <v>34803</v>
      </c>
      <c r="D92" s="3">
        <v>31160</v>
      </c>
      <c r="E92" s="3">
        <v>22197</v>
      </c>
      <c r="F92" s="3"/>
      <c r="G92" s="3"/>
      <c r="H92" s="19"/>
      <c r="I92" s="3"/>
      <c r="J92" s="3"/>
      <c r="K92" s="3"/>
      <c r="L92" s="3"/>
      <c r="M92" s="3"/>
      <c r="N92" s="3"/>
    </row>
    <row r="93" spans="1:14" x14ac:dyDescent="0.25">
      <c r="B93" s="3">
        <v>26888</v>
      </c>
      <c r="C93" s="3">
        <v>27110</v>
      </c>
      <c r="D93" s="3">
        <v>25155</v>
      </c>
      <c r="E93" s="3">
        <v>25256</v>
      </c>
      <c r="F93" s="3"/>
      <c r="G93" s="3"/>
      <c r="H93" s="19"/>
    </row>
    <row r="94" spans="1:14" x14ac:dyDescent="0.25">
      <c r="B94" s="3">
        <v>7593</v>
      </c>
      <c r="C94" s="3">
        <v>7693</v>
      </c>
      <c r="D94" s="3">
        <v>6005</v>
      </c>
      <c r="E94" s="3">
        <v>-3059</v>
      </c>
      <c r="F94" s="3"/>
      <c r="G94" s="3"/>
      <c r="H94" s="19"/>
    </row>
    <row r="95" spans="1:14" x14ac:dyDescent="0.25">
      <c r="A95" t="s">
        <v>62</v>
      </c>
      <c r="B95" s="3">
        <v>20563</v>
      </c>
      <c r="C95" s="3">
        <v>22316</v>
      </c>
      <c r="D95" s="3">
        <v>16003</v>
      </c>
      <c r="E95" s="3"/>
      <c r="F95" s="3"/>
      <c r="G95" s="3"/>
      <c r="H95" s="19"/>
    </row>
    <row r="96" spans="1:14" x14ac:dyDescent="0.25">
      <c r="B96" s="3">
        <v>112310</v>
      </c>
      <c r="C96" s="3">
        <v>109690</v>
      </c>
      <c r="D96" s="3">
        <v>110416</v>
      </c>
      <c r="E96" s="3">
        <v>89808</v>
      </c>
      <c r="F96" s="3"/>
      <c r="G96" s="3"/>
      <c r="H96" s="19"/>
      <c r="I96" s="3"/>
      <c r="J96" s="3"/>
      <c r="K96" s="3"/>
      <c r="L96" s="3"/>
      <c r="M96" s="3"/>
      <c r="N96" s="3"/>
    </row>
    <row r="97" spans="1:14" x14ac:dyDescent="0.25">
      <c r="B97" s="3">
        <v>52331</v>
      </c>
      <c r="C97" s="3">
        <v>55376</v>
      </c>
      <c r="D97" s="3">
        <v>60057</v>
      </c>
      <c r="E97" s="3">
        <v>69862</v>
      </c>
      <c r="F97" s="3"/>
      <c r="G97" s="3"/>
      <c r="H97" s="19"/>
    </row>
    <row r="98" spans="1:14" x14ac:dyDescent="0.25">
      <c r="B98" s="3">
        <v>59979</v>
      </c>
      <c r="C98" s="3">
        <v>54314</v>
      </c>
      <c r="D98" s="3">
        <v>50359</v>
      </c>
      <c r="E98" s="3">
        <v>19946</v>
      </c>
      <c r="F98" s="3"/>
      <c r="G98" s="3"/>
      <c r="H98" s="19"/>
    </row>
    <row r="99" spans="1:14" x14ac:dyDescent="0.25">
      <c r="A99" t="s">
        <v>63</v>
      </c>
      <c r="B99" s="3">
        <v>15670</v>
      </c>
      <c r="C99" s="3">
        <v>18841</v>
      </c>
      <c r="D99" s="3">
        <v>17910</v>
      </c>
      <c r="E99" s="3"/>
      <c r="F99" s="3"/>
      <c r="G99" s="3"/>
      <c r="H99" s="19"/>
    </row>
    <row r="100" spans="1:14" x14ac:dyDescent="0.25">
      <c r="B100" s="3">
        <v>86251</v>
      </c>
      <c r="C100" s="3">
        <v>86679</v>
      </c>
      <c r="D100" s="3">
        <v>88095</v>
      </c>
      <c r="E100" s="3">
        <v>87608</v>
      </c>
      <c r="F100" s="3"/>
      <c r="G100" s="3"/>
      <c r="H100" s="19"/>
      <c r="I100" s="3"/>
      <c r="J100" s="3"/>
      <c r="K100" s="3"/>
      <c r="L100" s="3"/>
      <c r="M100" s="3"/>
      <c r="N100" s="3"/>
    </row>
    <row r="101" spans="1:14" x14ac:dyDescent="0.25">
      <c r="B101" s="3">
        <v>41627</v>
      </c>
      <c r="C101" s="3">
        <v>44621</v>
      </c>
      <c r="D101" s="3">
        <v>46781</v>
      </c>
      <c r="E101" s="3">
        <v>46164</v>
      </c>
      <c r="F101" s="3"/>
      <c r="G101" s="3"/>
      <c r="H101" s="19"/>
    </row>
    <row r="102" spans="1:14" x14ac:dyDescent="0.25">
      <c r="B102" s="3">
        <v>44624</v>
      </c>
      <c r="C102" s="3">
        <v>42058</v>
      </c>
      <c r="D102" s="3">
        <v>41314</v>
      </c>
      <c r="E102" s="3">
        <v>41444</v>
      </c>
      <c r="F102" s="3"/>
      <c r="G102" s="3"/>
      <c r="H102" s="19"/>
    </row>
    <row r="103" spans="1:14" x14ac:dyDescent="0.25">
      <c r="A103" t="s">
        <v>64</v>
      </c>
      <c r="B103" s="3">
        <v>12403</v>
      </c>
      <c r="C103" s="3">
        <v>13432</v>
      </c>
      <c r="D103" s="3">
        <v>10194</v>
      </c>
      <c r="E103" s="3">
        <v>4036</v>
      </c>
      <c r="F103" s="3">
        <v>4193</v>
      </c>
      <c r="G103" s="3"/>
      <c r="H103" s="19"/>
    </row>
    <row r="104" spans="1:14" x14ac:dyDescent="0.25">
      <c r="B104" s="3">
        <v>81101</v>
      </c>
      <c r="C104" s="3">
        <v>79333</v>
      </c>
      <c r="D104" s="3">
        <v>81710</v>
      </c>
      <c r="E104" s="3">
        <v>69324</v>
      </c>
      <c r="F104" s="3">
        <v>55901</v>
      </c>
      <c r="G104" s="3"/>
      <c r="H104" s="19"/>
      <c r="I104" s="3"/>
      <c r="J104" s="3"/>
      <c r="K104" s="3"/>
      <c r="L104" s="3"/>
      <c r="M104" s="3"/>
      <c r="N104" s="3"/>
    </row>
    <row r="105" spans="1:14" x14ac:dyDescent="0.25">
      <c r="B105" s="3">
        <v>53911</v>
      </c>
      <c r="C105" s="3">
        <v>57392</v>
      </c>
      <c r="D105" s="3">
        <v>54159</v>
      </c>
      <c r="E105" s="3">
        <v>50067</v>
      </c>
      <c r="F105" s="3">
        <v>45451</v>
      </c>
      <c r="G105" s="3"/>
      <c r="H105" s="19"/>
    </row>
    <row r="106" spans="1:14" x14ac:dyDescent="0.25">
      <c r="B106" s="3">
        <v>27190</v>
      </c>
      <c r="C106" s="3">
        <v>21941</v>
      </c>
      <c r="D106" s="3">
        <v>27551</v>
      </c>
      <c r="E106" s="3">
        <v>19257</v>
      </c>
      <c r="F106" s="3">
        <v>10450</v>
      </c>
      <c r="G106" s="3"/>
      <c r="H106" s="19"/>
    </row>
    <row r="107" spans="1:14" x14ac:dyDescent="0.25">
      <c r="A107" t="s">
        <v>65</v>
      </c>
      <c r="B107" s="3">
        <v>9564</v>
      </c>
      <c r="C107" s="3">
        <v>10093</v>
      </c>
      <c r="D107" s="3">
        <v>9679</v>
      </c>
      <c r="E107" s="3">
        <v>7478</v>
      </c>
      <c r="F107" s="3">
        <v>7623</v>
      </c>
      <c r="G107" s="3">
        <v>9900</v>
      </c>
      <c r="H107" s="19"/>
    </row>
    <row r="108" spans="1:14" x14ac:dyDescent="0.25">
      <c r="B108" s="3">
        <v>54831</v>
      </c>
      <c r="C108" s="3">
        <v>54649</v>
      </c>
      <c r="D108" s="3">
        <v>54373</v>
      </c>
      <c r="E108" s="3">
        <v>49738</v>
      </c>
      <c r="F108" s="3">
        <v>37375</v>
      </c>
      <c r="G108" s="3">
        <v>36284</v>
      </c>
      <c r="H108" s="19"/>
      <c r="I108" s="3"/>
      <c r="J108" s="3"/>
      <c r="K108" s="3"/>
      <c r="L108" s="3"/>
      <c r="M108" s="3"/>
      <c r="N108" s="3"/>
    </row>
    <row r="109" spans="1:14" x14ac:dyDescent="0.25">
      <c r="B109" s="3">
        <v>39881</v>
      </c>
      <c r="C109" s="3">
        <v>41940</v>
      </c>
      <c r="D109" s="3">
        <v>42198</v>
      </c>
      <c r="E109" s="3">
        <v>52710</v>
      </c>
      <c r="F109" s="3">
        <v>49714</v>
      </c>
      <c r="G109" s="3">
        <v>44542</v>
      </c>
      <c r="H109" s="19"/>
    </row>
    <row r="110" spans="1:14" x14ac:dyDescent="0.25">
      <c r="B110" s="3">
        <v>14950</v>
      </c>
      <c r="C110" s="3">
        <v>12709</v>
      </c>
      <c r="D110" s="3">
        <v>12175</v>
      </c>
      <c r="E110" s="3">
        <v>-2972</v>
      </c>
      <c r="F110" s="3">
        <v>-12339</v>
      </c>
      <c r="G110" s="3">
        <v>-8258</v>
      </c>
      <c r="H110" s="19"/>
    </row>
    <row r="111" spans="1:14" x14ac:dyDescent="0.25">
      <c r="A111" t="s">
        <v>66</v>
      </c>
      <c r="B111" s="3">
        <v>14713</v>
      </c>
      <c r="C111" s="3">
        <v>16625</v>
      </c>
      <c r="D111" s="3">
        <v>12607</v>
      </c>
      <c r="E111" s="3">
        <v>5715</v>
      </c>
      <c r="F111" s="3"/>
      <c r="G111" s="3"/>
      <c r="H111" s="19"/>
    </row>
    <row r="112" spans="1:14" x14ac:dyDescent="0.25">
      <c r="B112" s="3">
        <v>95763</v>
      </c>
      <c r="C112" s="3">
        <v>94474</v>
      </c>
      <c r="D112" s="3">
        <v>96923</v>
      </c>
      <c r="E112" s="3">
        <v>80210</v>
      </c>
      <c r="F112" s="3">
        <v>56918</v>
      </c>
      <c r="G112" s="3">
        <v>34144</v>
      </c>
      <c r="H112" s="19"/>
      <c r="I112" s="3"/>
      <c r="J112" s="3"/>
      <c r="K112" s="3"/>
      <c r="L112" s="3"/>
      <c r="M112" s="3"/>
      <c r="N112" s="3"/>
    </row>
    <row r="113" spans="1:14" x14ac:dyDescent="0.25">
      <c r="B113" s="3">
        <v>60734</v>
      </c>
      <c r="C113" s="3">
        <v>66366</v>
      </c>
      <c r="D113" s="3">
        <v>60172</v>
      </c>
      <c r="E113" s="3">
        <v>57175</v>
      </c>
      <c r="F113" s="3">
        <v>44672</v>
      </c>
      <c r="G113" s="3">
        <v>36168</v>
      </c>
      <c r="H113" s="19"/>
    </row>
    <row r="114" spans="1:14" x14ac:dyDescent="0.25">
      <c r="B114" s="3">
        <v>35029</v>
      </c>
      <c r="C114" s="3">
        <v>28108</v>
      </c>
      <c r="D114" s="3">
        <v>36751</v>
      </c>
      <c r="E114" s="3">
        <v>23035</v>
      </c>
      <c r="F114" s="3">
        <v>12246</v>
      </c>
      <c r="G114" s="3">
        <v>-2024</v>
      </c>
      <c r="H114" s="19"/>
    </row>
    <row r="115" spans="1:14" x14ac:dyDescent="0.25">
      <c r="A115" t="s">
        <v>67</v>
      </c>
      <c r="B115" s="3">
        <v>11911</v>
      </c>
      <c r="C115" s="3">
        <v>14932</v>
      </c>
      <c r="D115" s="3">
        <v>11806</v>
      </c>
      <c r="E115" s="3">
        <v>4791</v>
      </c>
      <c r="F115" s="3"/>
      <c r="G115" s="3"/>
      <c r="H115" s="19"/>
    </row>
    <row r="116" spans="1:14" x14ac:dyDescent="0.25">
      <c r="B116" s="3">
        <v>68794</v>
      </c>
      <c r="C116" s="3">
        <v>70780</v>
      </c>
      <c r="D116" s="3">
        <v>74673</v>
      </c>
      <c r="E116" s="3">
        <v>61757</v>
      </c>
      <c r="F116" s="3">
        <v>49022</v>
      </c>
      <c r="G116" s="3"/>
      <c r="H116" s="19"/>
      <c r="I116" s="3"/>
      <c r="J116" s="3"/>
      <c r="K116" s="3"/>
      <c r="L116" s="3"/>
      <c r="M116" s="3"/>
      <c r="N116" s="3"/>
    </row>
    <row r="117" spans="1:14" x14ac:dyDescent="0.25">
      <c r="B117" s="3">
        <v>46661</v>
      </c>
      <c r="C117" s="3">
        <v>48320</v>
      </c>
      <c r="D117" s="3">
        <v>43554</v>
      </c>
      <c r="E117" s="3">
        <v>43517</v>
      </c>
      <c r="F117" s="3">
        <v>42109</v>
      </c>
      <c r="G117" s="3"/>
      <c r="H117" s="19"/>
    </row>
    <row r="118" spans="1:14" x14ac:dyDescent="0.25">
      <c r="B118" s="3">
        <v>22133</v>
      </c>
      <c r="C118" s="3">
        <v>22460</v>
      </c>
      <c r="D118" s="3">
        <v>31119</v>
      </c>
      <c r="E118" s="3">
        <v>18240</v>
      </c>
      <c r="F118" s="3">
        <v>6913</v>
      </c>
      <c r="G118" s="3"/>
      <c r="H118" s="19"/>
    </row>
    <row r="119" spans="1:14" x14ac:dyDescent="0.25">
      <c r="A119" t="s">
        <v>68</v>
      </c>
      <c r="B119" s="3">
        <v>3889</v>
      </c>
      <c r="C119" s="3">
        <v>4205</v>
      </c>
      <c r="D119" s="3">
        <v>3514</v>
      </c>
      <c r="E119" s="3"/>
      <c r="F119" s="3"/>
      <c r="G119" s="3"/>
      <c r="H119" s="19"/>
    </row>
    <row r="120" spans="1:14" x14ac:dyDescent="0.25">
      <c r="B120" s="3">
        <v>20725</v>
      </c>
      <c r="C120" s="3">
        <v>20638</v>
      </c>
      <c r="D120" s="3">
        <v>22794</v>
      </c>
      <c r="E120" s="3">
        <v>18049</v>
      </c>
      <c r="F120" s="3"/>
      <c r="G120" s="3"/>
      <c r="H120" s="19"/>
      <c r="I120" s="3"/>
      <c r="J120" s="3"/>
      <c r="K120" s="3"/>
      <c r="L120" s="3"/>
      <c r="M120" s="3"/>
      <c r="N120" s="3"/>
    </row>
    <row r="121" spans="1:14" x14ac:dyDescent="0.25">
      <c r="B121" s="3">
        <v>15446</v>
      </c>
      <c r="C121" s="3">
        <v>16927</v>
      </c>
      <c r="D121" s="3">
        <v>14625</v>
      </c>
      <c r="E121" s="3">
        <v>13788</v>
      </c>
      <c r="F121" s="3"/>
      <c r="G121" s="3"/>
      <c r="H121" s="19"/>
    </row>
    <row r="122" spans="1:14" x14ac:dyDescent="0.25">
      <c r="B122" s="3">
        <v>5279</v>
      </c>
      <c r="C122" s="3">
        <v>3711</v>
      </c>
      <c r="D122" s="3">
        <v>8169</v>
      </c>
      <c r="E122" s="3">
        <v>4261</v>
      </c>
      <c r="F122" s="3"/>
      <c r="G122" s="3"/>
      <c r="H122" s="19"/>
    </row>
    <row r="123" spans="1:14" x14ac:dyDescent="0.25">
      <c r="A123" t="s">
        <v>100</v>
      </c>
      <c r="B123" s="3">
        <v>19538</v>
      </c>
      <c r="C123" s="3">
        <v>21093</v>
      </c>
      <c r="D123" s="3">
        <v>19890</v>
      </c>
      <c r="E123" s="3"/>
      <c r="F123" s="3"/>
      <c r="G123" s="3"/>
      <c r="H123" s="19"/>
    </row>
    <row r="124" spans="1:14" x14ac:dyDescent="0.25">
      <c r="B124" s="3">
        <v>113025</v>
      </c>
      <c r="C124" s="3">
        <v>120509</v>
      </c>
      <c r="D124" s="3">
        <v>119297</v>
      </c>
      <c r="E124" s="3"/>
      <c r="F124" s="3"/>
      <c r="G124" s="3"/>
      <c r="H124" s="19"/>
      <c r="I124" s="3"/>
      <c r="J124" s="3"/>
      <c r="K124" s="3"/>
      <c r="L124" s="3"/>
      <c r="M124" s="3"/>
      <c r="N124" s="3"/>
    </row>
    <row r="125" spans="1:14" x14ac:dyDescent="0.25">
      <c r="B125" s="3">
        <v>84277</v>
      </c>
      <c r="C125" s="3">
        <v>81318</v>
      </c>
      <c r="D125" s="3">
        <v>68502</v>
      </c>
      <c r="E125" s="3"/>
      <c r="F125" s="3"/>
      <c r="G125" s="3"/>
      <c r="H125" s="19"/>
    </row>
    <row r="126" spans="1:14" x14ac:dyDescent="0.25">
      <c r="B126" s="3">
        <v>28748</v>
      </c>
      <c r="C126" s="3">
        <v>39191</v>
      </c>
      <c r="D126" s="3">
        <v>50795</v>
      </c>
      <c r="E126" s="3"/>
      <c r="F126" s="3"/>
      <c r="G126" s="3"/>
      <c r="H126" s="19"/>
    </row>
    <row r="127" spans="1:14" x14ac:dyDescent="0.25">
      <c r="A127" t="s">
        <v>69</v>
      </c>
      <c r="B127" s="3">
        <v>20231</v>
      </c>
      <c r="C127" s="3">
        <v>21321</v>
      </c>
      <c r="D127" s="3">
        <v>13984</v>
      </c>
      <c r="E127" s="3">
        <v>7417</v>
      </c>
      <c r="F127" s="3">
        <v>7963</v>
      </c>
      <c r="G127" s="3"/>
      <c r="H127" s="19"/>
    </row>
    <row r="128" spans="1:14" x14ac:dyDescent="0.25">
      <c r="B128" s="3">
        <v>121291</v>
      </c>
      <c r="C128" s="3">
        <v>119071</v>
      </c>
      <c r="D128" s="3">
        <v>114874</v>
      </c>
      <c r="E128" s="3">
        <v>97515</v>
      </c>
      <c r="F128" s="3">
        <v>75411</v>
      </c>
      <c r="G128" s="3"/>
      <c r="H128" s="19"/>
      <c r="I128" s="3"/>
      <c r="J128" s="3"/>
      <c r="K128" s="3"/>
      <c r="L128" s="3"/>
      <c r="M128" s="3"/>
      <c r="N128" s="3"/>
    </row>
    <row r="129" spans="1:14" x14ac:dyDescent="0.25">
      <c r="B129" s="3">
        <v>76162</v>
      </c>
      <c r="C129" s="3">
        <v>73443</v>
      </c>
      <c r="D129" s="3">
        <v>74196</v>
      </c>
      <c r="E129" s="3">
        <v>74155</v>
      </c>
      <c r="F129" s="3"/>
      <c r="G129" s="3"/>
      <c r="H129" s="19"/>
    </row>
    <row r="130" spans="1:14" x14ac:dyDescent="0.25">
      <c r="B130" s="3">
        <v>45129</v>
      </c>
      <c r="C130" s="3">
        <v>45628</v>
      </c>
      <c r="D130" s="3">
        <v>40678</v>
      </c>
      <c r="E130" s="3">
        <v>23360</v>
      </c>
      <c r="F130" s="3"/>
      <c r="G130" s="3"/>
      <c r="H130" s="19"/>
    </row>
    <row r="131" spans="1:14" x14ac:dyDescent="0.25">
      <c r="A131" t="s">
        <v>70</v>
      </c>
      <c r="B131" s="3">
        <v>14913</v>
      </c>
      <c r="C131" s="3">
        <v>16441</v>
      </c>
      <c r="D131" s="3">
        <v>11166</v>
      </c>
      <c r="E131" s="3"/>
      <c r="F131" s="3"/>
      <c r="G131" s="3"/>
      <c r="H131" s="19"/>
    </row>
    <row r="132" spans="1:14" x14ac:dyDescent="0.25">
      <c r="B132" s="3">
        <v>96963</v>
      </c>
      <c r="C132" s="3">
        <v>96895</v>
      </c>
      <c r="D132" s="3">
        <v>93557</v>
      </c>
      <c r="E132" s="3">
        <v>81039</v>
      </c>
      <c r="F132" s="3"/>
      <c r="G132" s="3"/>
      <c r="H132" s="19"/>
      <c r="I132" s="3"/>
      <c r="J132" s="3"/>
      <c r="K132" s="3"/>
      <c r="L132" s="3"/>
      <c r="M132" s="3"/>
      <c r="N132" s="3"/>
    </row>
    <row r="133" spans="1:14" x14ac:dyDescent="0.25">
      <c r="B133" s="3">
        <v>60431</v>
      </c>
      <c r="C133" s="3">
        <v>64251</v>
      </c>
      <c r="D133" s="3">
        <v>57353</v>
      </c>
      <c r="E133" s="3">
        <v>61725</v>
      </c>
      <c r="F133" s="3"/>
      <c r="G133" s="3"/>
      <c r="H133" s="19"/>
    </row>
    <row r="134" spans="1:14" x14ac:dyDescent="0.25">
      <c r="B134" s="3">
        <v>36532</v>
      </c>
      <c r="C134" s="3">
        <v>32644</v>
      </c>
      <c r="D134" s="3">
        <v>36204</v>
      </c>
      <c r="E134" s="3">
        <v>19314</v>
      </c>
      <c r="F134" s="3"/>
      <c r="G134" s="3"/>
      <c r="H134" s="19"/>
    </row>
    <row r="135" spans="1:14" x14ac:dyDescent="0.25">
      <c r="A135" t="s">
        <v>71</v>
      </c>
      <c r="B135" s="3">
        <v>29037</v>
      </c>
      <c r="C135" s="3">
        <v>30440</v>
      </c>
      <c r="D135" s="3">
        <v>28408</v>
      </c>
      <c r="E135" s="3">
        <v>18543</v>
      </c>
      <c r="F135" s="3"/>
      <c r="G135" s="3"/>
      <c r="H135" s="19"/>
    </row>
    <row r="136" spans="1:14" x14ac:dyDescent="0.25">
      <c r="B136" s="3">
        <v>205475</v>
      </c>
      <c r="C136" s="3">
        <v>199434</v>
      </c>
      <c r="D136" s="3">
        <v>202078</v>
      </c>
      <c r="E136" s="3">
        <v>188876</v>
      </c>
      <c r="F136" s="3"/>
      <c r="G136" s="3"/>
      <c r="H136" s="19"/>
      <c r="I136" s="3"/>
      <c r="J136" s="3"/>
      <c r="K136" s="3"/>
      <c r="L136" s="3"/>
      <c r="M136" s="3"/>
      <c r="N136" s="3"/>
    </row>
    <row r="137" spans="1:14" x14ac:dyDescent="0.25">
      <c r="B137" s="3">
        <v>165471</v>
      </c>
      <c r="C137" s="3">
        <v>153457</v>
      </c>
      <c r="D137" s="3">
        <v>149547</v>
      </c>
      <c r="E137" s="3">
        <v>163115</v>
      </c>
      <c r="F137" s="3"/>
      <c r="G137" s="3"/>
      <c r="H137" s="19"/>
    </row>
    <row r="138" spans="1:14" x14ac:dyDescent="0.25">
      <c r="B138" s="3">
        <v>40004</v>
      </c>
      <c r="C138" s="3">
        <v>45977</v>
      </c>
      <c r="D138" s="3">
        <v>52531</v>
      </c>
      <c r="E138" s="3">
        <v>25761</v>
      </c>
      <c r="F138" s="3"/>
      <c r="G138" s="3"/>
      <c r="H138" s="19"/>
    </row>
    <row r="139" spans="1:14" x14ac:dyDescent="0.25">
      <c r="A139" t="s">
        <v>74</v>
      </c>
      <c r="B139" s="3">
        <v>7061</v>
      </c>
      <c r="C139" s="3">
        <v>7937</v>
      </c>
      <c r="D139" s="3">
        <v>6061</v>
      </c>
      <c r="E139" s="3"/>
      <c r="F139" s="3"/>
      <c r="G139" s="3"/>
    </row>
    <row r="140" spans="1:14" x14ac:dyDescent="0.25">
      <c r="B140" s="3">
        <v>36906</v>
      </c>
      <c r="C140" s="3">
        <v>37354</v>
      </c>
      <c r="D140" s="3">
        <v>35638</v>
      </c>
      <c r="E140" s="3"/>
      <c r="F140" s="3"/>
      <c r="G140" s="3"/>
      <c r="I140" s="3"/>
      <c r="J140" s="3"/>
      <c r="K140" s="3"/>
      <c r="L140" s="3"/>
      <c r="M140" s="3"/>
      <c r="N140" s="3"/>
    </row>
    <row r="141" spans="1:14" x14ac:dyDescent="0.25">
      <c r="B141" s="3">
        <v>27927</v>
      </c>
      <c r="C141" s="3">
        <v>26517</v>
      </c>
      <c r="D141" s="3">
        <v>25149</v>
      </c>
      <c r="E141" s="3"/>
      <c r="F141" s="3"/>
      <c r="G141" s="3"/>
    </row>
    <row r="142" spans="1:14" x14ac:dyDescent="0.25">
      <c r="B142" s="3">
        <v>8979</v>
      </c>
      <c r="C142" s="3">
        <v>10837</v>
      </c>
      <c r="D142" s="3">
        <v>10489</v>
      </c>
      <c r="E142" s="3"/>
      <c r="F142" s="3"/>
      <c r="G142" s="3"/>
    </row>
    <row r="143" spans="1:14" x14ac:dyDescent="0.25">
      <c r="A143" t="s">
        <v>75</v>
      </c>
      <c r="B143" s="3">
        <v>13192</v>
      </c>
      <c r="C143" s="3">
        <v>13403</v>
      </c>
      <c r="D143" s="3">
        <v>13202</v>
      </c>
      <c r="E143" s="3">
        <v>11569</v>
      </c>
      <c r="F143" s="3">
        <v>11299</v>
      </c>
      <c r="G143" s="3">
        <v>20559</v>
      </c>
    </row>
    <row r="144" spans="1:14" x14ac:dyDescent="0.25">
      <c r="B144" s="3">
        <v>56099</v>
      </c>
      <c r="C144" s="3">
        <v>56155</v>
      </c>
      <c r="D144" s="3">
        <v>55460</v>
      </c>
      <c r="E144" s="3">
        <v>51956</v>
      </c>
      <c r="F144" s="3">
        <v>46188</v>
      </c>
      <c r="G144" s="3">
        <v>43109</v>
      </c>
      <c r="I144" s="3"/>
      <c r="J144" s="3"/>
      <c r="K144" s="3"/>
      <c r="L144" s="3"/>
      <c r="M144" s="3"/>
      <c r="N144" s="3"/>
    </row>
    <row r="145" spans="1:14" x14ac:dyDescent="0.25">
      <c r="B145" s="3">
        <v>45957</v>
      </c>
      <c r="C145" s="3">
        <v>45446</v>
      </c>
      <c r="D145" s="3">
        <v>47597</v>
      </c>
      <c r="E145" s="3">
        <v>52866</v>
      </c>
      <c r="F145" s="3">
        <v>55980</v>
      </c>
      <c r="G145" s="3">
        <v>61000</v>
      </c>
    </row>
    <row r="146" spans="1:14" x14ac:dyDescent="0.25">
      <c r="B146" s="3">
        <v>10142</v>
      </c>
      <c r="C146" s="3">
        <v>10709</v>
      </c>
      <c r="D146" s="3">
        <v>7863</v>
      </c>
      <c r="E146" s="3">
        <v>-910</v>
      </c>
      <c r="F146" s="3">
        <v>-9792</v>
      </c>
      <c r="G146" s="3">
        <v>-17891</v>
      </c>
    </row>
    <row r="147" spans="1:14" x14ac:dyDescent="0.25">
      <c r="A147" t="s">
        <v>76</v>
      </c>
      <c r="B147" s="3">
        <v>30161</v>
      </c>
      <c r="C147" s="3">
        <v>30066</v>
      </c>
      <c r="D147" s="3">
        <v>30053</v>
      </c>
      <c r="E147" s="3"/>
      <c r="F147" s="3"/>
      <c r="G147" s="3"/>
    </row>
    <row r="148" spans="1:14" x14ac:dyDescent="0.25">
      <c r="B148" s="3">
        <v>145401</v>
      </c>
      <c r="C148" s="3">
        <v>136054</v>
      </c>
      <c r="D148" s="3">
        <v>142692</v>
      </c>
      <c r="E148" s="3"/>
      <c r="F148" s="3"/>
      <c r="G148" s="3"/>
      <c r="I148" s="3"/>
      <c r="J148" s="3"/>
      <c r="K148" s="3"/>
      <c r="L148" s="3"/>
      <c r="M148" s="3"/>
      <c r="N148" s="3"/>
    </row>
    <row r="149" spans="1:14" x14ac:dyDescent="0.25">
      <c r="B149" s="3">
        <v>73254</v>
      </c>
      <c r="C149" s="3">
        <v>87272</v>
      </c>
      <c r="D149" s="3">
        <v>82123</v>
      </c>
      <c r="E149" s="3"/>
      <c r="F149" s="3"/>
      <c r="G149" s="3"/>
    </row>
    <row r="150" spans="1:14" x14ac:dyDescent="0.25">
      <c r="B150" s="3">
        <v>72147</v>
      </c>
      <c r="C150" s="3">
        <v>48782</v>
      </c>
      <c r="D150" s="3">
        <v>60569</v>
      </c>
      <c r="E150" s="3"/>
      <c r="F150" s="3"/>
      <c r="G150" s="3"/>
    </row>
    <row r="151" spans="1:14" x14ac:dyDescent="0.25">
      <c r="A151" t="s">
        <v>77</v>
      </c>
      <c r="B151" s="3">
        <v>24859</v>
      </c>
      <c r="C151" s="3">
        <v>28450</v>
      </c>
      <c r="D151" s="3">
        <v>22228</v>
      </c>
      <c r="F151" s="3"/>
      <c r="G151" s="3"/>
    </row>
    <row r="152" spans="1:14" x14ac:dyDescent="0.25">
      <c r="B152" s="3">
        <v>136951</v>
      </c>
      <c r="C152" s="3">
        <v>131704</v>
      </c>
      <c r="D152" s="3">
        <v>135195</v>
      </c>
      <c r="E152" s="3">
        <v>110912</v>
      </c>
      <c r="F152" s="3"/>
      <c r="G152" s="3"/>
      <c r="I152" s="3"/>
      <c r="J152" s="3"/>
      <c r="K152" s="3"/>
      <c r="L152" s="3"/>
      <c r="M152" s="3"/>
      <c r="N152" s="3"/>
    </row>
    <row r="153" spans="1:14" x14ac:dyDescent="0.25">
      <c r="B153" s="3">
        <v>64801</v>
      </c>
      <c r="C153" s="3">
        <v>72148</v>
      </c>
      <c r="D153" s="3">
        <v>70064</v>
      </c>
      <c r="E153" s="3">
        <v>74190</v>
      </c>
      <c r="F153" s="3"/>
      <c r="G153" s="3"/>
    </row>
    <row r="154" spans="1:14" x14ac:dyDescent="0.25">
      <c r="B154" s="3">
        <v>72150</v>
      </c>
      <c r="C154" s="3">
        <v>59556</v>
      </c>
      <c r="D154" s="3">
        <v>65131</v>
      </c>
      <c r="E154" s="3">
        <v>36722</v>
      </c>
      <c r="F154" s="3"/>
      <c r="G154" s="3"/>
    </row>
    <row r="155" spans="1:14" x14ac:dyDescent="0.25">
      <c r="A155" t="s">
        <v>78</v>
      </c>
      <c r="B155" s="3">
        <v>9797</v>
      </c>
      <c r="C155" s="3">
        <v>10549</v>
      </c>
      <c r="D155" s="3">
        <v>10275</v>
      </c>
      <c r="E155" s="3"/>
      <c r="F155" s="3"/>
      <c r="G155" s="3"/>
    </row>
    <row r="156" spans="1:14" x14ac:dyDescent="0.25">
      <c r="B156" s="3">
        <v>56272</v>
      </c>
      <c r="C156" s="3">
        <v>56921</v>
      </c>
      <c r="D156" s="3">
        <v>57976</v>
      </c>
      <c r="E156" s="3">
        <v>48441</v>
      </c>
      <c r="F156" s="3">
        <v>40697</v>
      </c>
      <c r="G156" s="3"/>
      <c r="I156" s="3"/>
      <c r="J156" s="3"/>
      <c r="K156" s="3"/>
      <c r="L156" s="3"/>
      <c r="M156" s="3"/>
      <c r="N156" s="3"/>
    </row>
    <row r="157" spans="1:14" x14ac:dyDescent="0.25">
      <c r="B157" s="3">
        <v>34585</v>
      </c>
      <c r="C157" s="3">
        <v>35044</v>
      </c>
      <c r="D157" s="3">
        <v>35971</v>
      </c>
      <c r="E157" s="3">
        <v>34657</v>
      </c>
      <c r="F157" s="3">
        <v>32893</v>
      </c>
      <c r="G157" s="3"/>
    </row>
    <row r="158" spans="1:14" x14ac:dyDescent="0.25">
      <c r="B158" s="3">
        <v>21687</v>
      </c>
      <c r="C158" s="3">
        <v>21877</v>
      </c>
      <c r="D158" s="3">
        <v>22005</v>
      </c>
      <c r="E158" s="3">
        <v>13784</v>
      </c>
      <c r="F158" s="3">
        <v>7804</v>
      </c>
      <c r="G158" s="3"/>
    </row>
    <row r="159" spans="1:14" x14ac:dyDescent="0.25">
      <c r="A159" t="s">
        <v>79</v>
      </c>
      <c r="B159" s="3">
        <v>17120</v>
      </c>
      <c r="C159" s="3">
        <v>17786</v>
      </c>
      <c r="D159" s="3">
        <v>16981</v>
      </c>
      <c r="E159" s="3"/>
      <c r="F159" s="3"/>
      <c r="G159" s="3"/>
    </row>
    <row r="160" spans="1:14" x14ac:dyDescent="0.25">
      <c r="B160" s="3">
        <v>106229</v>
      </c>
      <c r="C160" s="3">
        <v>109780</v>
      </c>
      <c r="D160" s="3">
        <v>110140</v>
      </c>
      <c r="E160" s="3">
        <v>92004</v>
      </c>
      <c r="F160" s="3">
        <v>69039</v>
      </c>
      <c r="G160" s="3"/>
      <c r="I160" s="3"/>
      <c r="J160" s="3"/>
      <c r="K160" s="3"/>
      <c r="L160" s="3"/>
      <c r="M160" s="3"/>
      <c r="N160" s="3"/>
    </row>
    <row r="161" spans="1:14" x14ac:dyDescent="0.25">
      <c r="B161" s="3">
        <v>59079</v>
      </c>
      <c r="C161" s="3">
        <v>61011</v>
      </c>
      <c r="D161" s="3">
        <v>61877</v>
      </c>
      <c r="E161" s="3">
        <v>61328</v>
      </c>
      <c r="F161" s="3">
        <v>53449</v>
      </c>
      <c r="G161" s="3"/>
    </row>
    <row r="162" spans="1:14" x14ac:dyDescent="0.25">
      <c r="B162" s="3">
        <v>47150</v>
      </c>
      <c r="C162" s="3">
        <v>48769</v>
      </c>
      <c r="D162" s="3">
        <v>48263</v>
      </c>
      <c r="E162" s="3">
        <v>30676</v>
      </c>
      <c r="F162" s="3">
        <v>15590</v>
      </c>
      <c r="G162" s="3"/>
    </row>
    <row r="163" spans="1:14" x14ac:dyDescent="0.25">
      <c r="A163" t="s">
        <v>80</v>
      </c>
      <c r="B163" s="3">
        <v>34075</v>
      </c>
      <c r="C163" s="3">
        <v>34932</v>
      </c>
      <c r="D163" s="3">
        <v>30819</v>
      </c>
      <c r="E163" s="3">
        <v>16016</v>
      </c>
      <c r="F163" s="3">
        <v>15836</v>
      </c>
      <c r="G163" s="3"/>
    </row>
    <row r="164" spans="1:14" x14ac:dyDescent="0.25">
      <c r="B164" s="3">
        <v>197355</v>
      </c>
      <c r="C164" s="3">
        <v>203545</v>
      </c>
      <c r="D164" s="3">
        <v>213734</v>
      </c>
      <c r="E164" s="3">
        <v>183292</v>
      </c>
      <c r="F164" s="3">
        <v>115876</v>
      </c>
      <c r="G164" s="3"/>
      <c r="I164" s="3"/>
      <c r="J164" s="3"/>
      <c r="K164" s="3"/>
      <c r="L164" s="3"/>
      <c r="M164" s="3"/>
      <c r="N164" s="3"/>
    </row>
    <row r="165" spans="1:14" x14ac:dyDescent="0.25">
      <c r="B165" s="3">
        <v>131248</v>
      </c>
      <c r="C165" s="3">
        <v>117661</v>
      </c>
      <c r="D165" s="3">
        <v>124676</v>
      </c>
      <c r="E165" s="3">
        <v>159291</v>
      </c>
      <c r="F165" s="3"/>
      <c r="G165" s="3"/>
    </row>
    <row r="166" spans="1:14" x14ac:dyDescent="0.25">
      <c r="B166" s="3">
        <v>66107</v>
      </c>
      <c r="C166" s="3">
        <v>85884</v>
      </c>
      <c r="D166" s="3">
        <v>89058</v>
      </c>
      <c r="E166" s="3">
        <v>24001</v>
      </c>
      <c r="F166" s="3"/>
      <c r="G166" s="3"/>
    </row>
    <row r="167" spans="1:14" x14ac:dyDescent="0.25">
      <c r="A167" t="s">
        <v>81</v>
      </c>
      <c r="B167" s="3">
        <v>25186</v>
      </c>
      <c r="C167" s="3">
        <v>26025</v>
      </c>
      <c r="D167" s="3">
        <v>22061</v>
      </c>
      <c r="E167" s="3">
        <v>11399</v>
      </c>
      <c r="F167" s="3">
        <v>11868</v>
      </c>
      <c r="G167" s="3">
        <v>19124</v>
      </c>
    </row>
    <row r="168" spans="1:14" x14ac:dyDescent="0.25">
      <c r="B168" s="3">
        <v>150477</v>
      </c>
      <c r="C168" s="3">
        <v>151661</v>
      </c>
      <c r="D168" s="3">
        <v>156818</v>
      </c>
      <c r="E168" s="3">
        <v>139176</v>
      </c>
      <c r="F168" s="3">
        <v>90943</v>
      </c>
      <c r="G168" s="3">
        <v>62306</v>
      </c>
      <c r="I168" s="3"/>
      <c r="J168" s="3"/>
      <c r="K168" s="3"/>
      <c r="L168" s="3"/>
      <c r="M168" s="3"/>
      <c r="N168" s="3"/>
    </row>
    <row r="169" spans="1:14" x14ac:dyDescent="0.25">
      <c r="B169" s="3">
        <v>99268</v>
      </c>
      <c r="C169" s="3">
        <v>93825</v>
      </c>
      <c r="D169" s="3">
        <v>95470</v>
      </c>
      <c r="E169" s="3">
        <v>108505</v>
      </c>
      <c r="F169" s="3"/>
      <c r="G169" s="3"/>
    </row>
    <row r="170" spans="1:14" x14ac:dyDescent="0.25">
      <c r="B170" s="3">
        <v>51209</v>
      </c>
      <c r="C170" s="3">
        <v>57836</v>
      </c>
      <c r="D170" s="3">
        <v>61348</v>
      </c>
      <c r="E170" s="3">
        <v>30671</v>
      </c>
      <c r="F170" s="3"/>
      <c r="G170" s="3"/>
    </row>
    <row r="171" spans="1:14" x14ac:dyDescent="0.25">
      <c r="A171" t="s">
        <v>82</v>
      </c>
      <c r="B171" s="3">
        <v>15616</v>
      </c>
      <c r="C171" s="3">
        <v>18960</v>
      </c>
      <c r="D171" s="3">
        <v>14420</v>
      </c>
      <c r="E171" s="3"/>
      <c r="F171" s="3"/>
      <c r="G171" s="3"/>
    </row>
    <row r="172" spans="1:14" x14ac:dyDescent="0.25">
      <c r="B172" s="3">
        <v>94605</v>
      </c>
      <c r="C172" s="3">
        <v>100861</v>
      </c>
      <c r="D172" s="3">
        <v>98843</v>
      </c>
      <c r="E172" s="3">
        <v>84276</v>
      </c>
      <c r="F172" s="3"/>
      <c r="G172" s="3"/>
      <c r="I172" s="3"/>
      <c r="J172" s="3"/>
      <c r="K172" s="3"/>
      <c r="L172" s="3"/>
      <c r="M172" s="3"/>
      <c r="N172" s="3"/>
    </row>
    <row r="173" spans="1:14" x14ac:dyDescent="0.25">
      <c r="B173" s="3">
        <v>64693</v>
      </c>
      <c r="C173" s="3">
        <v>64187</v>
      </c>
      <c r="D173" s="3">
        <v>60247</v>
      </c>
      <c r="E173" s="3">
        <v>62248</v>
      </c>
      <c r="F173" s="3"/>
      <c r="G173" s="3"/>
    </row>
    <row r="174" spans="1:14" x14ac:dyDescent="0.25">
      <c r="B174" s="3">
        <v>29912</v>
      </c>
      <c r="C174" s="3">
        <v>36674</v>
      </c>
      <c r="D174" s="3">
        <v>38596</v>
      </c>
      <c r="E174" s="3">
        <v>22028</v>
      </c>
      <c r="F174" s="3"/>
      <c r="G174" s="3"/>
    </row>
    <row r="175" spans="1:14" x14ac:dyDescent="0.25">
      <c r="A175" t="s">
        <v>83</v>
      </c>
      <c r="B175" s="3">
        <v>17370</v>
      </c>
      <c r="C175" s="3">
        <v>19472</v>
      </c>
      <c r="D175" s="3">
        <v>18873</v>
      </c>
      <c r="E175" s="3"/>
      <c r="F175" s="3"/>
      <c r="G175" s="3"/>
    </row>
    <row r="176" spans="1:14" x14ac:dyDescent="0.25">
      <c r="B176" s="3">
        <v>91056</v>
      </c>
      <c r="C176" s="3">
        <v>96601</v>
      </c>
      <c r="D176" s="3">
        <v>95631</v>
      </c>
      <c r="E176" s="3"/>
      <c r="F176" s="3"/>
      <c r="G176" s="3"/>
      <c r="I176" s="3"/>
      <c r="J176" s="3"/>
      <c r="K176" s="3"/>
      <c r="L176" s="3"/>
      <c r="M176" s="3"/>
      <c r="N176" s="3"/>
    </row>
    <row r="177" spans="1:14" x14ac:dyDescent="0.25">
      <c r="B177" s="3">
        <v>55555</v>
      </c>
      <c r="C177" s="3">
        <v>59938</v>
      </c>
      <c r="D177" s="3">
        <v>61180</v>
      </c>
      <c r="E177" s="3"/>
      <c r="F177" s="3"/>
      <c r="G177" s="3"/>
    </row>
    <row r="178" spans="1:14" x14ac:dyDescent="0.25">
      <c r="B178" s="3">
        <v>35501</v>
      </c>
      <c r="C178" s="3">
        <v>36663</v>
      </c>
      <c r="D178" s="3">
        <v>34451</v>
      </c>
      <c r="E178" s="3"/>
      <c r="F178" s="3"/>
      <c r="G178" s="3"/>
    </row>
    <row r="179" spans="1:14" x14ac:dyDescent="0.25">
      <c r="A179" t="s">
        <v>84</v>
      </c>
      <c r="B179" s="3">
        <v>13604</v>
      </c>
      <c r="C179" s="3">
        <v>17194</v>
      </c>
      <c r="D179" s="3">
        <v>11015</v>
      </c>
      <c r="E179" s="3">
        <v>6393</v>
      </c>
      <c r="F179" s="3"/>
      <c r="G179" s="3"/>
    </row>
    <row r="180" spans="1:14" x14ac:dyDescent="0.25">
      <c r="B180" s="3">
        <v>85913</v>
      </c>
      <c r="C180" s="3">
        <v>87591</v>
      </c>
      <c r="D180" s="3">
        <v>85729</v>
      </c>
      <c r="E180" s="3">
        <v>69761</v>
      </c>
      <c r="F180" s="3"/>
      <c r="G180" s="3"/>
      <c r="I180" s="3"/>
      <c r="J180" s="3"/>
      <c r="K180" s="3"/>
      <c r="L180" s="3"/>
      <c r="M180" s="3"/>
      <c r="N180" s="3"/>
    </row>
    <row r="181" spans="1:14" x14ac:dyDescent="0.25">
      <c r="B181" s="3">
        <v>44080</v>
      </c>
      <c r="C181" s="21">
        <v>48382</v>
      </c>
      <c r="D181" s="3">
        <v>46327</v>
      </c>
      <c r="E181" s="3">
        <v>44084</v>
      </c>
      <c r="F181" s="3"/>
      <c r="G181" s="3"/>
    </row>
    <row r="182" spans="1:14" x14ac:dyDescent="0.25">
      <c r="B182" s="3">
        <v>41833</v>
      </c>
      <c r="C182" s="3">
        <v>39209</v>
      </c>
      <c r="D182" s="3">
        <v>39402</v>
      </c>
      <c r="E182" s="3">
        <v>25677</v>
      </c>
      <c r="F182" s="3"/>
      <c r="G182" s="3"/>
    </row>
    <row r="183" spans="1:14" x14ac:dyDescent="0.25">
      <c r="A183" t="s">
        <v>72</v>
      </c>
      <c r="B183" s="3">
        <v>37101</v>
      </c>
      <c r="C183" s="3">
        <v>37479</v>
      </c>
      <c r="D183" s="3">
        <v>20048</v>
      </c>
      <c r="E183" s="3">
        <v>9625</v>
      </c>
      <c r="F183" s="3"/>
      <c r="G183" s="3"/>
    </row>
    <row r="184" spans="1:14" x14ac:dyDescent="0.25">
      <c r="B184" s="3">
        <v>169439</v>
      </c>
      <c r="C184" s="3">
        <v>170846</v>
      </c>
      <c r="D184" s="3">
        <v>172847</v>
      </c>
      <c r="E184" s="3">
        <v>141295</v>
      </c>
      <c r="F184" s="3"/>
      <c r="G184" s="3"/>
      <c r="I184" s="3"/>
      <c r="J184" s="3"/>
      <c r="K184" s="3"/>
      <c r="L184" s="3"/>
      <c r="M184" s="3"/>
      <c r="N184" s="3"/>
    </row>
    <row r="185" spans="1:14" x14ac:dyDescent="0.25">
      <c r="B185" s="3">
        <v>104358</v>
      </c>
      <c r="C185" s="3">
        <v>105183</v>
      </c>
      <c r="D185" s="3">
        <v>106199</v>
      </c>
      <c r="E185" s="3">
        <v>101655</v>
      </c>
      <c r="F185" s="3"/>
      <c r="G185" s="3"/>
    </row>
    <row r="186" spans="1:14" x14ac:dyDescent="0.25">
      <c r="B186" s="3">
        <v>65081</v>
      </c>
      <c r="C186" s="3">
        <v>65663</v>
      </c>
      <c r="D186" s="3">
        <v>66648</v>
      </c>
      <c r="E186" s="3">
        <v>39640</v>
      </c>
      <c r="F186" s="3"/>
      <c r="G186" s="3"/>
    </row>
    <row r="187" spans="1:14" x14ac:dyDescent="0.25">
      <c r="A187" t="s">
        <v>73</v>
      </c>
      <c r="B187" s="3">
        <v>14364</v>
      </c>
      <c r="C187" s="3">
        <v>19058</v>
      </c>
      <c r="D187" s="3">
        <v>15464</v>
      </c>
      <c r="E187" s="3">
        <v>5595</v>
      </c>
      <c r="F187" s="3">
        <v>3869</v>
      </c>
      <c r="G187" s="3">
        <v>6341</v>
      </c>
    </row>
    <row r="188" spans="1:14" x14ac:dyDescent="0.25">
      <c r="B188" s="3">
        <v>84196</v>
      </c>
      <c r="C188" s="3">
        <v>93589</v>
      </c>
      <c r="D188" s="3">
        <v>98337</v>
      </c>
      <c r="E188" s="3">
        <v>77407</v>
      </c>
      <c r="F188" s="3">
        <v>70384</v>
      </c>
      <c r="G188" s="3">
        <v>53998</v>
      </c>
      <c r="I188" s="3"/>
      <c r="J188" s="3"/>
      <c r="K188" s="3"/>
      <c r="L188" s="3"/>
      <c r="M188" s="3"/>
      <c r="N188" s="3"/>
    </row>
    <row r="189" spans="1:14" x14ac:dyDescent="0.25">
      <c r="B189" s="3">
        <v>55147</v>
      </c>
      <c r="C189" s="3">
        <v>66673</v>
      </c>
      <c r="D189" s="3">
        <v>61633</v>
      </c>
      <c r="E189" s="3">
        <v>59190</v>
      </c>
      <c r="F189" s="3">
        <v>64968</v>
      </c>
      <c r="G189" s="3">
        <v>54399</v>
      </c>
    </row>
    <row r="190" spans="1:14" x14ac:dyDescent="0.25">
      <c r="B190" s="3">
        <v>29049</v>
      </c>
      <c r="C190" s="3">
        <v>26916</v>
      </c>
      <c r="D190" s="3">
        <v>36704</v>
      </c>
      <c r="E190" s="3">
        <v>18217</v>
      </c>
      <c r="F190" s="3">
        <v>5416</v>
      </c>
      <c r="G190" s="3">
        <v>-401</v>
      </c>
    </row>
    <row r="191" spans="1:14" x14ac:dyDescent="0.25">
      <c r="A191" t="s">
        <v>85</v>
      </c>
      <c r="B191" s="3">
        <v>11286</v>
      </c>
      <c r="C191" s="3">
        <v>12796</v>
      </c>
      <c r="D191" s="3">
        <v>9281</v>
      </c>
      <c r="E191" s="3">
        <v>4245</v>
      </c>
      <c r="F191" s="3"/>
      <c r="G191" s="3"/>
    </row>
    <row r="192" spans="1:14" x14ac:dyDescent="0.25">
      <c r="B192" s="3">
        <v>84147</v>
      </c>
      <c r="C192" s="3">
        <v>82474</v>
      </c>
      <c r="D192" s="3">
        <v>83949</v>
      </c>
      <c r="E192" s="3">
        <v>70571</v>
      </c>
      <c r="F192" s="3">
        <v>71381</v>
      </c>
      <c r="G192" s="3">
        <v>72192</v>
      </c>
      <c r="I192" s="3"/>
      <c r="J192" s="3"/>
      <c r="K192" s="3"/>
      <c r="L192" s="3"/>
      <c r="M192" s="3"/>
      <c r="N192" s="3"/>
    </row>
    <row r="193" spans="1:14" x14ac:dyDescent="0.25">
      <c r="B193" s="3">
        <v>55908</v>
      </c>
      <c r="C193" s="3">
        <v>61754</v>
      </c>
      <c r="D193" s="3">
        <v>57711</v>
      </c>
      <c r="E193" s="3">
        <v>48114</v>
      </c>
      <c r="F193" s="3">
        <v>52095</v>
      </c>
      <c r="G193" s="3">
        <v>56077</v>
      </c>
    </row>
    <row r="194" spans="1:14" x14ac:dyDescent="0.25">
      <c r="B194" s="3">
        <v>28239</v>
      </c>
      <c r="C194" s="3">
        <v>20720</v>
      </c>
      <c r="D194" s="3">
        <v>26238</v>
      </c>
      <c r="E194" s="3">
        <v>22457</v>
      </c>
      <c r="F194" s="3">
        <v>19286</v>
      </c>
      <c r="G194" s="3">
        <v>16115</v>
      </c>
    </row>
    <row r="195" spans="1:14" x14ac:dyDescent="0.25">
      <c r="A195" t="s">
        <v>86</v>
      </c>
      <c r="B195" s="3">
        <v>30105</v>
      </c>
      <c r="C195" s="3">
        <v>31323</v>
      </c>
      <c r="D195" s="3">
        <v>27262</v>
      </c>
      <c r="F195" s="3"/>
      <c r="G195" s="3"/>
    </row>
    <row r="196" spans="1:14" x14ac:dyDescent="0.25">
      <c r="B196" s="3">
        <v>137674</v>
      </c>
      <c r="C196" s="3">
        <v>147275</v>
      </c>
      <c r="D196" s="3">
        <v>147697</v>
      </c>
      <c r="E196" s="3">
        <v>121461</v>
      </c>
      <c r="F196" s="3"/>
      <c r="G196" s="3"/>
      <c r="I196" s="3"/>
      <c r="J196" s="3"/>
      <c r="K196" s="3"/>
      <c r="L196" s="3"/>
      <c r="M196" s="3"/>
      <c r="N196" s="3"/>
    </row>
    <row r="197" spans="1:14" x14ac:dyDescent="0.25">
      <c r="B197" s="3">
        <v>91418</v>
      </c>
      <c r="C197" s="3">
        <v>92785</v>
      </c>
      <c r="D197" s="3">
        <v>84641</v>
      </c>
      <c r="E197" s="3">
        <v>90546</v>
      </c>
      <c r="F197" s="3"/>
      <c r="G197" s="3"/>
    </row>
    <row r="198" spans="1:14" x14ac:dyDescent="0.25">
      <c r="B198" s="3">
        <v>46256</v>
      </c>
      <c r="C198" s="3">
        <v>54490</v>
      </c>
      <c r="D198" s="3">
        <v>63056</v>
      </c>
      <c r="E198" s="3">
        <v>30915</v>
      </c>
      <c r="F198" s="3"/>
      <c r="G198" s="3"/>
    </row>
    <row r="199" spans="1:14" x14ac:dyDescent="0.25">
      <c r="A199" t="s">
        <v>87</v>
      </c>
      <c r="B199" s="3">
        <v>28095</v>
      </c>
      <c r="C199" s="3">
        <v>31725</v>
      </c>
      <c r="D199" s="3">
        <v>25481</v>
      </c>
      <c r="E199" s="3">
        <v>12298</v>
      </c>
      <c r="F199" s="3"/>
      <c r="G199" s="3"/>
    </row>
    <row r="200" spans="1:14" x14ac:dyDescent="0.25">
      <c r="B200" s="3">
        <v>151064</v>
      </c>
      <c r="C200" s="3">
        <v>151958</v>
      </c>
      <c r="D200" s="3">
        <v>150710</v>
      </c>
      <c r="E200" s="3">
        <v>153117</v>
      </c>
      <c r="F200" s="3"/>
      <c r="G200" s="3"/>
      <c r="I200" s="3"/>
      <c r="J200" s="3"/>
      <c r="K200" s="3"/>
      <c r="L200" s="3"/>
      <c r="M200" s="3"/>
      <c r="N200" s="3"/>
    </row>
    <row r="201" spans="1:14" x14ac:dyDescent="0.25">
      <c r="B201" s="3">
        <v>73349</v>
      </c>
      <c r="C201" s="3">
        <v>85419</v>
      </c>
      <c r="D201" s="3">
        <v>80364</v>
      </c>
      <c r="E201" s="3">
        <v>82072</v>
      </c>
      <c r="F201" s="3"/>
      <c r="G201" s="3"/>
    </row>
    <row r="202" spans="1:14" x14ac:dyDescent="0.25">
      <c r="B202" s="3">
        <v>77715</v>
      </c>
      <c r="C202" s="3">
        <v>66539</v>
      </c>
      <c r="D202" s="3">
        <v>70346</v>
      </c>
      <c r="E202" s="3">
        <v>71045</v>
      </c>
      <c r="F202" s="3"/>
      <c r="G202" s="3"/>
    </row>
    <row r="203" spans="1:14" x14ac:dyDescent="0.25">
      <c r="A203" t="s">
        <v>88</v>
      </c>
      <c r="B203" s="3">
        <v>24337</v>
      </c>
      <c r="C203" s="3">
        <v>24965</v>
      </c>
      <c r="D203" s="3">
        <v>15970</v>
      </c>
      <c r="E203" s="3">
        <v>7752</v>
      </c>
      <c r="F203" s="3"/>
      <c r="G203" s="3"/>
    </row>
    <row r="204" spans="1:14" x14ac:dyDescent="0.25">
      <c r="B204" s="3">
        <v>130344</v>
      </c>
      <c r="C204" s="3">
        <v>126623</v>
      </c>
      <c r="D204" s="3">
        <v>128170</v>
      </c>
      <c r="E204" s="3">
        <v>106517</v>
      </c>
      <c r="F204" s="3">
        <v>82004</v>
      </c>
      <c r="G204" s="3"/>
      <c r="I204" s="3"/>
      <c r="J204" s="3"/>
      <c r="K204" s="3"/>
      <c r="L204" s="3"/>
      <c r="M204" s="3"/>
      <c r="N204" s="3"/>
    </row>
    <row r="205" spans="1:14" x14ac:dyDescent="0.25">
      <c r="B205" s="3">
        <v>60257</v>
      </c>
      <c r="C205" s="3">
        <v>72117</v>
      </c>
      <c r="D205" s="3">
        <v>68866</v>
      </c>
      <c r="E205" s="3">
        <v>82072</v>
      </c>
      <c r="F205" s="3"/>
      <c r="G205" s="3"/>
    </row>
    <row r="206" spans="1:14" x14ac:dyDescent="0.25">
      <c r="B206" s="3">
        <v>70087</v>
      </c>
      <c r="C206" s="3">
        <v>54506</v>
      </c>
      <c r="D206" s="3">
        <v>59304</v>
      </c>
      <c r="E206" s="3">
        <v>24445</v>
      </c>
      <c r="F206" s="3"/>
      <c r="G206" s="3"/>
    </row>
    <row r="207" spans="1:14" x14ac:dyDescent="0.25">
      <c r="A207" t="s">
        <v>89</v>
      </c>
      <c r="B207" s="3">
        <v>23338</v>
      </c>
      <c r="C207" s="3">
        <v>24583</v>
      </c>
      <c r="D207" s="3">
        <v>19040</v>
      </c>
      <c r="F207" s="3"/>
      <c r="G207" s="3"/>
    </row>
    <row r="208" spans="1:14" x14ac:dyDescent="0.25">
      <c r="B208" s="3">
        <v>116411</v>
      </c>
      <c r="C208" s="3">
        <v>110948</v>
      </c>
      <c r="D208" s="3">
        <v>114546</v>
      </c>
      <c r="E208" s="3">
        <v>97141</v>
      </c>
      <c r="F208" s="3"/>
      <c r="G208" s="3"/>
      <c r="I208" s="3"/>
      <c r="J208" s="3"/>
      <c r="K208" s="3"/>
      <c r="L208" s="3"/>
      <c r="M208" s="3"/>
      <c r="N208" s="3"/>
    </row>
    <row r="209" spans="1:14" x14ac:dyDescent="0.25">
      <c r="B209" s="3">
        <v>59972</v>
      </c>
      <c r="C209" s="3">
        <v>61706</v>
      </c>
      <c r="D209" s="3">
        <v>65334</v>
      </c>
      <c r="E209" s="3">
        <v>69130</v>
      </c>
      <c r="F209" s="3"/>
      <c r="G209" s="3"/>
    </row>
    <row r="210" spans="1:14" x14ac:dyDescent="0.25">
      <c r="B210" s="3">
        <v>56439</v>
      </c>
      <c r="C210" s="3">
        <v>49242</v>
      </c>
      <c r="D210" s="3">
        <v>49212</v>
      </c>
      <c r="E210" s="3">
        <v>28011</v>
      </c>
      <c r="F210" s="3"/>
      <c r="G210" s="3"/>
    </row>
    <row r="211" spans="1:14" x14ac:dyDescent="0.25">
      <c r="A211" t="s">
        <v>90</v>
      </c>
      <c r="B211" s="3">
        <v>3407</v>
      </c>
      <c r="C211" s="3">
        <v>3546</v>
      </c>
      <c r="D211" s="3">
        <v>3151</v>
      </c>
      <c r="E211" s="3">
        <v>2483</v>
      </c>
      <c r="F211" s="3"/>
      <c r="G211" s="3"/>
    </row>
    <row r="212" spans="1:14" x14ac:dyDescent="0.25">
      <c r="B212" s="3">
        <v>11900</v>
      </c>
      <c r="C212" s="3">
        <v>11653</v>
      </c>
      <c r="D212" s="3">
        <v>11854</v>
      </c>
      <c r="E212" s="3">
        <v>10239</v>
      </c>
      <c r="F212" s="3"/>
      <c r="G212" s="3"/>
      <c r="I212" s="3"/>
      <c r="J212" s="3"/>
      <c r="K212" s="3"/>
      <c r="L212" s="3"/>
      <c r="M212" s="3"/>
      <c r="N212" s="3"/>
    </row>
    <row r="213" spans="1:14" x14ac:dyDescent="0.25">
      <c r="B213" s="3">
        <v>8431</v>
      </c>
      <c r="C213" s="3">
        <v>9089</v>
      </c>
      <c r="D213" s="3">
        <v>9212</v>
      </c>
      <c r="E213" s="3">
        <v>8780</v>
      </c>
      <c r="F213" s="3"/>
      <c r="G213" s="3"/>
    </row>
    <row r="214" spans="1:14" x14ac:dyDescent="0.25">
      <c r="B214" s="3">
        <v>3469</v>
      </c>
      <c r="C214" s="3">
        <v>2564</v>
      </c>
      <c r="D214" s="3">
        <v>2642</v>
      </c>
      <c r="E214" s="3">
        <v>1459</v>
      </c>
      <c r="F214" s="3"/>
      <c r="G214" s="3"/>
    </row>
    <row r="215" spans="1:14" x14ac:dyDescent="0.25">
      <c r="A215" t="s">
        <v>91</v>
      </c>
      <c r="B215" s="3">
        <v>9036</v>
      </c>
      <c r="C215" s="3">
        <v>10799</v>
      </c>
      <c r="D215" s="3">
        <v>9063</v>
      </c>
      <c r="E215" s="3">
        <v>3967</v>
      </c>
      <c r="F215" s="3">
        <v>3205</v>
      </c>
      <c r="G215" s="3">
        <v>4579</v>
      </c>
    </row>
    <row r="216" spans="1:14" x14ac:dyDescent="0.25">
      <c r="B216" s="3">
        <v>49543</v>
      </c>
      <c r="C216" s="3">
        <v>51145</v>
      </c>
      <c r="D216" s="3">
        <v>53325</v>
      </c>
      <c r="E216" s="3">
        <v>45608</v>
      </c>
      <c r="F216" s="3">
        <v>36626</v>
      </c>
      <c r="G216" s="3">
        <v>30097</v>
      </c>
      <c r="I216" s="3"/>
      <c r="J216" s="3"/>
      <c r="K216" s="3"/>
      <c r="L216" s="3"/>
      <c r="M216" s="3"/>
      <c r="N216" s="3"/>
    </row>
    <row r="217" spans="1:14" x14ac:dyDescent="0.25">
      <c r="B217" s="3">
        <v>34775</v>
      </c>
      <c r="C217" s="3">
        <v>38094</v>
      </c>
      <c r="D217" s="3">
        <v>34493</v>
      </c>
      <c r="E217" s="3">
        <v>31018</v>
      </c>
      <c r="F217" s="3">
        <v>32417</v>
      </c>
      <c r="G217" s="3">
        <v>36754</v>
      </c>
    </row>
    <row r="218" spans="1:14" x14ac:dyDescent="0.25">
      <c r="B218" s="3">
        <v>14768</v>
      </c>
      <c r="C218" s="3">
        <v>13051</v>
      </c>
      <c r="D218" s="3">
        <v>18832</v>
      </c>
      <c r="E218" s="3">
        <v>14590</v>
      </c>
      <c r="F218" s="3">
        <v>4209</v>
      </c>
      <c r="G218" s="3">
        <v>-6657</v>
      </c>
    </row>
    <row r="219" spans="1:14" x14ac:dyDescent="0.25">
      <c r="B219" s="19"/>
      <c r="C219" s="19"/>
      <c r="D219" s="19"/>
      <c r="E219" s="19"/>
      <c r="F219" s="19"/>
      <c r="G219" s="19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AEE8AA-8738-4438-85A5-3791D113DFDD}">
  <dimension ref="A1:G140"/>
  <sheetViews>
    <sheetView topLeftCell="A91" workbookViewId="0">
      <selection activeCell="G44" sqref="G44"/>
    </sheetView>
  </sheetViews>
  <sheetFormatPr defaultRowHeight="15" x14ac:dyDescent="0.25"/>
  <cols>
    <col min="1" max="1" width="16.42578125" customWidth="1"/>
  </cols>
  <sheetData>
    <row r="1" spans="1:7" ht="18.75" x14ac:dyDescent="0.3">
      <c r="A1" s="6" t="s">
        <v>99</v>
      </c>
    </row>
    <row r="2" spans="1:7" x14ac:dyDescent="0.25">
      <c r="A2" s="20"/>
    </row>
    <row r="3" spans="1:7" x14ac:dyDescent="0.25">
      <c r="A3" t="s">
        <v>98</v>
      </c>
      <c r="B3" t="s">
        <v>94</v>
      </c>
    </row>
    <row r="4" spans="1:7" x14ac:dyDescent="0.25">
      <c r="B4" t="s">
        <v>97</v>
      </c>
    </row>
    <row r="5" spans="1:7" x14ac:dyDescent="0.25">
      <c r="B5" t="s">
        <v>95</v>
      </c>
    </row>
    <row r="6" spans="1:7" x14ac:dyDescent="0.25">
      <c r="B6" t="s">
        <v>96</v>
      </c>
    </row>
    <row r="8" spans="1:7" x14ac:dyDescent="0.25">
      <c r="B8" s="20">
        <v>1912</v>
      </c>
      <c r="C8" s="20">
        <v>1913</v>
      </c>
      <c r="D8" s="20">
        <v>1914</v>
      </c>
      <c r="E8" s="20">
        <v>1915</v>
      </c>
      <c r="F8" s="20">
        <v>1916</v>
      </c>
      <c r="G8" s="20">
        <v>1917</v>
      </c>
    </row>
    <row r="9" spans="1:7" x14ac:dyDescent="0.25">
      <c r="A9" t="s">
        <v>41</v>
      </c>
      <c r="B9" s="3">
        <v>3750</v>
      </c>
      <c r="C9" s="3">
        <v>3883</v>
      </c>
      <c r="D9" s="3">
        <v>3598</v>
      </c>
      <c r="E9" s="3">
        <v>2027</v>
      </c>
    </row>
    <row r="10" spans="1:7" x14ac:dyDescent="0.25">
      <c r="B10" s="3">
        <v>20220</v>
      </c>
      <c r="C10" s="3">
        <v>20694</v>
      </c>
      <c r="D10" s="3">
        <v>20696</v>
      </c>
      <c r="E10" s="3">
        <v>18439</v>
      </c>
      <c r="F10" s="3">
        <v>15749</v>
      </c>
    </row>
    <row r="11" spans="1:7" x14ac:dyDescent="0.25">
      <c r="B11" s="3">
        <v>12003</v>
      </c>
      <c r="C11" s="3">
        <v>12272</v>
      </c>
      <c r="D11" s="3">
        <v>13587</v>
      </c>
      <c r="E11" s="3">
        <v>12709</v>
      </c>
      <c r="F11" s="3">
        <v>12694</v>
      </c>
    </row>
    <row r="12" spans="1:7" x14ac:dyDescent="0.25">
      <c r="B12" s="3">
        <v>8217</v>
      </c>
      <c r="C12" s="3">
        <v>8422</v>
      </c>
      <c r="D12" s="3">
        <v>7109</v>
      </c>
      <c r="E12" s="3">
        <v>5730</v>
      </c>
      <c r="F12" s="3">
        <v>3055</v>
      </c>
    </row>
    <row r="13" spans="1:7" x14ac:dyDescent="0.25">
      <c r="A13" t="s">
        <v>42</v>
      </c>
      <c r="B13" s="3">
        <v>8205</v>
      </c>
      <c r="C13" s="3">
        <v>9579</v>
      </c>
      <c r="D13" s="3">
        <v>8421</v>
      </c>
      <c r="F13" s="3"/>
    </row>
    <row r="14" spans="1:7" x14ac:dyDescent="0.25">
      <c r="B14" s="3">
        <v>48755</v>
      </c>
      <c r="C14" s="3">
        <v>50086</v>
      </c>
      <c r="D14" s="3">
        <v>52352</v>
      </c>
      <c r="E14" s="3">
        <v>43931</v>
      </c>
      <c r="F14" s="3"/>
    </row>
    <row r="15" spans="1:7" x14ac:dyDescent="0.25">
      <c r="B15" s="3">
        <v>28647</v>
      </c>
      <c r="C15" s="3">
        <v>30059</v>
      </c>
      <c r="D15" s="3">
        <v>29166</v>
      </c>
      <c r="E15" s="3">
        <v>33060</v>
      </c>
    </row>
    <row r="16" spans="1:7" x14ac:dyDescent="0.25">
      <c r="B16" s="3">
        <v>20108</v>
      </c>
      <c r="C16" s="3">
        <v>20027</v>
      </c>
      <c r="D16" s="3">
        <v>23186</v>
      </c>
      <c r="E16" s="3">
        <v>10871</v>
      </c>
    </row>
    <row r="17" spans="1:7" x14ac:dyDescent="0.25">
      <c r="A17" t="s">
        <v>46</v>
      </c>
      <c r="B17" s="3">
        <v>13902</v>
      </c>
      <c r="C17" s="3">
        <v>15683</v>
      </c>
      <c r="D17" s="3">
        <v>11609</v>
      </c>
      <c r="E17" s="3">
        <v>3943</v>
      </c>
      <c r="F17" s="3">
        <v>3926</v>
      </c>
      <c r="G17" s="3">
        <v>4896</v>
      </c>
    </row>
    <row r="18" spans="1:7" x14ac:dyDescent="0.25">
      <c r="B18" s="3">
        <v>84963</v>
      </c>
      <c r="C18" s="3">
        <v>90305</v>
      </c>
      <c r="D18" s="3">
        <v>89028</v>
      </c>
      <c r="E18" s="3">
        <v>79192</v>
      </c>
      <c r="F18" s="3">
        <v>59541</v>
      </c>
      <c r="G18" s="3">
        <v>37793</v>
      </c>
    </row>
    <row r="19" spans="1:7" x14ac:dyDescent="0.25">
      <c r="B19" s="3">
        <v>57098</v>
      </c>
      <c r="C19" s="3">
        <v>60397</v>
      </c>
      <c r="D19" s="3">
        <v>53331</v>
      </c>
      <c r="E19" s="3">
        <v>52841</v>
      </c>
      <c r="F19" s="3">
        <v>48132</v>
      </c>
      <c r="G19" s="3">
        <v>41490</v>
      </c>
    </row>
    <row r="20" spans="1:7" x14ac:dyDescent="0.25">
      <c r="B20" s="3">
        <v>27865</v>
      </c>
      <c r="C20" s="3">
        <v>29908</v>
      </c>
      <c r="D20" s="3">
        <v>35697</v>
      </c>
      <c r="E20" s="3">
        <v>26351</v>
      </c>
      <c r="F20" s="3">
        <v>11409</v>
      </c>
      <c r="G20" s="3">
        <v>-3697</v>
      </c>
    </row>
    <row r="21" spans="1:7" x14ac:dyDescent="0.25">
      <c r="A21" t="s">
        <v>51</v>
      </c>
      <c r="B21" s="3">
        <v>13744</v>
      </c>
      <c r="C21" s="3">
        <v>15388</v>
      </c>
      <c r="D21" s="3">
        <v>12289</v>
      </c>
      <c r="E21" s="3">
        <v>5010</v>
      </c>
      <c r="F21" s="3"/>
    </row>
    <row r="22" spans="1:7" x14ac:dyDescent="0.25">
      <c r="B22" s="3">
        <v>75606</v>
      </c>
      <c r="C22" s="3">
        <v>77732</v>
      </c>
      <c r="D22" s="3">
        <v>80204</v>
      </c>
      <c r="E22" s="3">
        <v>63389</v>
      </c>
      <c r="F22" s="3"/>
    </row>
    <row r="23" spans="1:7" x14ac:dyDescent="0.25">
      <c r="B23" s="3">
        <v>51131</v>
      </c>
      <c r="C23" s="3">
        <v>52557</v>
      </c>
      <c r="D23" s="3">
        <v>49964</v>
      </c>
      <c r="E23" s="3">
        <v>45126</v>
      </c>
      <c r="F23" s="3"/>
    </row>
    <row r="24" spans="1:7" x14ac:dyDescent="0.25">
      <c r="B24" s="3">
        <v>24475</v>
      </c>
      <c r="C24" s="3">
        <v>25175</v>
      </c>
      <c r="D24" s="3">
        <v>30240</v>
      </c>
      <c r="E24" s="3">
        <v>18263</v>
      </c>
      <c r="F24" s="3"/>
    </row>
    <row r="25" spans="1:7" x14ac:dyDescent="0.25">
      <c r="A25" t="s">
        <v>48</v>
      </c>
      <c r="B25" s="3">
        <v>27753</v>
      </c>
      <c r="C25" s="3">
        <v>31950</v>
      </c>
      <c r="D25" s="3">
        <v>23168</v>
      </c>
      <c r="E25" s="3">
        <v>10591</v>
      </c>
      <c r="F25" s="3">
        <v>13920</v>
      </c>
    </row>
    <row r="26" spans="1:7" x14ac:dyDescent="0.25">
      <c r="B26" s="3">
        <v>176717</v>
      </c>
      <c r="C26" s="3">
        <v>175310</v>
      </c>
      <c r="D26" s="3">
        <v>179175</v>
      </c>
      <c r="E26" s="3">
        <v>153298</v>
      </c>
      <c r="F26" s="3">
        <v>116108</v>
      </c>
    </row>
    <row r="27" spans="1:7" x14ac:dyDescent="0.25">
      <c r="B27" s="3">
        <v>96620</v>
      </c>
      <c r="C27" s="3">
        <v>109194</v>
      </c>
      <c r="D27" s="3">
        <v>110219</v>
      </c>
      <c r="E27" s="3">
        <v>102033</v>
      </c>
      <c r="F27" s="3">
        <v>87704</v>
      </c>
    </row>
    <row r="28" spans="1:7" x14ac:dyDescent="0.25">
      <c r="B28" s="3">
        <v>80097</v>
      </c>
      <c r="C28" s="3">
        <v>66116</v>
      </c>
      <c r="D28" s="3">
        <v>68956</v>
      </c>
      <c r="E28" s="3">
        <v>51265</v>
      </c>
      <c r="F28" s="3">
        <v>28404</v>
      </c>
    </row>
    <row r="29" spans="1:7" x14ac:dyDescent="0.25">
      <c r="A29" t="s">
        <v>49</v>
      </c>
      <c r="B29" s="3">
        <v>29387</v>
      </c>
      <c r="C29" s="3">
        <v>34827</v>
      </c>
      <c r="D29" s="3">
        <v>31300</v>
      </c>
      <c r="E29" s="3">
        <v>16814</v>
      </c>
      <c r="F29" s="3"/>
    </row>
    <row r="30" spans="1:7" x14ac:dyDescent="0.25">
      <c r="B30" s="3">
        <v>188286</v>
      </c>
      <c r="C30" s="3">
        <v>188367</v>
      </c>
      <c r="D30" s="3">
        <v>190574</v>
      </c>
      <c r="E30" s="3">
        <v>160915</v>
      </c>
      <c r="F30" s="3"/>
    </row>
    <row r="31" spans="1:7" x14ac:dyDescent="0.25">
      <c r="B31" s="3">
        <v>139451</v>
      </c>
      <c r="C31" s="3">
        <v>136613</v>
      </c>
      <c r="D31" s="3">
        <v>142545</v>
      </c>
      <c r="E31" s="3">
        <v>149781</v>
      </c>
      <c r="F31" s="3"/>
    </row>
    <row r="32" spans="1:7" x14ac:dyDescent="0.25">
      <c r="B32" s="3">
        <v>48835</v>
      </c>
      <c r="C32" s="3">
        <v>51754</v>
      </c>
      <c r="D32" s="3">
        <v>48029</v>
      </c>
      <c r="E32" s="3">
        <v>11134</v>
      </c>
      <c r="F32" s="3"/>
    </row>
    <row r="33" spans="1:7" x14ac:dyDescent="0.25">
      <c r="A33" t="s">
        <v>52</v>
      </c>
      <c r="B33" s="3">
        <v>24527</v>
      </c>
      <c r="C33" s="3">
        <v>32391</v>
      </c>
      <c r="D33" s="3">
        <v>25923</v>
      </c>
      <c r="E33" s="3">
        <v>15632</v>
      </c>
      <c r="F33" s="3"/>
      <c r="G33" s="3"/>
    </row>
    <row r="34" spans="1:7" x14ac:dyDescent="0.25">
      <c r="B34" s="3">
        <v>174732</v>
      </c>
      <c r="C34" s="3">
        <v>172187</v>
      </c>
      <c r="D34" s="3">
        <v>174809</v>
      </c>
      <c r="E34" s="3">
        <v>154072</v>
      </c>
      <c r="F34" s="3">
        <v>104927</v>
      </c>
      <c r="G34" s="3"/>
    </row>
    <row r="35" spans="1:7" x14ac:dyDescent="0.25">
      <c r="B35" s="3">
        <v>87175</v>
      </c>
      <c r="C35" s="3">
        <v>99138</v>
      </c>
      <c r="D35" s="3">
        <v>102833</v>
      </c>
      <c r="E35" s="3">
        <v>101041</v>
      </c>
      <c r="F35" s="3">
        <v>89192</v>
      </c>
      <c r="G35" s="3"/>
    </row>
    <row r="36" spans="1:7" x14ac:dyDescent="0.25">
      <c r="B36" s="3">
        <v>87557</v>
      </c>
      <c r="C36" s="3">
        <v>73049</v>
      </c>
      <c r="D36" s="3">
        <v>71976</v>
      </c>
      <c r="E36" s="3">
        <v>53031</v>
      </c>
      <c r="F36" s="3">
        <v>15735</v>
      </c>
      <c r="G36" s="3"/>
    </row>
    <row r="37" spans="1:7" x14ac:dyDescent="0.25">
      <c r="A37" t="s">
        <v>54</v>
      </c>
      <c r="B37" s="3">
        <v>23923</v>
      </c>
      <c r="C37" s="3">
        <v>24366</v>
      </c>
      <c r="D37" s="3">
        <v>24220</v>
      </c>
      <c r="E37" s="3">
        <v>12568</v>
      </c>
      <c r="F37" s="3"/>
      <c r="G37" s="3"/>
    </row>
    <row r="38" spans="1:7" x14ac:dyDescent="0.25">
      <c r="B38" s="3">
        <v>123200</v>
      </c>
      <c r="C38" s="3">
        <v>125067</v>
      </c>
      <c r="D38" s="3">
        <v>126363</v>
      </c>
      <c r="E38" s="3">
        <v>108493</v>
      </c>
      <c r="F38" s="3"/>
      <c r="G38" s="3"/>
    </row>
    <row r="39" spans="1:7" x14ac:dyDescent="0.25">
      <c r="B39" s="3">
        <v>84070</v>
      </c>
      <c r="C39" s="3">
        <v>85265</v>
      </c>
      <c r="D39" s="3">
        <v>86173</v>
      </c>
      <c r="E39" s="3">
        <v>84471</v>
      </c>
      <c r="F39" s="3"/>
      <c r="G39" s="3"/>
    </row>
    <row r="40" spans="1:7" x14ac:dyDescent="0.25">
      <c r="B40" s="3">
        <v>39130</v>
      </c>
      <c r="C40" s="3">
        <v>39802</v>
      </c>
      <c r="D40" s="3">
        <v>40190</v>
      </c>
      <c r="E40" s="3">
        <v>24022</v>
      </c>
      <c r="F40" s="3"/>
      <c r="G40" s="3"/>
    </row>
    <row r="41" spans="1:7" x14ac:dyDescent="0.25">
      <c r="A41" t="s">
        <v>55</v>
      </c>
      <c r="B41" s="3">
        <v>12591</v>
      </c>
      <c r="C41" s="3">
        <v>18089</v>
      </c>
      <c r="D41" s="3">
        <v>9840</v>
      </c>
      <c r="E41" s="3">
        <v>4814</v>
      </c>
      <c r="F41" s="3">
        <v>4719</v>
      </c>
      <c r="G41" s="3">
        <v>6290</v>
      </c>
    </row>
    <row r="42" spans="1:7" x14ac:dyDescent="0.25">
      <c r="B42" s="3">
        <v>69276</v>
      </c>
      <c r="C42" s="3">
        <v>68354</v>
      </c>
      <c r="D42" s="3">
        <v>69704</v>
      </c>
      <c r="E42" s="3">
        <v>61575</v>
      </c>
      <c r="F42" s="3">
        <v>42218</v>
      </c>
      <c r="G42" s="3">
        <v>30446</v>
      </c>
    </row>
    <row r="43" spans="1:7" x14ac:dyDescent="0.25">
      <c r="B43" s="3">
        <v>44029</v>
      </c>
      <c r="C43" s="3">
        <v>46090</v>
      </c>
      <c r="D43" s="3">
        <v>48265</v>
      </c>
      <c r="E43" s="3">
        <v>44333</v>
      </c>
      <c r="F43" s="3">
        <v>36782</v>
      </c>
      <c r="G43" s="3">
        <v>34136</v>
      </c>
    </row>
    <row r="44" spans="1:7" x14ac:dyDescent="0.25">
      <c r="B44" s="3">
        <v>25247</v>
      </c>
      <c r="C44" s="3">
        <v>22264</v>
      </c>
      <c r="D44" s="3">
        <v>21439</v>
      </c>
      <c r="E44" s="3">
        <v>17242</v>
      </c>
      <c r="F44" s="3">
        <v>5436</v>
      </c>
      <c r="G44" s="3">
        <v>-3690</v>
      </c>
    </row>
    <row r="45" spans="1:7" x14ac:dyDescent="0.25">
      <c r="A45" t="s">
        <v>58</v>
      </c>
      <c r="B45" s="3">
        <v>13290</v>
      </c>
      <c r="C45" s="3">
        <v>16116</v>
      </c>
      <c r="D45" s="3">
        <v>13655</v>
      </c>
      <c r="E45" s="3">
        <v>5705</v>
      </c>
      <c r="F45" s="3"/>
      <c r="G45" s="3"/>
    </row>
    <row r="46" spans="1:7" x14ac:dyDescent="0.25">
      <c r="B46" s="3">
        <v>76670</v>
      </c>
      <c r="C46" s="3">
        <v>80394</v>
      </c>
      <c r="D46" s="3">
        <v>84144</v>
      </c>
      <c r="E46" s="3">
        <v>70008</v>
      </c>
      <c r="F46" s="3"/>
      <c r="G46" s="3"/>
    </row>
    <row r="47" spans="1:7" x14ac:dyDescent="0.25">
      <c r="B47" s="3">
        <v>53047</v>
      </c>
      <c r="C47" s="3">
        <v>54758</v>
      </c>
      <c r="D47" s="3">
        <v>50241</v>
      </c>
      <c r="E47" s="3">
        <v>47501</v>
      </c>
      <c r="F47" s="3"/>
      <c r="G47" s="3"/>
    </row>
    <row r="48" spans="1:7" x14ac:dyDescent="0.25">
      <c r="B48" s="3">
        <v>23623</v>
      </c>
      <c r="C48" s="3">
        <v>25636</v>
      </c>
      <c r="D48" s="3">
        <v>33903</v>
      </c>
      <c r="E48" s="3">
        <v>22507</v>
      </c>
      <c r="F48" s="3"/>
      <c r="G48" s="3"/>
    </row>
    <row r="49" spans="1:7" x14ac:dyDescent="0.25">
      <c r="A49" t="s">
        <v>60</v>
      </c>
      <c r="B49" s="3">
        <v>23708</v>
      </c>
      <c r="C49" s="3">
        <v>23574</v>
      </c>
      <c r="D49" s="3">
        <v>18207</v>
      </c>
      <c r="E49" s="3">
        <v>11585</v>
      </c>
      <c r="F49" s="3"/>
      <c r="G49" s="3"/>
    </row>
    <row r="50" spans="1:7" x14ac:dyDescent="0.25">
      <c r="B50" s="3">
        <v>145050</v>
      </c>
      <c r="C50" s="3">
        <v>144236</v>
      </c>
      <c r="D50" s="3">
        <v>138965</v>
      </c>
      <c r="E50" s="3">
        <v>125864</v>
      </c>
      <c r="F50" s="3"/>
      <c r="G50" s="3"/>
    </row>
    <row r="51" spans="1:7" x14ac:dyDescent="0.25">
      <c r="B51" s="3">
        <v>88041</v>
      </c>
      <c r="C51" s="3">
        <v>87667</v>
      </c>
      <c r="D51" s="3">
        <v>81912</v>
      </c>
      <c r="E51" s="3">
        <v>81346</v>
      </c>
      <c r="F51" s="3"/>
      <c r="G51" s="3"/>
    </row>
    <row r="52" spans="1:7" x14ac:dyDescent="0.25">
      <c r="B52" s="3">
        <v>57009</v>
      </c>
      <c r="C52" s="3">
        <v>56569</v>
      </c>
      <c r="D52" s="3">
        <v>57053</v>
      </c>
      <c r="E52" s="3">
        <v>44518</v>
      </c>
      <c r="F52" s="3"/>
      <c r="G52" s="3"/>
    </row>
    <row r="53" spans="1:7" x14ac:dyDescent="0.25">
      <c r="A53" t="s">
        <v>64</v>
      </c>
      <c r="B53" s="3">
        <v>12403</v>
      </c>
      <c r="C53" s="3">
        <v>13432</v>
      </c>
      <c r="D53" s="3">
        <v>10194</v>
      </c>
      <c r="E53" s="3">
        <v>4036</v>
      </c>
      <c r="F53" s="3">
        <v>4193</v>
      </c>
      <c r="G53" s="3"/>
    </row>
    <row r="54" spans="1:7" x14ac:dyDescent="0.25">
      <c r="B54" s="3">
        <v>81101</v>
      </c>
      <c r="C54" s="3">
        <v>79333</v>
      </c>
      <c r="D54" s="3">
        <v>81710</v>
      </c>
      <c r="E54" s="3">
        <v>69324</v>
      </c>
      <c r="F54" s="3">
        <v>55901</v>
      </c>
      <c r="G54" s="3"/>
    </row>
    <row r="55" spans="1:7" x14ac:dyDescent="0.25">
      <c r="B55" s="3">
        <v>53911</v>
      </c>
      <c r="C55" s="3">
        <v>57392</v>
      </c>
      <c r="D55" s="3">
        <v>54159</v>
      </c>
      <c r="E55" s="3">
        <v>50067</v>
      </c>
      <c r="F55" s="3">
        <v>45451</v>
      </c>
      <c r="G55" s="3"/>
    </row>
    <row r="56" spans="1:7" x14ac:dyDescent="0.25">
      <c r="B56" s="3">
        <v>27190</v>
      </c>
      <c r="C56" s="3">
        <v>21941</v>
      </c>
      <c r="D56" s="3">
        <v>27551</v>
      </c>
      <c r="E56" s="3">
        <v>19257</v>
      </c>
      <c r="F56" s="3">
        <v>10450</v>
      </c>
      <c r="G56" s="3"/>
    </row>
    <row r="57" spans="1:7" x14ac:dyDescent="0.25">
      <c r="A57" t="s">
        <v>65</v>
      </c>
      <c r="B57" s="3">
        <v>9564</v>
      </c>
      <c r="C57" s="3">
        <v>10093</v>
      </c>
      <c r="D57" s="3">
        <v>9679</v>
      </c>
      <c r="E57" s="3">
        <v>7478</v>
      </c>
      <c r="F57" s="3">
        <v>7623</v>
      </c>
      <c r="G57" s="3">
        <v>9900</v>
      </c>
    </row>
    <row r="58" spans="1:7" x14ac:dyDescent="0.25">
      <c r="B58" s="3">
        <v>54831</v>
      </c>
      <c r="C58" s="3">
        <v>54649</v>
      </c>
      <c r="D58" s="3">
        <v>54373</v>
      </c>
      <c r="E58" s="3">
        <v>49738</v>
      </c>
      <c r="F58" s="3">
        <v>37375</v>
      </c>
      <c r="G58" s="3">
        <v>36284</v>
      </c>
    </row>
    <row r="59" spans="1:7" x14ac:dyDescent="0.25">
      <c r="B59" s="3">
        <v>39881</v>
      </c>
      <c r="C59" s="3">
        <v>41940</v>
      </c>
      <c r="D59" s="3">
        <v>42198</v>
      </c>
      <c r="E59" s="3">
        <v>52710</v>
      </c>
      <c r="F59" s="3">
        <v>49714</v>
      </c>
      <c r="G59" s="3">
        <v>44542</v>
      </c>
    </row>
    <row r="60" spans="1:7" x14ac:dyDescent="0.25">
      <c r="B60" s="3">
        <v>14950</v>
      </c>
      <c r="C60" s="3">
        <v>12709</v>
      </c>
      <c r="D60" s="3">
        <v>12175</v>
      </c>
      <c r="E60" s="3">
        <v>-2972</v>
      </c>
      <c r="F60" s="3">
        <v>-12339</v>
      </c>
      <c r="G60" s="3">
        <v>-8258</v>
      </c>
    </row>
    <row r="61" spans="1:7" x14ac:dyDescent="0.25">
      <c r="A61" t="s">
        <v>66</v>
      </c>
      <c r="B61" s="3">
        <v>14713</v>
      </c>
      <c r="C61" s="3">
        <v>16625</v>
      </c>
      <c r="D61" s="3">
        <v>12607</v>
      </c>
      <c r="E61" s="3">
        <v>5715</v>
      </c>
      <c r="F61" s="3"/>
      <c r="G61" s="3"/>
    </row>
    <row r="62" spans="1:7" x14ac:dyDescent="0.25">
      <c r="B62" s="3">
        <v>95763</v>
      </c>
      <c r="C62" s="3">
        <v>94474</v>
      </c>
      <c r="D62" s="3">
        <v>96923</v>
      </c>
      <c r="E62" s="3">
        <v>80210</v>
      </c>
      <c r="F62" s="3">
        <v>56918</v>
      </c>
      <c r="G62" s="3">
        <v>34144</v>
      </c>
    </row>
    <row r="63" spans="1:7" x14ac:dyDescent="0.25">
      <c r="B63" s="3">
        <v>60734</v>
      </c>
      <c r="C63" s="3">
        <v>66366</v>
      </c>
      <c r="D63" s="3">
        <v>60172</v>
      </c>
      <c r="E63" s="3">
        <v>57175</v>
      </c>
      <c r="F63" s="3">
        <v>44672</v>
      </c>
      <c r="G63" s="3">
        <v>36168</v>
      </c>
    </row>
    <row r="64" spans="1:7" x14ac:dyDescent="0.25">
      <c r="B64" s="3">
        <v>35029</v>
      </c>
      <c r="C64" s="3">
        <v>28108</v>
      </c>
      <c r="D64" s="3">
        <v>36751</v>
      </c>
      <c r="E64" s="3">
        <v>23035</v>
      </c>
      <c r="F64" s="3">
        <v>12246</v>
      </c>
      <c r="G64" s="3">
        <v>-2024</v>
      </c>
    </row>
    <row r="65" spans="1:7" x14ac:dyDescent="0.25">
      <c r="A65" t="s">
        <v>67</v>
      </c>
      <c r="B65" s="3">
        <v>11911</v>
      </c>
      <c r="C65" s="3">
        <v>14932</v>
      </c>
      <c r="D65" s="3">
        <v>11806</v>
      </c>
      <c r="E65" s="3">
        <v>4791</v>
      </c>
      <c r="F65" s="3"/>
      <c r="G65" s="3"/>
    </row>
    <row r="66" spans="1:7" x14ac:dyDescent="0.25">
      <c r="B66" s="3">
        <v>68794</v>
      </c>
      <c r="C66" s="3">
        <v>70780</v>
      </c>
      <c r="D66" s="3">
        <v>74673</v>
      </c>
      <c r="E66" s="3">
        <v>61757</v>
      </c>
      <c r="F66" s="3">
        <v>49022</v>
      </c>
      <c r="G66" s="3"/>
    </row>
    <row r="67" spans="1:7" x14ac:dyDescent="0.25">
      <c r="B67" s="3">
        <v>46661</v>
      </c>
      <c r="C67" s="3">
        <v>48320</v>
      </c>
      <c r="D67" s="3">
        <v>43554</v>
      </c>
      <c r="E67" s="3">
        <v>43517</v>
      </c>
      <c r="F67" s="3">
        <v>42109</v>
      </c>
      <c r="G67" s="3"/>
    </row>
    <row r="68" spans="1:7" x14ac:dyDescent="0.25">
      <c r="B68" s="3">
        <v>22133</v>
      </c>
      <c r="C68" s="3">
        <v>22460</v>
      </c>
      <c r="D68" s="3">
        <v>31119</v>
      </c>
      <c r="E68" s="3">
        <v>18240</v>
      </c>
      <c r="F68" s="3">
        <v>6913</v>
      </c>
      <c r="G68" s="3"/>
    </row>
    <row r="69" spans="1:7" x14ac:dyDescent="0.25">
      <c r="A69" t="s">
        <v>68</v>
      </c>
      <c r="B69" s="3">
        <v>3889</v>
      </c>
      <c r="C69" s="3">
        <v>4205</v>
      </c>
      <c r="D69" s="3">
        <v>3514</v>
      </c>
      <c r="E69" s="3"/>
      <c r="F69" s="3"/>
      <c r="G69" s="3"/>
    </row>
    <row r="70" spans="1:7" x14ac:dyDescent="0.25">
      <c r="B70" s="3">
        <v>20725</v>
      </c>
      <c r="C70" s="3">
        <v>20638</v>
      </c>
      <c r="D70" s="3">
        <v>22794</v>
      </c>
      <c r="E70" s="3">
        <v>18049</v>
      </c>
      <c r="F70" s="3"/>
      <c r="G70" s="3"/>
    </row>
    <row r="71" spans="1:7" x14ac:dyDescent="0.25">
      <c r="B71" s="3">
        <v>15446</v>
      </c>
      <c r="C71" s="3">
        <v>16927</v>
      </c>
      <c r="D71" s="3">
        <v>14625</v>
      </c>
      <c r="E71" s="3">
        <v>13788</v>
      </c>
      <c r="F71" s="3"/>
      <c r="G71" s="3"/>
    </row>
    <row r="72" spans="1:7" x14ac:dyDescent="0.25">
      <c r="B72" s="3">
        <v>5279</v>
      </c>
      <c r="C72" s="3">
        <v>3711</v>
      </c>
      <c r="D72" s="3">
        <v>8169</v>
      </c>
      <c r="E72" s="3">
        <v>4261</v>
      </c>
      <c r="F72" s="3"/>
      <c r="G72" s="3"/>
    </row>
    <row r="73" spans="1:7" x14ac:dyDescent="0.25">
      <c r="A73" t="s">
        <v>100</v>
      </c>
      <c r="B73" s="3">
        <v>19538</v>
      </c>
      <c r="C73" s="3">
        <v>21093</v>
      </c>
      <c r="D73" s="3">
        <v>19890</v>
      </c>
      <c r="E73" s="3"/>
      <c r="F73" s="3"/>
      <c r="G73" s="3"/>
    </row>
    <row r="74" spans="1:7" x14ac:dyDescent="0.25">
      <c r="B74" s="3">
        <v>113025</v>
      </c>
      <c r="C74" s="3">
        <v>120509</v>
      </c>
      <c r="D74" s="3">
        <v>119297</v>
      </c>
      <c r="E74" s="3"/>
      <c r="F74" s="3"/>
      <c r="G74" s="3"/>
    </row>
    <row r="75" spans="1:7" x14ac:dyDescent="0.25">
      <c r="B75" s="3">
        <v>84277</v>
      </c>
      <c r="C75" s="3">
        <v>81318</v>
      </c>
      <c r="D75" s="3">
        <v>68502</v>
      </c>
      <c r="E75" s="3"/>
      <c r="F75" s="3"/>
      <c r="G75" s="3"/>
    </row>
    <row r="76" spans="1:7" x14ac:dyDescent="0.25">
      <c r="B76" s="3">
        <v>28748</v>
      </c>
      <c r="C76" s="3">
        <v>39191</v>
      </c>
      <c r="D76" s="3">
        <v>50795</v>
      </c>
      <c r="E76" s="3"/>
      <c r="F76" s="3"/>
      <c r="G76" s="3"/>
    </row>
    <row r="77" spans="1:7" x14ac:dyDescent="0.25">
      <c r="A77" t="s">
        <v>69</v>
      </c>
      <c r="B77" s="3">
        <v>20231</v>
      </c>
      <c r="C77" s="3">
        <v>21321</v>
      </c>
      <c r="D77" s="3">
        <v>13984</v>
      </c>
      <c r="E77" s="3">
        <v>7417</v>
      </c>
      <c r="F77" s="3">
        <v>7963</v>
      </c>
      <c r="G77" s="3"/>
    </row>
    <row r="78" spans="1:7" x14ac:dyDescent="0.25">
      <c r="B78" s="3">
        <v>121291</v>
      </c>
      <c r="C78" s="3">
        <v>119071</v>
      </c>
      <c r="D78" s="3">
        <v>114874</v>
      </c>
      <c r="E78" s="3">
        <v>97515</v>
      </c>
      <c r="F78" s="3">
        <v>75411</v>
      </c>
      <c r="G78" s="3"/>
    </row>
    <row r="79" spans="1:7" x14ac:dyDescent="0.25">
      <c r="B79" s="3">
        <v>76162</v>
      </c>
      <c r="C79" s="3">
        <v>73443</v>
      </c>
      <c r="D79" s="3">
        <v>74196</v>
      </c>
      <c r="E79" s="3">
        <v>74155</v>
      </c>
      <c r="F79" s="3"/>
      <c r="G79" s="3"/>
    </row>
    <row r="80" spans="1:7" x14ac:dyDescent="0.25">
      <c r="B80" s="3">
        <v>45129</v>
      </c>
      <c r="C80" s="3">
        <v>45628</v>
      </c>
      <c r="D80" s="3">
        <v>40678</v>
      </c>
      <c r="E80" s="3">
        <v>23360</v>
      </c>
      <c r="F80" s="3"/>
      <c r="G80" s="3"/>
    </row>
    <row r="81" spans="1:7" x14ac:dyDescent="0.25">
      <c r="A81" t="s">
        <v>70</v>
      </c>
      <c r="B81" s="3">
        <v>14913</v>
      </c>
      <c r="C81" s="3">
        <v>16441</v>
      </c>
      <c r="D81" s="3">
        <v>11166</v>
      </c>
      <c r="E81" s="3"/>
      <c r="F81" s="3"/>
      <c r="G81" s="3"/>
    </row>
    <row r="82" spans="1:7" x14ac:dyDescent="0.25">
      <c r="B82" s="3">
        <v>96963</v>
      </c>
      <c r="C82" s="3">
        <v>96895</v>
      </c>
      <c r="D82" s="3">
        <v>93557</v>
      </c>
      <c r="E82" s="3">
        <v>81039</v>
      </c>
      <c r="F82" s="3"/>
      <c r="G82" s="3"/>
    </row>
    <row r="83" spans="1:7" x14ac:dyDescent="0.25">
      <c r="B83" s="3">
        <v>60431</v>
      </c>
      <c r="C83" s="3">
        <v>64251</v>
      </c>
      <c r="D83" s="3">
        <v>57353</v>
      </c>
      <c r="E83" s="3">
        <v>61725</v>
      </c>
      <c r="F83" s="3"/>
      <c r="G83" s="3"/>
    </row>
    <row r="84" spans="1:7" x14ac:dyDescent="0.25">
      <c r="B84" s="3">
        <v>36532</v>
      </c>
      <c r="C84" s="3">
        <v>32644</v>
      </c>
      <c r="D84" s="3">
        <v>36204</v>
      </c>
      <c r="E84" s="3">
        <v>19314</v>
      </c>
      <c r="F84" s="3"/>
      <c r="G84" s="3"/>
    </row>
    <row r="85" spans="1:7" x14ac:dyDescent="0.25">
      <c r="A85" t="s">
        <v>71</v>
      </c>
      <c r="B85" s="3">
        <v>29037</v>
      </c>
      <c r="C85" s="3">
        <v>30440</v>
      </c>
      <c r="D85" s="3">
        <v>28408</v>
      </c>
      <c r="E85" s="3">
        <v>18543</v>
      </c>
      <c r="F85" s="3"/>
      <c r="G85" s="3"/>
    </row>
    <row r="86" spans="1:7" x14ac:dyDescent="0.25">
      <c r="B86" s="3">
        <v>205475</v>
      </c>
      <c r="C86" s="3">
        <v>199434</v>
      </c>
      <c r="D86" s="3">
        <v>202078</v>
      </c>
      <c r="E86" s="3">
        <v>188876</v>
      </c>
      <c r="F86" s="3"/>
      <c r="G86" s="3"/>
    </row>
    <row r="87" spans="1:7" x14ac:dyDescent="0.25">
      <c r="B87" s="3">
        <v>165471</v>
      </c>
      <c r="C87" s="3">
        <v>153457</v>
      </c>
      <c r="D87" s="3">
        <v>149547</v>
      </c>
      <c r="E87" s="3">
        <v>163115</v>
      </c>
      <c r="F87" s="3"/>
      <c r="G87" s="3"/>
    </row>
    <row r="88" spans="1:7" x14ac:dyDescent="0.25">
      <c r="B88" s="3">
        <v>40004</v>
      </c>
      <c r="C88" s="3">
        <v>45977</v>
      </c>
      <c r="D88" s="3">
        <v>52531</v>
      </c>
      <c r="E88" s="3">
        <v>25761</v>
      </c>
      <c r="F88" s="3"/>
      <c r="G88" s="3"/>
    </row>
    <row r="89" spans="1:7" x14ac:dyDescent="0.25">
      <c r="A89" t="s">
        <v>74</v>
      </c>
      <c r="B89" s="3">
        <v>7061</v>
      </c>
      <c r="C89" s="3">
        <v>7937</v>
      </c>
      <c r="D89" s="3">
        <v>6061</v>
      </c>
      <c r="E89" s="3"/>
      <c r="F89" s="3"/>
      <c r="G89" s="3"/>
    </row>
    <row r="90" spans="1:7" x14ac:dyDescent="0.25">
      <c r="B90" s="3">
        <v>36906</v>
      </c>
      <c r="C90" s="3">
        <v>37354</v>
      </c>
      <c r="D90" s="3">
        <v>35638</v>
      </c>
      <c r="E90" s="3"/>
      <c r="F90" s="3"/>
      <c r="G90" s="3"/>
    </row>
    <row r="91" spans="1:7" x14ac:dyDescent="0.25">
      <c r="B91" s="3">
        <v>27927</v>
      </c>
      <c r="C91" s="3">
        <v>26517</v>
      </c>
      <c r="D91" s="3">
        <v>25149</v>
      </c>
      <c r="E91" s="3"/>
      <c r="F91" s="3"/>
      <c r="G91" s="3"/>
    </row>
    <row r="92" spans="1:7" x14ac:dyDescent="0.25">
      <c r="B92" s="3">
        <v>8979</v>
      </c>
      <c r="C92" s="3">
        <v>10837</v>
      </c>
      <c r="D92" s="3">
        <v>10489</v>
      </c>
      <c r="E92" s="3"/>
      <c r="F92" s="3"/>
      <c r="G92" s="3"/>
    </row>
    <row r="93" spans="1:7" x14ac:dyDescent="0.25">
      <c r="A93" t="s">
        <v>75</v>
      </c>
      <c r="B93" s="3">
        <v>13192</v>
      </c>
      <c r="C93" s="3">
        <v>13403</v>
      </c>
      <c r="D93" s="3">
        <v>13202</v>
      </c>
      <c r="E93" s="3">
        <v>11569</v>
      </c>
      <c r="F93" s="3">
        <v>11299</v>
      </c>
      <c r="G93" s="3">
        <v>20559</v>
      </c>
    </row>
    <row r="94" spans="1:7" x14ac:dyDescent="0.25">
      <c r="B94" s="3">
        <v>56099</v>
      </c>
      <c r="C94" s="3">
        <v>56155</v>
      </c>
      <c r="D94" s="3">
        <v>55460</v>
      </c>
      <c r="E94" s="3">
        <v>51956</v>
      </c>
      <c r="F94" s="3">
        <v>46188</v>
      </c>
      <c r="G94" s="3">
        <v>43109</v>
      </c>
    </row>
    <row r="95" spans="1:7" x14ac:dyDescent="0.25">
      <c r="B95" s="3">
        <v>45957</v>
      </c>
      <c r="C95" s="3">
        <v>45446</v>
      </c>
      <c r="D95" s="3">
        <v>47597</v>
      </c>
      <c r="E95" s="3">
        <v>52866</v>
      </c>
      <c r="F95" s="3">
        <v>55980</v>
      </c>
      <c r="G95" s="3">
        <v>61000</v>
      </c>
    </row>
    <row r="96" spans="1:7" x14ac:dyDescent="0.25">
      <c r="B96" s="3">
        <v>10142</v>
      </c>
      <c r="C96" s="3">
        <v>10709</v>
      </c>
      <c r="D96" s="3">
        <v>7863</v>
      </c>
      <c r="E96" s="3">
        <v>-910</v>
      </c>
      <c r="F96" s="3">
        <v>-9792</v>
      </c>
      <c r="G96" s="3">
        <v>-17891</v>
      </c>
    </row>
    <row r="97" spans="1:7" x14ac:dyDescent="0.25">
      <c r="A97" t="s">
        <v>78</v>
      </c>
      <c r="B97" s="3">
        <v>9797</v>
      </c>
      <c r="C97" s="3">
        <v>10549</v>
      </c>
      <c r="D97" s="3">
        <v>10275</v>
      </c>
      <c r="E97" s="3"/>
      <c r="F97" s="3"/>
      <c r="G97" s="3"/>
    </row>
    <row r="98" spans="1:7" x14ac:dyDescent="0.25">
      <c r="B98" s="3">
        <v>56272</v>
      </c>
      <c r="C98" s="3">
        <v>56921</v>
      </c>
      <c r="D98" s="3">
        <v>57976</v>
      </c>
      <c r="E98" s="3">
        <v>48441</v>
      </c>
      <c r="F98" s="3">
        <v>40697</v>
      </c>
      <c r="G98" s="3"/>
    </row>
    <row r="99" spans="1:7" x14ac:dyDescent="0.25">
      <c r="B99" s="3">
        <v>34585</v>
      </c>
      <c r="C99" s="3">
        <v>35044</v>
      </c>
      <c r="D99" s="3">
        <v>35971</v>
      </c>
      <c r="E99" s="3">
        <v>34657</v>
      </c>
      <c r="F99" s="3">
        <v>32893</v>
      </c>
      <c r="G99" s="3"/>
    </row>
    <row r="100" spans="1:7" x14ac:dyDescent="0.25">
      <c r="B100" s="3">
        <v>21687</v>
      </c>
      <c r="C100" s="3">
        <v>21877</v>
      </c>
      <c r="D100" s="3">
        <v>22005</v>
      </c>
      <c r="E100" s="3">
        <v>13784</v>
      </c>
      <c r="F100" s="3">
        <v>7804</v>
      </c>
      <c r="G100" s="3"/>
    </row>
    <row r="101" spans="1:7" x14ac:dyDescent="0.25">
      <c r="A101" t="s">
        <v>79</v>
      </c>
      <c r="B101" s="3">
        <v>17120</v>
      </c>
      <c r="C101" s="3">
        <v>17786</v>
      </c>
      <c r="D101" s="3">
        <v>16981</v>
      </c>
      <c r="E101" s="3"/>
      <c r="F101" s="3"/>
      <c r="G101" s="3"/>
    </row>
    <row r="102" spans="1:7" x14ac:dyDescent="0.25">
      <c r="B102" s="3">
        <v>106229</v>
      </c>
      <c r="C102" s="3">
        <v>109780</v>
      </c>
      <c r="D102" s="3">
        <v>110140</v>
      </c>
      <c r="E102" s="3">
        <v>92004</v>
      </c>
      <c r="F102" s="3">
        <v>69039</v>
      </c>
      <c r="G102" s="3"/>
    </row>
    <row r="103" spans="1:7" x14ac:dyDescent="0.25">
      <c r="B103" s="3">
        <v>59079</v>
      </c>
      <c r="C103" s="3">
        <v>61011</v>
      </c>
      <c r="D103" s="3">
        <v>61877</v>
      </c>
      <c r="E103" s="3">
        <v>61328</v>
      </c>
      <c r="F103" s="3">
        <v>53449</v>
      </c>
      <c r="G103" s="3"/>
    </row>
    <row r="104" spans="1:7" x14ac:dyDescent="0.25">
      <c r="B104" s="3">
        <v>47150</v>
      </c>
      <c r="C104" s="3">
        <v>48769</v>
      </c>
      <c r="D104" s="3">
        <v>48263</v>
      </c>
      <c r="E104" s="3">
        <v>30676</v>
      </c>
      <c r="F104" s="3">
        <v>15590</v>
      </c>
      <c r="G104" s="3"/>
    </row>
    <row r="105" spans="1:7" x14ac:dyDescent="0.25">
      <c r="A105" t="s">
        <v>80</v>
      </c>
      <c r="B105" s="3">
        <v>34075</v>
      </c>
      <c r="C105" s="3">
        <v>34932</v>
      </c>
      <c r="D105" s="3">
        <v>30819</v>
      </c>
      <c r="E105" s="3">
        <v>16016</v>
      </c>
      <c r="F105" s="3">
        <v>15836</v>
      </c>
      <c r="G105" s="3"/>
    </row>
    <row r="106" spans="1:7" x14ac:dyDescent="0.25">
      <c r="B106" s="3">
        <v>197355</v>
      </c>
      <c r="C106" s="3">
        <v>203545</v>
      </c>
      <c r="D106" s="3">
        <v>213734</v>
      </c>
      <c r="E106" s="3">
        <v>183292</v>
      </c>
      <c r="F106" s="3">
        <v>115876</v>
      </c>
      <c r="G106" s="3"/>
    </row>
    <row r="107" spans="1:7" x14ac:dyDescent="0.25">
      <c r="B107" s="3">
        <v>131248</v>
      </c>
      <c r="C107" s="3">
        <v>117661</v>
      </c>
      <c r="D107" s="3">
        <v>124676</v>
      </c>
      <c r="E107" s="3">
        <v>159291</v>
      </c>
      <c r="F107" s="3"/>
      <c r="G107" s="3"/>
    </row>
    <row r="108" spans="1:7" x14ac:dyDescent="0.25">
      <c r="B108" s="3">
        <v>66107</v>
      </c>
      <c r="C108" s="3">
        <v>85884</v>
      </c>
      <c r="D108" s="3">
        <v>89058</v>
      </c>
      <c r="E108" s="3">
        <v>24001</v>
      </c>
      <c r="F108" s="3"/>
      <c r="G108" s="3"/>
    </row>
    <row r="109" spans="1:7" x14ac:dyDescent="0.25">
      <c r="A109" t="s">
        <v>81</v>
      </c>
      <c r="B109" s="3">
        <v>25186</v>
      </c>
      <c r="C109" s="3">
        <v>26025</v>
      </c>
      <c r="D109" s="3">
        <v>22061</v>
      </c>
      <c r="E109" s="3">
        <v>11399</v>
      </c>
      <c r="F109" s="3">
        <v>11868</v>
      </c>
      <c r="G109" s="3">
        <v>19124</v>
      </c>
    </row>
    <row r="110" spans="1:7" x14ac:dyDescent="0.25">
      <c r="B110" s="3">
        <v>150477</v>
      </c>
      <c r="C110" s="3">
        <v>151661</v>
      </c>
      <c r="D110" s="3">
        <v>156818</v>
      </c>
      <c r="E110" s="3">
        <v>139176</v>
      </c>
      <c r="F110" s="3">
        <v>90943</v>
      </c>
      <c r="G110" s="3">
        <v>62306</v>
      </c>
    </row>
    <row r="111" spans="1:7" x14ac:dyDescent="0.25">
      <c r="B111" s="3">
        <v>99268</v>
      </c>
      <c r="C111" s="3">
        <v>93825</v>
      </c>
      <c r="D111" s="3">
        <v>95470</v>
      </c>
      <c r="E111" s="3">
        <v>108505</v>
      </c>
      <c r="F111" s="3"/>
      <c r="G111" s="3"/>
    </row>
    <row r="112" spans="1:7" x14ac:dyDescent="0.25">
      <c r="B112" s="3">
        <v>51209</v>
      </c>
      <c r="C112" s="3">
        <v>57836</v>
      </c>
      <c r="D112" s="3">
        <v>61348</v>
      </c>
      <c r="E112" s="3">
        <v>30671</v>
      </c>
      <c r="F112" s="3"/>
      <c r="G112" s="3"/>
    </row>
    <row r="113" spans="1:7" x14ac:dyDescent="0.25">
      <c r="A113" t="s">
        <v>82</v>
      </c>
      <c r="B113" s="3">
        <v>15616</v>
      </c>
      <c r="C113" s="3">
        <v>18960</v>
      </c>
      <c r="D113" s="3">
        <v>14420</v>
      </c>
      <c r="E113" s="3"/>
      <c r="F113" s="3"/>
      <c r="G113" s="3"/>
    </row>
    <row r="114" spans="1:7" x14ac:dyDescent="0.25">
      <c r="B114" s="3">
        <v>94605</v>
      </c>
      <c r="C114" s="3">
        <v>100861</v>
      </c>
      <c r="D114" s="3">
        <v>98843</v>
      </c>
      <c r="E114" s="3">
        <v>84276</v>
      </c>
      <c r="F114" s="3"/>
      <c r="G114" s="3"/>
    </row>
    <row r="115" spans="1:7" x14ac:dyDescent="0.25">
      <c r="B115" s="3">
        <v>64693</v>
      </c>
      <c r="C115" s="3">
        <v>64187</v>
      </c>
      <c r="D115" s="3">
        <v>60247</v>
      </c>
      <c r="E115" s="3">
        <v>62248</v>
      </c>
      <c r="F115" s="3"/>
      <c r="G115" s="3"/>
    </row>
    <row r="116" spans="1:7" x14ac:dyDescent="0.25">
      <c r="B116" s="3">
        <v>29912</v>
      </c>
      <c r="C116" s="3">
        <v>36674</v>
      </c>
      <c r="D116" s="3">
        <v>38596</v>
      </c>
      <c r="E116" s="3">
        <v>22028</v>
      </c>
      <c r="F116" s="3"/>
      <c r="G116" s="3"/>
    </row>
    <row r="117" spans="1:7" x14ac:dyDescent="0.25">
      <c r="A117" t="s">
        <v>83</v>
      </c>
      <c r="B117" s="3">
        <v>17370</v>
      </c>
      <c r="C117" s="3">
        <v>19472</v>
      </c>
      <c r="D117" s="3">
        <v>18873</v>
      </c>
      <c r="E117" s="3"/>
      <c r="F117" s="3"/>
      <c r="G117" s="3"/>
    </row>
    <row r="118" spans="1:7" x14ac:dyDescent="0.25">
      <c r="B118" s="3">
        <v>91056</v>
      </c>
      <c r="C118" s="3">
        <v>96601</v>
      </c>
      <c r="D118" s="3">
        <v>95631</v>
      </c>
      <c r="E118" s="3"/>
      <c r="F118" s="3"/>
      <c r="G118" s="3"/>
    </row>
    <row r="119" spans="1:7" x14ac:dyDescent="0.25">
      <c r="B119" s="3">
        <v>55555</v>
      </c>
      <c r="C119" s="3">
        <v>59938</v>
      </c>
      <c r="D119" s="3">
        <v>61180</v>
      </c>
      <c r="E119" s="3"/>
      <c r="F119" s="3"/>
      <c r="G119" s="3"/>
    </row>
    <row r="120" spans="1:7" x14ac:dyDescent="0.25">
      <c r="B120" s="3">
        <v>35501</v>
      </c>
      <c r="C120" s="3">
        <v>36663</v>
      </c>
      <c r="D120" s="3">
        <v>34451</v>
      </c>
      <c r="E120" s="3"/>
      <c r="F120" s="3"/>
      <c r="G120" s="3"/>
    </row>
    <row r="121" spans="1:7" x14ac:dyDescent="0.25">
      <c r="A121" t="s">
        <v>72</v>
      </c>
      <c r="B121" s="3">
        <v>37101</v>
      </c>
      <c r="C121" s="3">
        <v>37479</v>
      </c>
      <c r="D121" s="3">
        <v>20048</v>
      </c>
      <c r="E121" s="3">
        <v>9625</v>
      </c>
      <c r="F121" s="3"/>
      <c r="G121" s="3"/>
    </row>
    <row r="122" spans="1:7" x14ac:dyDescent="0.25">
      <c r="B122" s="3">
        <v>169439</v>
      </c>
      <c r="C122" s="3">
        <v>170846</v>
      </c>
      <c r="D122" s="3">
        <v>172847</v>
      </c>
      <c r="E122" s="3">
        <v>141295</v>
      </c>
      <c r="F122" s="3"/>
      <c r="G122" s="3"/>
    </row>
    <row r="123" spans="1:7" x14ac:dyDescent="0.25">
      <c r="B123" s="3">
        <v>104358</v>
      </c>
      <c r="C123" s="3">
        <v>105183</v>
      </c>
      <c r="D123" s="3">
        <v>106199</v>
      </c>
      <c r="E123" s="3">
        <v>101655</v>
      </c>
      <c r="F123" s="3"/>
      <c r="G123" s="3"/>
    </row>
    <row r="124" spans="1:7" x14ac:dyDescent="0.25">
      <c r="B124" s="3">
        <v>65081</v>
      </c>
      <c r="C124" s="3">
        <v>65663</v>
      </c>
      <c r="D124" s="3">
        <v>66648</v>
      </c>
      <c r="E124" s="3">
        <v>39640</v>
      </c>
      <c r="F124" s="3"/>
      <c r="G124" s="3"/>
    </row>
    <row r="125" spans="1:7" x14ac:dyDescent="0.25">
      <c r="A125" t="s">
        <v>73</v>
      </c>
      <c r="B125" s="3">
        <v>14364</v>
      </c>
      <c r="C125" s="3">
        <v>19058</v>
      </c>
      <c r="D125" s="3">
        <v>15464</v>
      </c>
      <c r="E125" s="3">
        <v>5595</v>
      </c>
      <c r="F125" s="3">
        <v>3869</v>
      </c>
      <c r="G125" s="3">
        <v>6341</v>
      </c>
    </row>
    <row r="126" spans="1:7" x14ac:dyDescent="0.25">
      <c r="B126" s="3">
        <v>84196</v>
      </c>
      <c r="C126" s="3">
        <v>93589</v>
      </c>
      <c r="D126" s="3">
        <v>98337</v>
      </c>
      <c r="E126" s="3">
        <v>77407</v>
      </c>
      <c r="F126" s="3">
        <v>70384</v>
      </c>
      <c r="G126" s="3">
        <v>53998</v>
      </c>
    </row>
    <row r="127" spans="1:7" x14ac:dyDescent="0.25">
      <c r="B127" s="3">
        <v>55147</v>
      </c>
      <c r="C127" s="3">
        <v>66673</v>
      </c>
      <c r="D127" s="3">
        <v>61633</v>
      </c>
      <c r="E127" s="3">
        <v>59190</v>
      </c>
      <c r="F127" s="3">
        <v>64968</v>
      </c>
      <c r="G127" s="3">
        <v>54399</v>
      </c>
    </row>
    <row r="128" spans="1:7" x14ac:dyDescent="0.25">
      <c r="B128" s="3">
        <v>29049</v>
      </c>
      <c r="C128" s="3">
        <v>26916</v>
      </c>
      <c r="D128" s="3">
        <v>36704</v>
      </c>
      <c r="E128" s="3">
        <v>18217</v>
      </c>
      <c r="F128" s="3">
        <v>5416</v>
      </c>
      <c r="G128" s="3">
        <v>-401</v>
      </c>
    </row>
    <row r="129" spans="1:7" x14ac:dyDescent="0.25">
      <c r="A129" t="s">
        <v>85</v>
      </c>
      <c r="B129" s="3">
        <v>11286</v>
      </c>
      <c r="C129" s="3">
        <v>12796</v>
      </c>
      <c r="D129" s="3">
        <v>9281</v>
      </c>
      <c r="E129" s="3">
        <v>4245</v>
      </c>
      <c r="F129" s="3"/>
      <c r="G129" s="3"/>
    </row>
    <row r="130" spans="1:7" x14ac:dyDescent="0.25">
      <c r="B130" s="3">
        <v>84147</v>
      </c>
      <c r="C130" s="3">
        <v>82474</v>
      </c>
      <c r="D130" s="3">
        <v>83949</v>
      </c>
      <c r="E130" s="3">
        <v>70571</v>
      </c>
      <c r="F130" s="3">
        <v>71381</v>
      </c>
      <c r="G130" s="3">
        <v>72192</v>
      </c>
    </row>
    <row r="131" spans="1:7" x14ac:dyDescent="0.25">
      <c r="B131" s="3">
        <v>55908</v>
      </c>
      <c r="C131" s="3">
        <v>61754</v>
      </c>
      <c r="D131" s="3">
        <v>57711</v>
      </c>
      <c r="E131" s="3">
        <v>48114</v>
      </c>
      <c r="F131" s="3">
        <v>52095</v>
      </c>
      <c r="G131" s="3">
        <v>56077</v>
      </c>
    </row>
    <row r="132" spans="1:7" x14ac:dyDescent="0.25">
      <c r="B132" s="3">
        <v>28239</v>
      </c>
      <c r="C132" s="3">
        <v>20720</v>
      </c>
      <c r="D132" s="3">
        <v>26238</v>
      </c>
      <c r="E132" s="3">
        <v>22457</v>
      </c>
      <c r="F132" s="3">
        <v>19286</v>
      </c>
      <c r="G132" s="3">
        <v>16115</v>
      </c>
    </row>
    <row r="133" spans="1:7" x14ac:dyDescent="0.25">
      <c r="A133" t="s">
        <v>86</v>
      </c>
      <c r="B133" s="3">
        <v>30105</v>
      </c>
      <c r="C133" s="3">
        <v>31323</v>
      </c>
      <c r="D133" s="3">
        <v>27262</v>
      </c>
      <c r="F133" s="3"/>
      <c r="G133" s="3"/>
    </row>
    <row r="134" spans="1:7" x14ac:dyDescent="0.25">
      <c r="B134" s="3">
        <v>137674</v>
      </c>
      <c r="C134" s="3">
        <v>147275</v>
      </c>
      <c r="D134" s="3">
        <v>147697</v>
      </c>
      <c r="E134" s="3">
        <v>121461</v>
      </c>
      <c r="F134" s="3"/>
      <c r="G134" s="3"/>
    </row>
    <row r="135" spans="1:7" x14ac:dyDescent="0.25">
      <c r="B135" s="3">
        <v>91418</v>
      </c>
      <c r="C135" s="3">
        <v>92785</v>
      </c>
      <c r="D135" s="3">
        <v>84641</v>
      </c>
      <c r="E135" s="3">
        <v>90546</v>
      </c>
      <c r="F135" s="3"/>
      <c r="G135" s="3"/>
    </row>
    <row r="136" spans="1:7" x14ac:dyDescent="0.25">
      <c r="B136" s="3">
        <v>46256</v>
      </c>
      <c r="C136" s="3">
        <v>54490</v>
      </c>
      <c r="D136" s="3">
        <v>63056</v>
      </c>
      <c r="E136" s="3">
        <v>30915</v>
      </c>
      <c r="F136" s="3"/>
      <c r="G136" s="3"/>
    </row>
    <row r="137" spans="1:7" x14ac:dyDescent="0.25">
      <c r="A137" t="s">
        <v>91</v>
      </c>
      <c r="B137" s="3">
        <v>9036</v>
      </c>
      <c r="C137" s="3">
        <v>10799</v>
      </c>
      <c r="D137" s="3">
        <v>9063</v>
      </c>
      <c r="E137" s="3">
        <v>3967</v>
      </c>
      <c r="F137" s="3">
        <v>3205</v>
      </c>
      <c r="G137" s="3">
        <v>4579</v>
      </c>
    </row>
    <row r="138" spans="1:7" x14ac:dyDescent="0.25">
      <c r="B138" s="3">
        <v>49543</v>
      </c>
      <c r="C138" s="3">
        <v>51145</v>
      </c>
      <c r="D138" s="3">
        <v>53325</v>
      </c>
      <c r="E138" s="3">
        <v>45608</v>
      </c>
      <c r="F138" s="3">
        <v>36626</v>
      </c>
      <c r="G138" s="3">
        <v>30097</v>
      </c>
    </row>
    <row r="139" spans="1:7" x14ac:dyDescent="0.25">
      <c r="B139" s="3">
        <v>34775</v>
      </c>
      <c r="C139" s="3">
        <v>38094</v>
      </c>
      <c r="D139" s="3">
        <v>34493</v>
      </c>
      <c r="E139" s="3">
        <v>31018</v>
      </c>
      <c r="F139" s="3">
        <v>32417</v>
      </c>
      <c r="G139" s="3">
        <v>36754</v>
      </c>
    </row>
    <row r="140" spans="1:7" x14ac:dyDescent="0.25">
      <c r="B140" s="3">
        <v>14768</v>
      </c>
      <c r="C140" s="3">
        <v>13051</v>
      </c>
      <c r="D140" s="3">
        <v>18832</v>
      </c>
      <c r="E140" s="3">
        <v>14590</v>
      </c>
      <c r="F140" s="3">
        <v>4209</v>
      </c>
      <c r="G140" s="3">
        <v>-6657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777F6B-4715-4019-BDD6-5F07600ED5CB}">
  <dimension ref="A1:R133"/>
  <sheetViews>
    <sheetView topLeftCell="A86" workbookViewId="0">
      <selection activeCell="D124" sqref="D124"/>
    </sheetView>
  </sheetViews>
  <sheetFormatPr defaultRowHeight="15" x14ac:dyDescent="0.25"/>
  <cols>
    <col min="1" max="1" width="20.5703125" customWidth="1"/>
    <col min="7" max="7" width="11.5703125" customWidth="1"/>
    <col min="9" max="9" width="11.42578125" customWidth="1"/>
    <col min="10" max="11" width="11.5703125" customWidth="1"/>
  </cols>
  <sheetData>
    <row r="1" spans="1:11" ht="18.75" x14ac:dyDescent="0.3">
      <c r="A1" s="6" t="s">
        <v>102</v>
      </c>
    </row>
    <row r="3" spans="1:11" x14ac:dyDescent="0.25">
      <c r="A3" s="20" t="s">
        <v>101</v>
      </c>
      <c r="B3" s="20">
        <v>1912</v>
      </c>
      <c r="C3" s="20">
        <v>1913</v>
      </c>
      <c r="D3" s="20">
        <v>1914</v>
      </c>
      <c r="E3" s="20">
        <v>1915</v>
      </c>
      <c r="F3" s="20">
        <v>1916</v>
      </c>
      <c r="G3" s="20">
        <v>1917</v>
      </c>
      <c r="I3" t="s">
        <v>130</v>
      </c>
      <c r="J3" t="s">
        <v>129</v>
      </c>
      <c r="K3" t="s">
        <v>131</v>
      </c>
    </row>
    <row r="4" spans="1:11" x14ac:dyDescent="0.25">
      <c r="A4" t="s">
        <v>91</v>
      </c>
      <c r="B4" s="3">
        <v>49543</v>
      </c>
      <c r="C4" s="3">
        <v>51145</v>
      </c>
      <c r="D4" s="3">
        <v>53325</v>
      </c>
      <c r="E4" s="3">
        <v>45608</v>
      </c>
      <c r="F4" s="3">
        <v>36626</v>
      </c>
      <c r="G4" s="3">
        <v>30097</v>
      </c>
      <c r="I4" s="2">
        <f>E4/C4*100</f>
        <v>89.173917293968131</v>
      </c>
      <c r="J4" s="2">
        <f>F4/C4*100</f>
        <v>71.612083292599465</v>
      </c>
      <c r="K4" s="2">
        <f>G4/C4*100</f>
        <v>58.846417049564955</v>
      </c>
    </row>
    <row r="5" spans="1:11" x14ac:dyDescent="0.25">
      <c r="A5" t="s">
        <v>55</v>
      </c>
      <c r="B5" s="3">
        <v>69276</v>
      </c>
      <c r="C5" s="3">
        <v>68354</v>
      </c>
      <c r="D5" s="3">
        <v>69704</v>
      </c>
      <c r="E5" s="3">
        <v>61575</v>
      </c>
      <c r="F5" s="3">
        <v>42218</v>
      </c>
      <c r="G5" s="3">
        <v>30446</v>
      </c>
      <c r="I5" s="2">
        <f t="shared" ref="I5:I33" si="0">E5/C5*100</f>
        <v>90.082511630628787</v>
      </c>
      <c r="J5" s="2">
        <f t="shared" ref="J5:J21" si="1">F5/C5*100</f>
        <v>61.763759253299</v>
      </c>
      <c r="K5" s="2">
        <f t="shared" ref="K5:K12" si="2">G5/C5*100</f>
        <v>44.541650817801447</v>
      </c>
    </row>
    <row r="6" spans="1:11" x14ac:dyDescent="0.25">
      <c r="A6" t="s">
        <v>66</v>
      </c>
      <c r="B6" s="3">
        <v>95763</v>
      </c>
      <c r="C6" s="3">
        <v>94474</v>
      </c>
      <c r="D6" s="3">
        <v>96923</v>
      </c>
      <c r="E6" s="3">
        <v>80210</v>
      </c>
      <c r="F6" s="3">
        <v>56918</v>
      </c>
      <c r="G6" s="3">
        <v>34144</v>
      </c>
      <c r="I6" s="2">
        <f t="shared" si="0"/>
        <v>84.901666066854375</v>
      </c>
      <c r="J6" s="2">
        <f t="shared" si="1"/>
        <v>60.247263797446912</v>
      </c>
      <c r="K6" s="2">
        <f t="shared" si="2"/>
        <v>36.141160530939729</v>
      </c>
    </row>
    <row r="7" spans="1:11" x14ac:dyDescent="0.25">
      <c r="A7" t="s">
        <v>65</v>
      </c>
      <c r="B7" s="3">
        <v>54831</v>
      </c>
      <c r="C7" s="3">
        <v>54649</v>
      </c>
      <c r="D7" s="3">
        <v>54373</v>
      </c>
      <c r="E7" s="3">
        <v>49738</v>
      </c>
      <c r="F7" s="3">
        <v>37375</v>
      </c>
      <c r="G7" s="3">
        <v>36284</v>
      </c>
      <c r="I7" s="2">
        <f t="shared" si="0"/>
        <v>91.013559260004769</v>
      </c>
      <c r="J7" s="2">
        <f t="shared" si="1"/>
        <v>68.391004409961752</v>
      </c>
      <c r="K7" s="2">
        <f t="shared" si="2"/>
        <v>66.394627532068299</v>
      </c>
    </row>
    <row r="8" spans="1:11" x14ac:dyDescent="0.25">
      <c r="A8" t="s">
        <v>46</v>
      </c>
      <c r="B8" s="3">
        <v>84963</v>
      </c>
      <c r="C8" s="3">
        <v>90305</v>
      </c>
      <c r="D8" s="3">
        <v>89028</v>
      </c>
      <c r="E8" s="3">
        <v>79192</v>
      </c>
      <c r="F8" s="3">
        <v>59541</v>
      </c>
      <c r="G8" s="3">
        <v>37793</v>
      </c>
      <c r="I8" s="2">
        <f t="shared" si="0"/>
        <v>87.693926139194957</v>
      </c>
      <c r="J8" s="2">
        <f t="shared" si="1"/>
        <v>65.933226288688331</v>
      </c>
      <c r="K8" s="2">
        <f t="shared" si="2"/>
        <v>41.85039588062677</v>
      </c>
    </row>
    <row r="9" spans="1:11" x14ac:dyDescent="0.25">
      <c r="A9" t="s">
        <v>75</v>
      </c>
      <c r="B9" s="3">
        <v>56099</v>
      </c>
      <c r="C9" s="3">
        <v>56155</v>
      </c>
      <c r="D9" s="3">
        <v>55460</v>
      </c>
      <c r="E9" s="3">
        <v>51956</v>
      </c>
      <c r="F9" s="3">
        <v>46188</v>
      </c>
      <c r="G9" s="3">
        <v>43109</v>
      </c>
      <c r="I9" s="2">
        <f t="shared" si="0"/>
        <v>92.5224824147449</v>
      </c>
      <c r="J9" s="2">
        <f t="shared" si="1"/>
        <v>82.250912652479741</v>
      </c>
      <c r="K9" s="2">
        <f t="shared" si="2"/>
        <v>76.767874632713031</v>
      </c>
    </row>
    <row r="10" spans="1:11" x14ac:dyDescent="0.25">
      <c r="A10" t="s">
        <v>73</v>
      </c>
      <c r="B10" s="3">
        <v>84196</v>
      </c>
      <c r="C10" s="3">
        <v>93589</v>
      </c>
      <c r="D10" s="3">
        <v>98337</v>
      </c>
      <c r="E10" s="3">
        <v>77407</v>
      </c>
      <c r="F10" s="3">
        <v>70384</v>
      </c>
      <c r="G10" s="3">
        <v>53998</v>
      </c>
      <c r="I10" s="2">
        <f t="shared" si="0"/>
        <v>82.709506459092424</v>
      </c>
      <c r="J10" s="2">
        <f t="shared" si="1"/>
        <v>75.205419440318849</v>
      </c>
      <c r="K10" s="2">
        <f t="shared" si="2"/>
        <v>57.696951564820651</v>
      </c>
    </row>
    <row r="11" spans="1:11" x14ac:dyDescent="0.25">
      <c r="A11" t="s">
        <v>81</v>
      </c>
      <c r="B11" s="3">
        <v>150477</v>
      </c>
      <c r="C11" s="3">
        <v>151661</v>
      </c>
      <c r="D11" s="3">
        <v>156818</v>
      </c>
      <c r="E11" s="3">
        <v>139176</v>
      </c>
      <c r="F11" s="3">
        <v>90943</v>
      </c>
      <c r="G11" s="3">
        <v>62306</v>
      </c>
      <c r="I11" s="2">
        <f t="shared" si="0"/>
        <v>91.767824292336201</v>
      </c>
      <c r="J11" s="2">
        <f t="shared" si="1"/>
        <v>59.964658020189766</v>
      </c>
      <c r="K11" s="2">
        <f t="shared" si="2"/>
        <v>41.082414068217929</v>
      </c>
    </row>
    <row r="12" spans="1:11" x14ac:dyDescent="0.25">
      <c r="A12" t="s">
        <v>85</v>
      </c>
      <c r="B12" s="3">
        <v>84147</v>
      </c>
      <c r="C12" s="3">
        <v>82474</v>
      </c>
      <c r="D12" s="3">
        <v>83949</v>
      </c>
      <c r="E12" s="3">
        <v>70571</v>
      </c>
      <c r="F12" s="3">
        <v>71381</v>
      </c>
      <c r="G12" s="3">
        <v>72192</v>
      </c>
      <c r="I12" s="2">
        <f t="shared" si="0"/>
        <v>85.567572810825226</v>
      </c>
      <c r="J12" s="2">
        <f t="shared" si="1"/>
        <v>86.549700511676406</v>
      </c>
      <c r="K12" s="2">
        <f t="shared" si="2"/>
        <v>87.533040715861972</v>
      </c>
    </row>
    <row r="13" spans="1:11" x14ac:dyDescent="0.25">
      <c r="A13" t="s">
        <v>41</v>
      </c>
      <c r="B13" s="3">
        <v>20220</v>
      </c>
      <c r="C13" s="3">
        <v>20694</v>
      </c>
      <c r="D13" s="3">
        <v>20696</v>
      </c>
      <c r="E13" s="3">
        <v>18439</v>
      </c>
      <c r="F13" s="3">
        <v>15749</v>
      </c>
      <c r="G13" s="3"/>
      <c r="I13" s="2">
        <f t="shared" si="0"/>
        <v>89.10312167778099</v>
      </c>
      <c r="J13" s="2">
        <f t="shared" si="1"/>
        <v>76.104184787861215</v>
      </c>
    </row>
    <row r="14" spans="1:11" x14ac:dyDescent="0.25">
      <c r="A14" t="s">
        <v>78</v>
      </c>
      <c r="B14" s="3">
        <v>56272</v>
      </c>
      <c r="C14" s="3">
        <v>56921</v>
      </c>
      <c r="D14" s="3">
        <v>57976</v>
      </c>
      <c r="E14" s="3">
        <v>48441</v>
      </c>
      <c r="F14" s="3">
        <v>40697</v>
      </c>
      <c r="G14" s="3"/>
      <c r="I14" s="2">
        <f t="shared" si="0"/>
        <v>85.102159132833222</v>
      </c>
      <c r="J14" s="2">
        <f t="shared" si="1"/>
        <v>71.497338416401675</v>
      </c>
    </row>
    <row r="15" spans="1:11" x14ac:dyDescent="0.25">
      <c r="A15" t="s">
        <v>67</v>
      </c>
      <c r="B15" s="3">
        <v>68794</v>
      </c>
      <c r="C15" s="3">
        <v>70780</v>
      </c>
      <c r="D15" s="3">
        <v>74673</v>
      </c>
      <c r="E15" s="3">
        <v>61757</v>
      </c>
      <c r="F15" s="3">
        <v>49022</v>
      </c>
      <c r="G15" s="3"/>
      <c r="I15" s="2">
        <f t="shared" si="0"/>
        <v>87.252048601299805</v>
      </c>
      <c r="J15" s="2">
        <f t="shared" si="1"/>
        <v>69.259677875105965</v>
      </c>
    </row>
    <row r="16" spans="1:11" x14ac:dyDescent="0.25">
      <c r="A16" t="s">
        <v>64</v>
      </c>
      <c r="B16" s="3">
        <v>81101</v>
      </c>
      <c r="C16" s="3">
        <v>79333</v>
      </c>
      <c r="D16" s="3">
        <v>81710</v>
      </c>
      <c r="E16" s="3">
        <v>69324</v>
      </c>
      <c r="F16" s="3">
        <v>55901</v>
      </c>
      <c r="G16" s="3"/>
      <c r="I16" s="2">
        <f t="shared" si="0"/>
        <v>87.383560435127876</v>
      </c>
      <c r="J16" s="2">
        <f t="shared" si="1"/>
        <v>70.463741444291784</v>
      </c>
    </row>
    <row r="17" spans="1:18" x14ac:dyDescent="0.25">
      <c r="A17" t="s">
        <v>79</v>
      </c>
      <c r="B17" s="3">
        <v>106229</v>
      </c>
      <c r="C17" s="3">
        <v>109780</v>
      </c>
      <c r="D17" s="3">
        <v>110140</v>
      </c>
      <c r="E17" s="3">
        <v>92004</v>
      </c>
      <c r="F17" s="3">
        <v>69039</v>
      </c>
      <c r="G17" s="3"/>
      <c r="I17" s="2">
        <f t="shared" si="0"/>
        <v>83.807615230460925</v>
      </c>
      <c r="J17" s="2">
        <f t="shared" si="1"/>
        <v>62.888504281289848</v>
      </c>
    </row>
    <row r="18" spans="1:18" x14ac:dyDescent="0.25">
      <c r="A18" t="s">
        <v>69</v>
      </c>
      <c r="B18" s="3">
        <v>121291</v>
      </c>
      <c r="C18" s="3">
        <v>119071</v>
      </c>
      <c r="D18" s="3">
        <v>114874</v>
      </c>
      <c r="E18" s="3">
        <v>97515</v>
      </c>
      <c r="F18" s="3">
        <v>75411</v>
      </c>
      <c r="G18" s="3"/>
      <c r="I18" s="2">
        <f t="shared" si="0"/>
        <v>81.896515524351017</v>
      </c>
      <c r="J18" s="2">
        <f t="shared" si="1"/>
        <v>63.332801437797613</v>
      </c>
    </row>
    <row r="19" spans="1:18" x14ac:dyDescent="0.25">
      <c r="A19" t="s">
        <v>52</v>
      </c>
      <c r="B19" s="3">
        <v>174732</v>
      </c>
      <c r="C19" s="3">
        <v>172187</v>
      </c>
      <c r="D19" s="3">
        <v>174809</v>
      </c>
      <c r="E19" s="3">
        <v>154072</v>
      </c>
      <c r="F19" s="3">
        <v>104927</v>
      </c>
      <c r="G19" s="3"/>
      <c r="I19" s="2">
        <f t="shared" si="0"/>
        <v>89.479461283372146</v>
      </c>
      <c r="J19" s="2">
        <f t="shared" si="1"/>
        <v>60.937817605277978</v>
      </c>
    </row>
    <row r="20" spans="1:18" x14ac:dyDescent="0.25">
      <c r="A20" t="s">
        <v>80</v>
      </c>
      <c r="B20" s="3">
        <v>197355</v>
      </c>
      <c r="C20" s="3">
        <v>203545</v>
      </c>
      <c r="D20" s="3">
        <v>213734</v>
      </c>
      <c r="E20" s="3">
        <v>183292</v>
      </c>
      <c r="F20" s="3">
        <v>115876</v>
      </c>
      <c r="G20" s="3"/>
      <c r="I20" s="2">
        <f t="shared" si="0"/>
        <v>90.049866122970343</v>
      </c>
      <c r="J20" s="2">
        <f t="shared" si="1"/>
        <v>56.9289346336191</v>
      </c>
    </row>
    <row r="21" spans="1:18" x14ac:dyDescent="0.25">
      <c r="A21" t="s">
        <v>48</v>
      </c>
      <c r="B21" s="3">
        <v>176717</v>
      </c>
      <c r="C21" s="3">
        <v>175310</v>
      </c>
      <c r="D21" s="3">
        <v>179175</v>
      </c>
      <c r="E21" s="3">
        <v>153298</v>
      </c>
      <c r="F21" s="3">
        <v>116108</v>
      </c>
      <c r="G21" s="3"/>
      <c r="I21" s="2">
        <f t="shared" si="0"/>
        <v>87.443956420055898</v>
      </c>
      <c r="J21" s="2">
        <f t="shared" si="1"/>
        <v>66.230106668187787</v>
      </c>
    </row>
    <row r="22" spans="1:18" x14ac:dyDescent="0.25">
      <c r="A22" t="s">
        <v>42</v>
      </c>
      <c r="B22" s="3">
        <v>48755</v>
      </c>
      <c r="C22" s="3">
        <v>50086</v>
      </c>
      <c r="D22" s="3">
        <v>52352</v>
      </c>
      <c r="E22" s="3">
        <v>43931</v>
      </c>
      <c r="F22" s="3"/>
      <c r="G22" s="3"/>
      <c r="I22" s="2">
        <f t="shared" si="0"/>
        <v>87.711136844627248</v>
      </c>
      <c r="J22" s="2"/>
    </row>
    <row r="23" spans="1:18" x14ac:dyDescent="0.25">
      <c r="A23" t="s">
        <v>68</v>
      </c>
      <c r="B23" s="3">
        <v>20725</v>
      </c>
      <c r="C23" s="3">
        <v>20638</v>
      </c>
      <c r="D23" s="3">
        <v>22794</v>
      </c>
      <c r="E23" s="3">
        <v>18049</v>
      </c>
      <c r="F23" s="3"/>
      <c r="G23" s="3"/>
      <c r="I23" s="2">
        <f t="shared" si="0"/>
        <v>87.455179765481148</v>
      </c>
      <c r="J23" s="2"/>
    </row>
    <row r="24" spans="1:18" x14ac:dyDescent="0.25">
      <c r="A24" t="s">
        <v>51</v>
      </c>
      <c r="B24" s="3">
        <v>75606</v>
      </c>
      <c r="C24" s="3">
        <v>77732</v>
      </c>
      <c r="D24" s="3">
        <v>80204</v>
      </c>
      <c r="E24" s="3">
        <v>63389</v>
      </c>
      <c r="F24" s="3"/>
      <c r="G24" s="3"/>
      <c r="I24" s="2">
        <f t="shared" si="0"/>
        <v>81.548139762260078</v>
      </c>
      <c r="J24" s="2"/>
    </row>
    <row r="25" spans="1:18" x14ac:dyDescent="0.25">
      <c r="A25" t="s">
        <v>58</v>
      </c>
      <c r="B25" s="3">
        <v>76670</v>
      </c>
      <c r="C25" s="3">
        <v>80394</v>
      </c>
      <c r="D25" s="3">
        <v>84144</v>
      </c>
      <c r="E25" s="3">
        <v>70008</v>
      </c>
      <c r="F25" s="3"/>
      <c r="G25" s="3"/>
      <c r="I25" s="2">
        <f t="shared" si="0"/>
        <v>87.081125457123662</v>
      </c>
      <c r="J25" s="2"/>
    </row>
    <row r="26" spans="1:18" x14ac:dyDescent="0.25">
      <c r="A26" t="s">
        <v>70</v>
      </c>
      <c r="B26" s="3">
        <v>96963</v>
      </c>
      <c r="C26" s="3">
        <v>96895</v>
      </c>
      <c r="D26" s="3">
        <v>93557</v>
      </c>
      <c r="E26" s="3">
        <v>81039</v>
      </c>
      <c r="F26" s="3"/>
      <c r="G26" s="3"/>
      <c r="I26" s="2">
        <f t="shared" si="0"/>
        <v>83.635894525001291</v>
      </c>
      <c r="J26" s="2"/>
    </row>
    <row r="27" spans="1:18" x14ac:dyDescent="0.25">
      <c r="A27" t="s">
        <v>82</v>
      </c>
      <c r="B27" s="3">
        <v>94605</v>
      </c>
      <c r="C27" s="3">
        <v>100861</v>
      </c>
      <c r="D27" s="3">
        <v>98843</v>
      </c>
      <c r="E27" s="3">
        <v>84276</v>
      </c>
      <c r="F27" s="3"/>
      <c r="G27" s="3"/>
      <c r="I27" s="2">
        <f t="shared" si="0"/>
        <v>83.556577864585918</v>
      </c>
      <c r="J27" s="2"/>
    </row>
    <row r="28" spans="1:18" x14ac:dyDescent="0.25">
      <c r="A28" t="s">
        <v>54</v>
      </c>
      <c r="B28" s="3">
        <v>123200</v>
      </c>
      <c r="C28" s="3">
        <v>125067</v>
      </c>
      <c r="D28" s="3">
        <v>126363</v>
      </c>
      <c r="E28" s="3">
        <v>108493</v>
      </c>
      <c r="F28" s="3"/>
      <c r="G28" s="3"/>
      <c r="I28" s="2">
        <f t="shared" si="0"/>
        <v>86.747903123925568</v>
      </c>
      <c r="J28" s="2"/>
    </row>
    <row r="29" spans="1:18" x14ac:dyDescent="0.25">
      <c r="A29" t="s">
        <v>86</v>
      </c>
      <c r="B29" s="3">
        <v>137674</v>
      </c>
      <c r="C29" s="3">
        <v>147275</v>
      </c>
      <c r="D29" s="3">
        <v>147697</v>
      </c>
      <c r="E29" s="3">
        <v>121461</v>
      </c>
      <c r="F29" s="3"/>
      <c r="G29" s="3"/>
      <c r="I29" s="2">
        <f t="shared" si="0"/>
        <v>82.472245798675942</v>
      </c>
      <c r="J29" s="2"/>
    </row>
    <row r="30" spans="1:18" x14ac:dyDescent="0.25">
      <c r="A30" t="s">
        <v>60</v>
      </c>
      <c r="B30" s="3">
        <v>145050</v>
      </c>
      <c r="C30" s="3">
        <v>144236</v>
      </c>
      <c r="D30" s="3">
        <v>138965</v>
      </c>
      <c r="E30" s="3">
        <v>125864</v>
      </c>
      <c r="F30" s="3"/>
      <c r="G30" s="3"/>
      <c r="I30" s="2">
        <f t="shared" si="0"/>
        <v>87.262541945145458</v>
      </c>
      <c r="J30" s="2"/>
    </row>
    <row r="31" spans="1:18" x14ac:dyDescent="0.25">
      <c r="A31" t="s">
        <v>72</v>
      </c>
      <c r="B31" s="3">
        <v>169439</v>
      </c>
      <c r="C31" s="3">
        <v>170846</v>
      </c>
      <c r="D31" s="3">
        <v>172847</v>
      </c>
      <c r="E31" s="3">
        <v>141295</v>
      </c>
      <c r="F31" s="3"/>
      <c r="G31" s="3"/>
      <c r="I31" s="2">
        <f t="shared" si="0"/>
        <v>82.703136157709281</v>
      </c>
      <c r="J31" s="2"/>
      <c r="M31" t="s">
        <v>136</v>
      </c>
      <c r="R31" s="2">
        <f>AVERAGE(I4:I21)</f>
        <v>87.608403933105663</v>
      </c>
    </row>
    <row r="32" spans="1:18" x14ac:dyDescent="0.25">
      <c r="A32" t="s">
        <v>49</v>
      </c>
      <c r="B32" s="3">
        <v>188286</v>
      </c>
      <c r="C32" s="3">
        <v>188367</v>
      </c>
      <c r="D32" s="3">
        <v>190574</v>
      </c>
      <c r="E32" s="3">
        <v>160915</v>
      </c>
      <c r="F32" s="3"/>
      <c r="G32" s="3"/>
      <c r="I32" s="2">
        <f t="shared" si="0"/>
        <v>85.426322020311417</v>
      </c>
      <c r="J32" s="2"/>
      <c r="M32" t="s">
        <v>137</v>
      </c>
      <c r="R32" s="2">
        <f>AVERAGE(I22:I33)</f>
        <v>85.85885177465623</v>
      </c>
    </row>
    <row r="33" spans="1:18" x14ac:dyDescent="0.25">
      <c r="A33" t="s">
        <v>71</v>
      </c>
      <c r="B33" s="3">
        <v>205475</v>
      </c>
      <c r="C33" s="3">
        <v>199434</v>
      </c>
      <c r="D33" s="3">
        <v>202078</v>
      </c>
      <c r="E33" s="3">
        <v>188876</v>
      </c>
      <c r="F33" s="3"/>
      <c r="G33" s="3"/>
      <c r="I33" s="2">
        <f t="shared" si="0"/>
        <v>94.70601803102781</v>
      </c>
      <c r="J33" s="2"/>
    </row>
    <row r="34" spans="1:18" x14ac:dyDescent="0.25">
      <c r="A34" t="s">
        <v>100</v>
      </c>
      <c r="B34" s="3">
        <v>113025</v>
      </c>
      <c r="C34" s="3">
        <v>120509</v>
      </c>
      <c r="D34" s="3">
        <v>119297</v>
      </c>
      <c r="E34" s="3"/>
      <c r="F34" s="3"/>
      <c r="G34" s="3"/>
      <c r="M34" t="s">
        <v>134</v>
      </c>
      <c r="R34" s="2">
        <f>AVERAGE(J4:J12)</f>
        <v>70.213114185184466</v>
      </c>
    </row>
    <row r="35" spans="1:18" x14ac:dyDescent="0.25">
      <c r="A35" t="s">
        <v>74</v>
      </c>
      <c r="B35" s="3">
        <v>36906</v>
      </c>
      <c r="C35" s="3">
        <v>37354</v>
      </c>
      <c r="D35" s="3">
        <v>35638</v>
      </c>
      <c r="E35" s="3"/>
      <c r="F35" s="3"/>
      <c r="G35" s="3"/>
      <c r="M35" t="s">
        <v>135</v>
      </c>
      <c r="R35" s="2">
        <f>AVERAGE(J13:J21)</f>
        <v>66.404789683314775</v>
      </c>
    </row>
    <row r="36" spans="1:18" x14ac:dyDescent="0.25">
      <c r="A36" t="s">
        <v>83</v>
      </c>
      <c r="B36" s="3">
        <v>91056</v>
      </c>
      <c r="C36" s="3">
        <v>96601</v>
      </c>
      <c r="D36" s="3">
        <v>95631</v>
      </c>
      <c r="E36" s="3"/>
      <c r="F36" s="3"/>
      <c r="G36" s="3"/>
    </row>
    <row r="38" spans="1:18" x14ac:dyDescent="0.25">
      <c r="A38" s="22" t="s">
        <v>128</v>
      </c>
      <c r="M38" t="s">
        <v>132</v>
      </c>
      <c r="R38" s="2">
        <f>AVERAGE(I4:I12)</f>
        <v>88.381440707516646</v>
      </c>
    </row>
    <row r="39" spans="1:18" x14ac:dyDescent="0.25">
      <c r="M39" t="s">
        <v>133</v>
      </c>
      <c r="R39" s="2">
        <f>AVERAGE(I13:I33)</f>
        <v>86.277358367815552</v>
      </c>
    </row>
    <row r="40" spans="1:18" x14ac:dyDescent="0.25">
      <c r="A40" s="23" t="s">
        <v>3</v>
      </c>
      <c r="B40" s="20" t="s">
        <v>103</v>
      </c>
      <c r="C40" s="20" t="s">
        <v>104</v>
      </c>
      <c r="D40" s="20" t="s">
        <v>105</v>
      </c>
      <c r="F40" s="20" t="s">
        <v>106</v>
      </c>
    </row>
    <row r="41" spans="1:18" x14ac:dyDescent="0.25">
      <c r="A41">
        <v>1914</v>
      </c>
      <c r="B41" s="3">
        <f>SUM(D4:D36)</f>
        <v>3446688</v>
      </c>
      <c r="C41" s="3">
        <f>SUM(C4:C36)</f>
        <v>3406722</v>
      </c>
      <c r="D41" s="2">
        <f>B41/C41*100</f>
        <v>101.17315119930537</v>
      </c>
      <c r="F41" s="2">
        <f>D41*48.8/100</f>
        <v>49.372497785261011</v>
      </c>
    </row>
    <row r="42" spans="1:18" x14ac:dyDescent="0.25">
      <c r="A42">
        <v>1915</v>
      </c>
      <c r="B42" s="3">
        <f>SUM(E4:E33)</f>
        <v>2741171</v>
      </c>
      <c r="C42" s="3">
        <f>SUM(C4:C33)</f>
        <v>3152258</v>
      </c>
      <c r="D42" s="2">
        <f t="shared" ref="D42:D44" si="3">B42/C42*100</f>
        <v>86.958967191137276</v>
      </c>
      <c r="F42" s="2">
        <f t="shared" ref="F42:F44" si="4">D42*48.8/100</f>
        <v>42.435975989274986</v>
      </c>
    </row>
    <row r="43" spans="1:18" x14ac:dyDescent="0.25">
      <c r="A43">
        <v>1916</v>
      </c>
      <c r="B43" s="3">
        <f>SUM(F4:F21)</f>
        <v>1154304</v>
      </c>
      <c r="C43" s="3">
        <f>SUM(C4:C21)</f>
        <v>1750427</v>
      </c>
      <c r="D43" s="2">
        <f t="shared" si="3"/>
        <v>65.944138201707361</v>
      </c>
      <c r="F43" s="2">
        <f t="shared" si="4"/>
        <v>32.180739442433193</v>
      </c>
    </row>
    <row r="44" spans="1:18" x14ac:dyDescent="0.25">
      <c r="A44">
        <v>1917</v>
      </c>
      <c r="B44" s="3">
        <f>SUM(G4:G12)</f>
        <v>400369</v>
      </c>
      <c r="C44" s="3">
        <f>SUM(C4:C12)</f>
        <v>742806</v>
      </c>
      <c r="D44" s="2">
        <f t="shared" si="3"/>
        <v>53.899537698941579</v>
      </c>
      <c r="F44" s="2">
        <f t="shared" si="4"/>
        <v>26.302974397083489</v>
      </c>
    </row>
    <row r="46" spans="1:18" x14ac:dyDescent="0.25">
      <c r="A46" s="22" t="s">
        <v>119</v>
      </c>
    </row>
    <row r="48" spans="1:18" x14ac:dyDescent="0.25">
      <c r="A48" s="23" t="s">
        <v>3</v>
      </c>
      <c r="B48" s="20" t="s">
        <v>103</v>
      </c>
      <c r="C48" s="20" t="s">
        <v>105</v>
      </c>
    </row>
    <row r="49" spans="1:4" x14ac:dyDescent="0.25">
      <c r="A49" s="32">
        <v>1913</v>
      </c>
      <c r="B49" s="3">
        <f>SUM(C4:C12)</f>
        <v>742806</v>
      </c>
      <c r="C49" s="35">
        <f>B49/B$49*100</f>
        <v>100</v>
      </c>
      <c r="D49" s="2"/>
    </row>
    <row r="50" spans="1:4" x14ac:dyDescent="0.25">
      <c r="A50">
        <v>1914</v>
      </c>
      <c r="B50" s="3">
        <f>SUM(D4:D12)</f>
        <v>757917</v>
      </c>
      <c r="C50" s="35">
        <f t="shared" ref="C50:C53" si="5">B50/B$49*100</f>
        <v>102.03431313155791</v>
      </c>
      <c r="D50" s="2"/>
    </row>
    <row r="51" spans="1:4" x14ac:dyDescent="0.25">
      <c r="A51">
        <v>1915</v>
      </c>
      <c r="B51" s="3">
        <f>SUM(E4:E12)</f>
        <v>655433</v>
      </c>
      <c r="C51" s="35">
        <f t="shared" si="5"/>
        <v>88.237440192997909</v>
      </c>
      <c r="D51" s="2"/>
    </row>
    <row r="52" spans="1:4" x14ac:dyDescent="0.25">
      <c r="A52">
        <v>1916</v>
      </c>
      <c r="B52" s="3">
        <f>SUM(F4:F12)</f>
        <v>511574</v>
      </c>
      <c r="C52" s="35">
        <f t="shared" si="5"/>
        <v>68.870472236357813</v>
      </c>
      <c r="D52" s="2"/>
    </row>
    <row r="53" spans="1:4" x14ac:dyDescent="0.25">
      <c r="A53">
        <v>1917</v>
      </c>
      <c r="B53" s="3">
        <f>SUM(G4:G12)</f>
        <v>400369</v>
      </c>
      <c r="C53" s="35">
        <f t="shared" si="5"/>
        <v>53.899537698941579</v>
      </c>
      <c r="D53" s="2"/>
    </row>
    <row r="55" spans="1:4" x14ac:dyDescent="0.25">
      <c r="A55" s="22" t="s">
        <v>118</v>
      </c>
    </row>
    <row r="57" spans="1:4" x14ac:dyDescent="0.25">
      <c r="A57" s="23" t="s">
        <v>3</v>
      </c>
      <c r="B57" s="20" t="s">
        <v>103</v>
      </c>
      <c r="C57" s="20" t="s">
        <v>105</v>
      </c>
    </row>
    <row r="58" spans="1:4" x14ac:dyDescent="0.25">
      <c r="A58" s="32">
        <v>1913</v>
      </c>
      <c r="B58" s="3">
        <f>SUM(C4:C21)</f>
        <v>1750427</v>
      </c>
      <c r="C58" s="2">
        <f>B58/B$58*100</f>
        <v>100</v>
      </c>
    </row>
    <row r="59" spans="1:4" x14ac:dyDescent="0.25">
      <c r="A59">
        <v>1914</v>
      </c>
      <c r="B59" s="3">
        <f>SUM(D4:D21)</f>
        <v>1785704</v>
      </c>
      <c r="C59" s="2">
        <f t="shared" ref="C59:C61" si="6">B59/B$58*100</f>
        <v>102.01533682924224</v>
      </c>
    </row>
    <row r="60" spans="1:4" x14ac:dyDescent="0.25">
      <c r="A60">
        <v>1915</v>
      </c>
      <c r="B60" s="3">
        <f>SUM(E4:E21)</f>
        <v>1533575</v>
      </c>
      <c r="C60" s="2">
        <f t="shared" si="6"/>
        <v>87.611479941751355</v>
      </c>
    </row>
    <row r="61" spans="1:4" x14ac:dyDescent="0.25">
      <c r="A61">
        <v>1916</v>
      </c>
      <c r="B61" s="3">
        <f>SUM(F4:F21)</f>
        <v>1154304</v>
      </c>
      <c r="C61" s="2">
        <f t="shared" si="6"/>
        <v>65.944138201707361</v>
      </c>
    </row>
    <row r="63" spans="1:4" x14ac:dyDescent="0.25">
      <c r="A63" s="22" t="s">
        <v>120</v>
      </c>
    </row>
    <row r="65" spans="1:5" x14ac:dyDescent="0.25">
      <c r="A65" s="23" t="s">
        <v>3</v>
      </c>
      <c r="B65" s="20" t="s">
        <v>103</v>
      </c>
      <c r="C65" s="20" t="s">
        <v>105</v>
      </c>
    </row>
    <row r="66" spans="1:5" x14ac:dyDescent="0.25">
      <c r="A66" s="32">
        <v>1913</v>
      </c>
      <c r="B66" s="3">
        <f>SUM(C4:C33)</f>
        <v>3152258</v>
      </c>
      <c r="C66" s="2">
        <f>B66/B$66*100</f>
        <v>100</v>
      </c>
    </row>
    <row r="67" spans="1:5" x14ac:dyDescent="0.25">
      <c r="A67">
        <v>1914</v>
      </c>
      <c r="B67" s="3">
        <f>SUM(D4:D33)</f>
        <v>3196122</v>
      </c>
      <c r="C67" s="2">
        <f t="shared" ref="C67:C68" si="7">B67/B$66*100</f>
        <v>101.39151046646562</v>
      </c>
    </row>
    <row r="68" spans="1:5" x14ac:dyDescent="0.25">
      <c r="A68">
        <v>1915</v>
      </c>
      <c r="B68" s="3">
        <f>SUM(E4:E33)</f>
        <v>2741171</v>
      </c>
      <c r="C68" s="2">
        <f t="shared" si="7"/>
        <v>86.958967191137276</v>
      </c>
    </row>
    <row r="70" spans="1:5" x14ac:dyDescent="0.25">
      <c r="A70" s="22" t="s">
        <v>121</v>
      </c>
    </row>
    <row r="72" spans="1:5" x14ac:dyDescent="0.25">
      <c r="A72" s="23" t="s">
        <v>3</v>
      </c>
      <c r="B72" s="20" t="s">
        <v>103</v>
      </c>
      <c r="C72" s="20" t="s">
        <v>105</v>
      </c>
    </row>
    <row r="73" spans="1:5" x14ac:dyDescent="0.25">
      <c r="A73" s="32">
        <v>1913</v>
      </c>
      <c r="B73" s="3">
        <f>SUM(C4:C36)</f>
        <v>3406722</v>
      </c>
      <c r="C73" s="2">
        <f>B73/B$73*100</f>
        <v>100</v>
      </c>
    </row>
    <row r="74" spans="1:5" x14ac:dyDescent="0.25">
      <c r="A74">
        <v>1914</v>
      </c>
      <c r="B74" s="3">
        <f>SUM(D4:D36)</f>
        <v>3446688</v>
      </c>
      <c r="C74" s="2">
        <f>B74/B$73*100</f>
        <v>101.17315119930537</v>
      </c>
    </row>
    <row r="76" spans="1:5" x14ac:dyDescent="0.25">
      <c r="A76" s="22" t="s">
        <v>122</v>
      </c>
    </row>
    <row r="78" spans="1:5" x14ac:dyDescent="0.25">
      <c r="A78" s="20" t="s">
        <v>123</v>
      </c>
      <c r="B78" s="20" t="s">
        <v>124</v>
      </c>
      <c r="C78" s="20" t="s">
        <v>125</v>
      </c>
      <c r="D78" s="20" t="s">
        <v>126</v>
      </c>
      <c r="E78" s="20" t="s">
        <v>127</v>
      </c>
    </row>
    <row r="79" spans="1:5" x14ac:dyDescent="0.25">
      <c r="A79" s="32">
        <v>1913</v>
      </c>
      <c r="B79" s="2">
        <v>100</v>
      </c>
      <c r="C79" s="2">
        <v>100</v>
      </c>
      <c r="D79" s="2">
        <v>100</v>
      </c>
      <c r="E79" s="35">
        <v>100</v>
      </c>
    </row>
    <row r="80" spans="1:5" x14ac:dyDescent="0.25">
      <c r="A80">
        <v>1914</v>
      </c>
      <c r="B80" s="2">
        <v>101.17315119930537</v>
      </c>
      <c r="C80" s="2">
        <v>101.39151046646562</v>
      </c>
      <c r="D80" s="2">
        <v>102.01533682924224</v>
      </c>
      <c r="E80" s="35">
        <v>102.03431313155791</v>
      </c>
    </row>
    <row r="81" spans="1:5" x14ac:dyDescent="0.25">
      <c r="A81">
        <v>1915</v>
      </c>
      <c r="C81" s="2">
        <v>86.958967191137276</v>
      </c>
      <c r="D81" s="2">
        <v>87.611479941751355</v>
      </c>
      <c r="E81" s="35">
        <v>88.237440192997909</v>
      </c>
    </row>
    <row r="82" spans="1:5" x14ac:dyDescent="0.25">
      <c r="A82">
        <v>1916</v>
      </c>
      <c r="D82" s="2">
        <v>65.944138201707361</v>
      </c>
      <c r="E82" s="35">
        <v>68.870472236357813</v>
      </c>
    </row>
    <row r="83" spans="1:5" x14ac:dyDescent="0.25">
      <c r="A83">
        <v>1917</v>
      </c>
      <c r="E83" s="35">
        <v>53.899537698941579</v>
      </c>
    </row>
    <row r="118" spans="1:11" x14ac:dyDescent="0.25">
      <c r="B118" s="48" t="s">
        <v>141</v>
      </c>
      <c r="C118" s="48"/>
      <c r="D118" s="48"/>
      <c r="G118" s="48" t="s">
        <v>142</v>
      </c>
      <c r="H118" s="48"/>
      <c r="I118" s="48"/>
      <c r="J118" s="48"/>
      <c r="K118" s="48"/>
    </row>
    <row r="119" spans="1:11" x14ac:dyDescent="0.25">
      <c r="A119" s="20" t="s">
        <v>123</v>
      </c>
      <c r="B119" t="s">
        <v>22</v>
      </c>
      <c r="C119" t="s">
        <v>140</v>
      </c>
      <c r="D119" t="s">
        <v>0</v>
      </c>
      <c r="F119" t="s">
        <v>3</v>
      </c>
      <c r="G119" t="s">
        <v>143</v>
      </c>
      <c r="H119" t="s">
        <v>144</v>
      </c>
      <c r="I119" t="s">
        <v>145</v>
      </c>
      <c r="J119" t="s">
        <v>146</v>
      </c>
      <c r="K119" t="s">
        <v>147</v>
      </c>
    </row>
    <row r="120" spans="1:11" x14ac:dyDescent="0.25">
      <c r="A120" s="32">
        <v>1913</v>
      </c>
      <c r="B120" s="2">
        <v>47</v>
      </c>
      <c r="C120" s="36">
        <v>43.7</v>
      </c>
      <c r="D120" s="2">
        <v>44.1</v>
      </c>
      <c r="F120">
        <f>A120</f>
        <v>1913</v>
      </c>
      <c r="G120" s="35">
        <v>100</v>
      </c>
      <c r="H120" s="2">
        <f>B120/B$120*100</f>
        <v>100</v>
      </c>
      <c r="I120" s="2">
        <f>C120/C$120*100</f>
        <v>100</v>
      </c>
      <c r="J120" s="2">
        <f>D120/D$120*100</f>
        <v>100</v>
      </c>
      <c r="K120" s="2">
        <v>100</v>
      </c>
    </row>
    <row r="121" spans="1:11" x14ac:dyDescent="0.25">
      <c r="A121">
        <v>1914</v>
      </c>
      <c r="B121" s="2">
        <v>46.9</v>
      </c>
      <c r="C121" s="2">
        <v>43.7</v>
      </c>
      <c r="D121" s="2">
        <v>45.4</v>
      </c>
      <c r="F121">
        <f t="shared" ref="F121:F133" si="8">A121</f>
        <v>1914</v>
      </c>
      <c r="G121" s="35">
        <v>102.03431313155791</v>
      </c>
      <c r="H121" s="2">
        <f t="shared" ref="H121:H131" si="9">B121/B$120*100</f>
        <v>99.78723404255318</v>
      </c>
      <c r="I121" s="2">
        <f t="shared" ref="I121:I131" si="10">C121/C$120*100</f>
        <v>100</v>
      </c>
      <c r="J121" s="2">
        <f t="shared" ref="J121:J133" si="11">D121/D$120*100</f>
        <v>102.94784580498866</v>
      </c>
      <c r="K121" s="2">
        <v>100</v>
      </c>
    </row>
    <row r="122" spans="1:11" x14ac:dyDescent="0.25">
      <c r="A122">
        <v>1915</v>
      </c>
      <c r="B122" s="2">
        <v>39.700000000000003</v>
      </c>
      <c r="C122" s="2">
        <v>35.9</v>
      </c>
      <c r="D122" s="2">
        <v>43.1</v>
      </c>
      <c r="F122">
        <f t="shared" si="8"/>
        <v>1915</v>
      </c>
      <c r="G122" s="35">
        <v>88.237440192997909</v>
      </c>
      <c r="H122" s="2">
        <f t="shared" si="9"/>
        <v>84.468085106382986</v>
      </c>
      <c r="I122" s="2">
        <f t="shared" si="10"/>
        <v>82.151029748283747</v>
      </c>
      <c r="J122" s="2">
        <f t="shared" si="11"/>
        <v>97.732426303854879</v>
      </c>
      <c r="K122" s="2">
        <v>89</v>
      </c>
    </row>
    <row r="123" spans="1:11" x14ac:dyDescent="0.25">
      <c r="A123">
        <v>1916</v>
      </c>
      <c r="B123" s="2">
        <v>29.9</v>
      </c>
      <c r="C123" s="2">
        <v>27.1</v>
      </c>
      <c r="D123" s="2">
        <v>37.4</v>
      </c>
      <c r="F123">
        <f t="shared" si="8"/>
        <v>1916</v>
      </c>
      <c r="G123" s="35">
        <v>68.870472236357813</v>
      </c>
      <c r="H123" s="2">
        <f t="shared" si="9"/>
        <v>63.617021276595743</v>
      </c>
      <c r="I123" s="2">
        <f t="shared" si="10"/>
        <v>62.013729977116704</v>
      </c>
      <c r="J123" s="2">
        <f t="shared" si="11"/>
        <v>84.807256235827651</v>
      </c>
      <c r="K123" s="2">
        <v>76</v>
      </c>
    </row>
    <row r="124" spans="1:11" x14ac:dyDescent="0.25">
      <c r="A124">
        <v>1917</v>
      </c>
      <c r="B124" s="2">
        <v>23.9</v>
      </c>
      <c r="C124" s="2">
        <v>26.3</v>
      </c>
      <c r="D124" s="2">
        <v>32.5</v>
      </c>
      <c r="F124">
        <f t="shared" si="8"/>
        <v>1917</v>
      </c>
      <c r="G124" s="35">
        <v>53.899537698941579</v>
      </c>
      <c r="H124" s="2">
        <f t="shared" si="9"/>
        <v>50.851063829787236</v>
      </c>
      <c r="I124" s="2">
        <f t="shared" si="10"/>
        <v>60.183066361556058</v>
      </c>
      <c r="J124" s="2">
        <f t="shared" si="11"/>
        <v>73.696145124716551</v>
      </c>
      <c r="K124" s="2">
        <v>60</v>
      </c>
    </row>
    <row r="125" spans="1:11" x14ac:dyDescent="0.25">
      <c r="A125">
        <f>A124+1</f>
        <v>1918</v>
      </c>
      <c r="B125" s="2">
        <v>32</v>
      </c>
      <c r="C125" s="2">
        <v>34.700000000000003</v>
      </c>
      <c r="D125" s="2">
        <v>28.8</v>
      </c>
      <c r="F125">
        <f t="shared" si="8"/>
        <v>1918</v>
      </c>
      <c r="H125" s="2">
        <f t="shared" si="9"/>
        <v>68.085106382978722</v>
      </c>
      <c r="I125" s="2">
        <f t="shared" si="10"/>
        <v>79.40503432494279</v>
      </c>
      <c r="J125" s="2">
        <f t="shared" si="11"/>
        <v>65.306122448979593</v>
      </c>
    </row>
    <row r="126" spans="1:11" x14ac:dyDescent="0.25">
      <c r="A126">
        <f t="shared" ref="A126:A133" si="12">A125+1</f>
        <v>1919</v>
      </c>
      <c r="B126" s="2">
        <v>31</v>
      </c>
      <c r="C126" s="2">
        <v>31.7</v>
      </c>
      <c r="D126" s="2">
        <v>32.4</v>
      </c>
      <c r="F126">
        <f t="shared" si="8"/>
        <v>1919</v>
      </c>
      <c r="H126" s="2">
        <f t="shared" si="9"/>
        <v>65.957446808510639</v>
      </c>
      <c r="I126" s="2">
        <f t="shared" si="10"/>
        <v>72.540045766590382</v>
      </c>
      <c r="J126" s="2">
        <f t="shared" si="11"/>
        <v>73.469387755102034</v>
      </c>
      <c r="K126" s="2">
        <v>81</v>
      </c>
    </row>
    <row r="127" spans="1:11" x14ac:dyDescent="0.25">
      <c r="A127">
        <f t="shared" si="12"/>
        <v>1920</v>
      </c>
      <c r="B127" s="2">
        <v>31.2</v>
      </c>
      <c r="C127" s="2">
        <v>32.200000000000003</v>
      </c>
      <c r="D127" s="2">
        <v>30.6</v>
      </c>
      <c r="F127">
        <f t="shared" si="8"/>
        <v>1920</v>
      </c>
      <c r="H127" s="2">
        <f t="shared" si="9"/>
        <v>66.38297872340425</v>
      </c>
      <c r="I127" s="2">
        <f t="shared" si="10"/>
        <v>73.684210526315795</v>
      </c>
      <c r="J127" s="2">
        <f t="shared" si="11"/>
        <v>69.387755102040813</v>
      </c>
      <c r="K127" s="2">
        <v>79</v>
      </c>
    </row>
    <row r="128" spans="1:11" x14ac:dyDescent="0.25">
      <c r="A128">
        <f t="shared" si="12"/>
        <v>1921</v>
      </c>
      <c r="B128" s="2">
        <v>35.5</v>
      </c>
      <c r="C128" s="2">
        <v>37.299999999999997</v>
      </c>
      <c r="D128" s="2">
        <v>31.7</v>
      </c>
      <c r="F128">
        <f t="shared" si="8"/>
        <v>1921</v>
      </c>
      <c r="H128" s="2">
        <f t="shared" si="9"/>
        <v>75.531914893617028</v>
      </c>
      <c r="I128" s="2">
        <f t="shared" si="10"/>
        <v>85.354691075514864</v>
      </c>
      <c r="J128" s="2">
        <f t="shared" si="11"/>
        <v>71.882086167800452</v>
      </c>
      <c r="K128" s="2">
        <v>84</v>
      </c>
    </row>
    <row r="129" spans="1:11" x14ac:dyDescent="0.25">
      <c r="A129">
        <f t="shared" si="12"/>
        <v>1922</v>
      </c>
      <c r="B129" s="2">
        <v>37.299999999999997</v>
      </c>
      <c r="C129" s="2">
        <v>38.200000000000003</v>
      </c>
      <c r="D129" s="2">
        <v>35</v>
      </c>
      <c r="F129">
        <f t="shared" si="8"/>
        <v>1922</v>
      </c>
      <c r="H129" s="2">
        <f t="shared" si="9"/>
        <v>79.361702127659569</v>
      </c>
      <c r="I129" s="2">
        <f t="shared" si="10"/>
        <v>87.414187643020597</v>
      </c>
      <c r="J129" s="2">
        <f t="shared" si="11"/>
        <v>79.365079365079367</v>
      </c>
      <c r="K129" s="2"/>
    </row>
    <row r="130" spans="1:11" x14ac:dyDescent="0.25">
      <c r="A130">
        <f t="shared" si="12"/>
        <v>1923</v>
      </c>
      <c r="B130" s="2">
        <v>43.9</v>
      </c>
      <c r="C130" s="2">
        <v>45.5</v>
      </c>
      <c r="D130" s="2">
        <v>36.200000000000003</v>
      </c>
      <c r="F130">
        <f t="shared" si="8"/>
        <v>1923</v>
      </c>
      <c r="H130" s="2">
        <f t="shared" si="9"/>
        <v>93.40425531914893</v>
      </c>
      <c r="I130" s="2">
        <f t="shared" si="10"/>
        <v>104.11899313501142</v>
      </c>
      <c r="J130" s="2">
        <f t="shared" si="11"/>
        <v>82.086167800453509</v>
      </c>
      <c r="K130" s="2"/>
    </row>
    <row r="131" spans="1:11" x14ac:dyDescent="0.25">
      <c r="A131">
        <f t="shared" si="12"/>
        <v>1924</v>
      </c>
      <c r="B131" s="2">
        <v>42</v>
      </c>
      <c r="C131" s="2">
        <v>42.2</v>
      </c>
      <c r="D131" s="2">
        <v>44</v>
      </c>
      <c r="F131">
        <f t="shared" si="8"/>
        <v>1924</v>
      </c>
      <c r="H131" s="2">
        <f t="shared" si="9"/>
        <v>89.361702127659569</v>
      </c>
      <c r="I131" s="2">
        <f t="shared" si="10"/>
        <v>96.567505720823803</v>
      </c>
      <c r="J131" s="2">
        <f t="shared" si="11"/>
        <v>99.773242630385482</v>
      </c>
      <c r="K131" s="2"/>
    </row>
    <row r="132" spans="1:11" x14ac:dyDescent="0.25">
      <c r="A132">
        <f t="shared" si="12"/>
        <v>1925</v>
      </c>
      <c r="B132" s="2"/>
      <c r="C132" s="2">
        <v>43.9</v>
      </c>
      <c r="D132" s="2">
        <v>42.3</v>
      </c>
      <c r="F132">
        <f t="shared" si="8"/>
        <v>1925</v>
      </c>
      <c r="H132" s="2"/>
      <c r="I132" s="2"/>
      <c r="J132" s="2">
        <f t="shared" si="11"/>
        <v>95.918367346938766</v>
      </c>
      <c r="K132" s="2"/>
    </row>
    <row r="133" spans="1:11" x14ac:dyDescent="0.25">
      <c r="A133">
        <f t="shared" si="12"/>
        <v>1926</v>
      </c>
      <c r="B133" s="2"/>
      <c r="C133" s="2">
        <v>42.5</v>
      </c>
      <c r="D133" s="2">
        <v>43.8</v>
      </c>
      <c r="F133">
        <f t="shared" si="8"/>
        <v>1926</v>
      </c>
      <c r="H133" s="2"/>
      <c r="I133" s="2"/>
      <c r="J133" s="2">
        <f t="shared" si="11"/>
        <v>99.319727891156447</v>
      </c>
      <c r="K133" s="2"/>
    </row>
  </sheetData>
  <sortState xmlns:xlrd2="http://schemas.microsoft.com/office/spreadsheetml/2017/richdata2" ref="A23:E36">
    <sortCondition ref="E23:E36"/>
  </sortState>
  <mergeCells count="2">
    <mergeCell ref="B118:D118"/>
    <mergeCell ref="G118:K118"/>
  </mergeCells>
  <pageMargins left="0.7" right="0.7" top="0.75" bottom="0.75" header="0.3" footer="0.3"/>
  <pageSetup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EED61C-08E0-41B6-A575-FF3CAD71F6D5}">
  <dimension ref="A1:G85"/>
  <sheetViews>
    <sheetView topLeftCell="A76" workbookViewId="0">
      <selection activeCell="Y88" sqref="Y88"/>
    </sheetView>
  </sheetViews>
  <sheetFormatPr defaultRowHeight="15" x14ac:dyDescent="0.25"/>
  <cols>
    <col min="1" max="1" width="19.85546875" customWidth="1"/>
  </cols>
  <sheetData>
    <row r="1" spans="1:7" ht="18.75" x14ac:dyDescent="0.3">
      <c r="A1" s="6" t="s">
        <v>107</v>
      </c>
    </row>
    <row r="3" spans="1:7" x14ac:dyDescent="0.25">
      <c r="A3" s="20" t="s">
        <v>101</v>
      </c>
      <c r="B3" s="20">
        <v>1912</v>
      </c>
      <c r="C3" s="20">
        <v>1913</v>
      </c>
      <c r="D3" s="20">
        <v>1914</v>
      </c>
      <c r="E3" s="20">
        <v>1915</v>
      </c>
      <c r="F3" s="20">
        <v>1916</v>
      </c>
      <c r="G3" s="20">
        <v>1917</v>
      </c>
    </row>
    <row r="4" spans="1:7" x14ac:dyDescent="0.25">
      <c r="A4" t="s">
        <v>55</v>
      </c>
      <c r="B4" s="3">
        <v>44029</v>
      </c>
      <c r="C4" s="3">
        <v>46090</v>
      </c>
      <c r="D4" s="3">
        <v>48265</v>
      </c>
      <c r="E4" s="3">
        <v>44333</v>
      </c>
      <c r="F4" s="3">
        <v>36782</v>
      </c>
      <c r="G4" s="3">
        <v>34136</v>
      </c>
    </row>
    <row r="5" spans="1:7" x14ac:dyDescent="0.25">
      <c r="A5" t="s">
        <v>66</v>
      </c>
      <c r="B5" s="3">
        <v>60734</v>
      </c>
      <c r="C5" s="3">
        <v>66366</v>
      </c>
      <c r="D5" s="3">
        <v>60172</v>
      </c>
      <c r="E5" s="3">
        <v>57175</v>
      </c>
      <c r="F5" s="3">
        <v>44672</v>
      </c>
      <c r="G5" s="3">
        <v>36168</v>
      </c>
    </row>
    <row r="6" spans="1:7" x14ac:dyDescent="0.25">
      <c r="A6" t="s">
        <v>91</v>
      </c>
      <c r="B6" s="3">
        <v>34775</v>
      </c>
      <c r="C6" s="3">
        <v>38094</v>
      </c>
      <c r="D6" s="3">
        <v>34493</v>
      </c>
      <c r="E6" s="3">
        <v>31018</v>
      </c>
      <c r="F6" s="3">
        <v>32417</v>
      </c>
      <c r="G6" s="3">
        <v>36754</v>
      </c>
    </row>
    <row r="7" spans="1:7" x14ac:dyDescent="0.25">
      <c r="A7" t="s">
        <v>46</v>
      </c>
      <c r="B7" s="3">
        <v>57098</v>
      </c>
      <c r="C7" s="3">
        <v>60397</v>
      </c>
      <c r="D7" s="3">
        <v>53331</v>
      </c>
      <c r="E7" s="3">
        <v>52841</v>
      </c>
      <c r="F7" s="3">
        <v>48132</v>
      </c>
      <c r="G7" s="3">
        <v>41490</v>
      </c>
    </row>
    <row r="8" spans="1:7" x14ac:dyDescent="0.25">
      <c r="A8" t="s">
        <v>65</v>
      </c>
      <c r="B8" s="3">
        <v>39881</v>
      </c>
      <c r="C8" s="3">
        <v>41940</v>
      </c>
      <c r="D8" s="3">
        <v>42198</v>
      </c>
      <c r="E8" s="3">
        <v>52710</v>
      </c>
      <c r="F8" s="3">
        <v>49714</v>
      </c>
      <c r="G8" s="3">
        <v>44542</v>
      </c>
    </row>
    <row r="9" spans="1:7" x14ac:dyDescent="0.25">
      <c r="A9" t="s">
        <v>73</v>
      </c>
      <c r="B9" s="3">
        <v>55147</v>
      </c>
      <c r="C9" s="3">
        <v>66673</v>
      </c>
      <c r="D9" s="3">
        <v>61633</v>
      </c>
      <c r="E9" s="3">
        <v>59190</v>
      </c>
      <c r="F9" s="3">
        <v>64968</v>
      </c>
      <c r="G9" s="3">
        <v>54399</v>
      </c>
    </row>
    <row r="10" spans="1:7" x14ac:dyDescent="0.25">
      <c r="A10" t="s">
        <v>85</v>
      </c>
      <c r="B10" s="3">
        <v>55908</v>
      </c>
      <c r="C10" s="3">
        <v>61754</v>
      </c>
      <c r="D10" s="3">
        <v>57711</v>
      </c>
      <c r="E10" s="3">
        <v>48114</v>
      </c>
      <c r="F10" s="3">
        <v>52095</v>
      </c>
      <c r="G10" s="3">
        <v>56077</v>
      </c>
    </row>
    <row r="11" spans="1:7" x14ac:dyDescent="0.25">
      <c r="A11" t="s">
        <v>75</v>
      </c>
      <c r="B11" s="3">
        <v>45957</v>
      </c>
      <c r="C11" s="3">
        <v>45446</v>
      </c>
      <c r="D11" s="3">
        <v>47597</v>
      </c>
      <c r="E11" s="3">
        <v>52866</v>
      </c>
      <c r="F11" s="3">
        <v>55980</v>
      </c>
      <c r="G11" s="3">
        <v>61000</v>
      </c>
    </row>
    <row r="12" spans="1:7" x14ac:dyDescent="0.25">
      <c r="A12" t="s">
        <v>41</v>
      </c>
      <c r="B12" s="3">
        <v>12003</v>
      </c>
      <c r="C12" s="3">
        <v>12272</v>
      </c>
      <c r="D12" s="3">
        <v>13587</v>
      </c>
      <c r="E12" s="3">
        <v>12709</v>
      </c>
      <c r="F12" s="3">
        <v>12694</v>
      </c>
      <c r="G12" s="3"/>
    </row>
    <row r="13" spans="1:7" x14ac:dyDescent="0.25">
      <c r="A13" t="s">
        <v>78</v>
      </c>
      <c r="B13" s="3">
        <v>34585</v>
      </c>
      <c r="C13" s="3">
        <v>35044</v>
      </c>
      <c r="D13" s="3">
        <v>35971</v>
      </c>
      <c r="E13" s="3">
        <v>34657</v>
      </c>
      <c r="F13" s="3">
        <v>32893</v>
      </c>
      <c r="G13" s="3"/>
    </row>
    <row r="14" spans="1:7" x14ac:dyDescent="0.25">
      <c r="A14" t="s">
        <v>67</v>
      </c>
      <c r="B14" s="3">
        <v>46661</v>
      </c>
      <c r="C14" s="3">
        <v>48320</v>
      </c>
      <c r="D14" s="3">
        <v>43554</v>
      </c>
      <c r="E14" s="3">
        <v>43517</v>
      </c>
      <c r="F14" s="3">
        <v>42109</v>
      </c>
      <c r="G14" s="3"/>
    </row>
    <row r="15" spans="1:7" x14ac:dyDescent="0.25">
      <c r="A15" t="s">
        <v>64</v>
      </c>
      <c r="B15" s="3">
        <v>53911</v>
      </c>
      <c r="C15" s="3">
        <v>57392</v>
      </c>
      <c r="D15" s="3">
        <v>54159</v>
      </c>
      <c r="E15" s="3">
        <v>50067</v>
      </c>
      <c r="F15" s="3">
        <v>45451</v>
      </c>
      <c r="G15" s="3"/>
    </row>
    <row r="16" spans="1:7" x14ac:dyDescent="0.25">
      <c r="A16" t="s">
        <v>79</v>
      </c>
      <c r="B16" s="3">
        <v>59079</v>
      </c>
      <c r="C16" s="3">
        <v>61011</v>
      </c>
      <c r="D16" s="3">
        <v>61877</v>
      </c>
      <c r="E16" s="3">
        <v>61328</v>
      </c>
      <c r="F16" s="3">
        <v>53449</v>
      </c>
      <c r="G16" s="3"/>
    </row>
    <row r="17" spans="1:7" x14ac:dyDescent="0.25">
      <c r="A17" t="s">
        <v>48</v>
      </c>
      <c r="B17" s="3">
        <v>96620</v>
      </c>
      <c r="C17" s="3">
        <v>109194</v>
      </c>
      <c r="D17" s="3">
        <v>110219</v>
      </c>
      <c r="E17" s="3">
        <v>102033</v>
      </c>
      <c r="F17" s="3">
        <v>87704</v>
      </c>
      <c r="G17" s="3"/>
    </row>
    <row r="18" spans="1:7" x14ac:dyDescent="0.25">
      <c r="A18" t="s">
        <v>52</v>
      </c>
      <c r="B18" s="3">
        <v>87175</v>
      </c>
      <c r="C18" s="3">
        <v>99138</v>
      </c>
      <c r="D18" s="3">
        <v>102833</v>
      </c>
      <c r="E18" s="3">
        <v>101041</v>
      </c>
      <c r="F18" s="3">
        <v>89192</v>
      </c>
      <c r="G18" s="3"/>
    </row>
    <row r="19" spans="1:7" x14ac:dyDescent="0.25">
      <c r="A19" t="s">
        <v>42</v>
      </c>
      <c r="B19" s="3">
        <v>28647</v>
      </c>
      <c r="C19" s="3">
        <v>30059</v>
      </c>
      <c r="D19" s="3">
        <v>29166</v>
      </c>
      <c r="E19" s="3">
        <v>33060</v>
      </c>
      <c r="F19" s="3"/>
      <c r="G19" s="3"/>
    </row>
    <row r="20" spans="1:7" x14ac:dyDescent="0.25">
      <c r="A20" t="s">
        <v>68</v>
      </c>
      <c r="B20" s="3">
        <v>15446</v>
      </c>
      <c r="C20" s="3">
        <v>16927</v>
      </c>
      <c r="D20" s="3">
        <v>14625</v>
      </c>
      <c r="E20" s="3">
        <v>13788</v>
      </c>
      <c r="F20" s="3"/>
      <c r="G20" s="3"/>
    </row>
    <row r="21" spans="1:7" x14ac:dyDescent="0.25">
      <c r="A21" t="s">
        <v>51</v>
      </c>
      <c r="B21" s="3">
        <v>51131</v>
      </c>
      <c r="C21" s="3">
        <v>52557</v>
      </c>
      <c r="D21" s="3">
        <v>49964</v>
      </c>
      <c r="E21" s="3">
        <v>45126</v>
      </c>
      <c r="F21" s="3"/>
      <c r="G21" s="3"/>
    </row>
    <row r="22" spans="1:7" x14ac:dyDescent="0.25">
      <c r="A22" t="s">
        <v>58</v>
      </c>
      <c r="B22" s="3">
        <v>53047</v>
      </c>
      <c r="C22" s="3">
        <v>54758</v>
      </c>
      <c r="D22" s="3">
        <v>50241</v>
      </c>
      <c r="E22" s="3">
        <v>47501</v>
      </c>
      <c r="F22" s="3"/>
      <c r="G22" s="3"/>
    </row>
    <row r="23" spans="1:7" x14ac:dyDescent="0.25">
      <c r="A23" t="s">
        <v>70</v>
      </c>
      <c r="B23" s="3">
        <v>60431</v>
      </c>
      <c r="C23" s="3">
        <v>64251</v>
      </c>
      <c r="D23" s="3">
        <v>57353</v>
      </c>
      <c r="E23" s="3">
        <v>61725</v>
      </c>
      <c r="F23" s="3"/>
      <c r="G23" s="3"/>
    </row>
    <row r="24" spans="1:7" x14ac:dyDescent="0.25">
      <c r="A24" t="s">
        <v>82</v>
      </c>
      <c r="B24" s="3">
        <v>64693</v>
      </c>
      <c r="C24" s="3">
        <v>64187</v>
      </c>
      <c r="D24" s="3">
        <v>60247</v>
      </c>
      <c r="E24" s="3">
        <v>62248</v>
      </c>
      <c r="F24" s="3"/>
      <c r="G24" s="3"/>
    </row>
    <row r="25" spans="1:7" x14ac:dyDescent="0.25">
      <c r="A25" t="s">
        <v>69</v>
      </c>
      <c r="B25" s="3">
        <v>76162</v>
      </c>
      <c r="C25" s="3">
        <v>73443</v>
      </c>
      <c r="D25" s="3">
        <v>74196</v>
      </c>
      <c r="E25" s="3">
        <v>74155</v>
      </c>
      <c r="F25" s="3"/>
      <c r="G25" s="3"/>
    </row>
    <row r="26" spans="1:7" x14ac:dyDescent="0.25">
      <c r="A26" t="s">
        <v>60</v>
      </c>
      <c r="B26" s="3">
        <v>88041</v>
      </c>
      <c r="C26" s="3">
        <v>87667</v>
      </c>
      <c r="D26" s="3">
        <v>81912</v>
      </c>
      <c r="E26" s="3">
        <v>81346</v>
      </c>
      <c r="F26" s="3"/>
      <c r="G26" s="3"/>
    </row>
    <row r="27" spans="1:7" x14ac:dyDescent="0.25">
      <c r="A27" t="s">
        <v>54</v>
      </c>
      <c r="B27" s="3">
        <v>84070</v>
      </c>
      <c r="C27" s="3">
        <v>85265</v>
      </c>
      <c r="D27" s="3">
        <v>86173</v>
      </c>
      <c r="E27" s="3">
        <v>84471</v>
      </c>
      <c r="F27" s="3"/>
      <c r="G27" s="3"/>
    </row>
    <row r="28" spans="1:7" x14ac:dyDescent="0.25">
      <c r="A28" t="s">
        <v>86</v>
      </c>
      <c r="B28" s="3">
        <v>91418</v>
      </c>
      <c r="C28" s="3">
        <v>92785</v>
      </c>
      <c r="D28" s="3">
        <v>84641</v>
      </c>
      <c r="E28" s="3">
        <v>90546</v>
      </c>
      <c r="F28" s="3"/>
      <c r="G28" s="3"/>
    </row>
    <row r="29" spans="1:7" x14ac:dyDescent="0.25">
      <c r="A29" t="s">
        <v>72</v>
      </c>
      <c r="B29" s="3">
        <v>104358</v>
      </c>
      <c r="C29" s="3">
        <v>105183</v>
      </c>
      <c r="D29" s="3">
        <v>106199</v>
      </c>
      <c r="E29" s="3">
        <v>101655</v>
      </c>
      <c r="F29" s="3"/>
      <c r="G29" s="3"/>
    </row>
    <row r="30" spans="1:7" x14ac:dyDescent="0.25">
      <c r="A30" t="s">
        <v>81</v>
      </c>
      <c r="B30" s="3">
        <v>99268</v>
      </c>
      <c r="C30" s="3">
        <v>93825</v>
      </c>
      <c r="D30" s="3">
        <v>95470</v>
      </c>
      <c r="E30" s="3">
        <v>108505</v>
      </c>
      <c r="F30" s="3"/>
      <c r="G30" s="3"/>
    </row>
    <row r="31" spans="1:7" x14ac:dyDescent="0.25">
      <c r="A31" t="s">
        <v>49</v>
      </c>
      <c r="B31" s="3">
        <v>139451</v>
      </c>
      <c r="C31" s="3">
        <v>136613</v>
      </c>
      <c r="D31" s="3">
        <v>142545</v>
      </c>
      <c r="E31" s="3">
        <v>149781</v>
      </c>
      <c r="F31" s="3"/>
      <c r="G31" s="3"/>
    </row>
    <row r="32" spans="1:7" x14ac:dyDescent="0.25">
      <c r="A32" t="s">
        <v>80</v>
      </c>
      <c r="B32" s="3">
        <v>131248</v>
      </c>
      <c r="C32" s="3">
        <v>117661</v>
      </c>
      <c r="D32" s="3">
        <v>124676</v>
      </c>
      <c r="E32" s="3">
        <v>159291</v>
      </c>
      <c r="F32" s="3"/>
      <c r="G32" s="3"/>
    </row>
    <row r="33" spans="1:7" x14ac:dyDescent="0.25">
      <c r="A33" t="s">
        <v>71</v>
      </c>
      <c r="B33" s="3">
        <v>165471</v>
      </c>
      <c r="C33" s="3">
        <v>153457</v>
      </c>
      <c r="D33" s="3">
        <v>149547</v>
      </c>
      <c r="E33" s="3">
        <v>163115</v>
      </c>
      <c r="F33" s="3"/>
      <c r="G33" s="3"/>
    </row>
    <row r="34" spans="1:7" x14ac:dyDescent="0.25">
      <c r="A34" t="s">
        <v>100</v>
      </c>
      <c r="B34" s="3">
        <v>84277</v>
      </c>
      <c r="C34" s="3">
        <v>81318</v>
      </c>
      <c r="D34" s="3">
        <v>68502</v>
      </c>
      <c r="E34" s="3"/>
      <c r="F34" s="3"/>
      <c r="G34" s="3"/>
    </row>
    <row r="35" spans="1:7" x14ac:dyDescent="0.25">
      <c r="A35" t="s">
        <v>74</v>
      </c>
      <c r="B35" s="3">
        <v>27927</v>
      </c>
      <c r="C35" s="3">
        <v>26517</v>
      </c>
      <c r="D35" s="3">
        <v>25149</v>
      </c>
      <c r="E35" s="3"/>
      <c r="F35" s="3"/>
      <c r="G35" s="3"/>
    </row>
    <row r="36" spans="1:7" x14ac:dyDescent="0.25">
      <c r="A36" t="s">
        <v>83</v>
      </c>
      <c r="B36" s="3">
        <v>55555</v>
      </c>
      <c r="C36" s="3">
        <v>59938</v>
      </c>
      <c r="D36" s="3">
        <v>61180</v>
      </c>
      <c r="E36" s="3"/>
      <c r="F36" s="3"/>
      <c r="G36" s="3"/>
    </row>
    <row r="39" spans="1:7" x14ac:dyDescent="0.25">
      <c r="A39" s="22" t="s">
        <v>128</v>
      </c>
    </row>
    <row r="41" spans="1:7" x14ac:dyDescent="0.25">
      <c r="A41" s="23" t="s">
        <v>3</v>
      </c>
      <c r="B41" s="20" t="s">
        <v>103</v>
      </c>
      <c r="C41" s="20" t="s">
        <v>104</v>
      </c>
      <c r="D41" s="20" t="s">
        <v>105</v>
      </c>
    </row>
    <row r="42" spans="1:7" x14ac:dyDescent="0.25">
      <c r="A42">
        <v>1914</v>
      </c>
      <c r="B42" s="3">
        <f>SUM(D4:D36)</f>
        <v>2189386</v>
      </c>
      <c r="C42" s="3">
        <f>SUM(C4:C36)</f>
        <v>2245542</v>
      </c>
      <c r="D42" s="2">
        <f>C42/B42*100</f>
        <v>102.56492002780688</v>
      </c>
    </row>
    <row r="43" spans="1:7" x14ac:dyDescent="0.25">
      <c r="A43">
        <v>1915</v>
      </c>
      <c r="B43" s="3">
        <f>SUM(E4:E33)</f>
        <v>2079912</v>
      </c>
      <c r="C43" s="3">
        <f>SUM(C4:C33)</f>
        <v>2077769</v>
      </c>
      <c r="D43" s="2">
        <f t="shared" ref="D43:D45" si="0">C43/B43*100</f>
        <v>99.896966794749005</v>
      </c>
    </row>
    <row r="44" spans="1:7" x14ac:dyDescent="0.25">
      <c r="A44">
        <v>1916</v>
      </c>
      <c r="B44" s="3">
        <f>SUM(F4:F18)</f>
        <v>748252</v>
      </c>
      <c r="C44" s="3">
        <f>SUM(C4:C18)</f>
        <v>849131</v>
      </c>
      <c r="D44" s="2">
        <f t="shared" si="0"/>
        <v>113.48195527709916</v>
      </c>
    </row>
    <row r="45" spans="1:7" x14ac:dyDescent="0.25">
      <c r="A45">
        <v>1917</v>
      </c>
      <c r="B45" s="3">
        <f>SUM(G4:G11)</f>
        <v>364566</v>
      </c>
      <c r="C45" s="3">
        <f>SUM(C4:C11)</f>
        <v>426760</v>
      </c>
      <c r="D45" s="2">
        <f t="shared" si="0"/>
        <v>117.05973678291448</v>
      </c>
    </row>
    <row r="47" spans="1:7" x14ac:dyDescent="0.25">
      <c r="A47" s="22" t="s">
        <v>119</v>
      </c>
    </row>
    <row r="49" spans="1:4" x14ac:dyDescent="0.25">
      <c r="A49" s="23" t="s">
        <v>3</v>
      </c>
      <c r="B49" s="20" t="s">
        <v>103</v>
      </c>
      <c r="C49" s="20" t="s">
        <v>105</v>
      </c>
    </row>
    <row r="50" spans="1:4" x14ac:dyDescent="0.25">
      <c r="A50" s="32">
        <v>1913</v>
      </c>
      <c r="B50" s="33">
        <f>SUM(C4:C11)</f>
        <v>426760</v>
      </c>
      <c r="C50" s="34">
        <f>B50/B50*100</f>
        <v>100</v>
      </c>
      <c r="D50" s="20"/>
    </row>
    <row r="51" spans="1:4" x14ac:dyDescent="0.25">
      <c r="A51">
        <v>1914</v>
      </c>
      <c r="B51" s="3">
        <f>SUM(D4:D11)</f>
        <v>405400</v>
      </c>
      <c r="C51" s="34">
        <f>B51/B$50*100</f>
        <v>94.994844877683008</v>
      </c>
    </row>
    <row r="52" spans="1:4" x14ac:dyDescent="0.25">
      <c r="A52">
        <v>1915</v>
      </c>
      <c r="B52" s="3">
        <f>SUM(E4:E11)</f>
        <v>398247</v>
      </c>
      <c r="C52" s="34">
        <f t="shared" ref="C52:C54" si="1">B52/B$50*100</f>
        <v>93.318727153435191</v>
      </c>
    </row>
    <row r="53" spans="1:4" x14ac:dyDescent="0.25">
      <c r="A53">
        <v>1916</v>
      </c>
      <c r="B53" s="3">
        <f>SUM(F4:F11)</f>
        <v>384760</v>
      </c>
      <c r="C53" s="34">
        <f t="shared" si="1"/>
        <v>90.158402849376699</v>
      </c>
    </row>
    <row r="54" spans="1:4" x14ac:dyDescent="0.25">
      <c r="A54">
        <v>1917</v>
      </c>
      <c r="B54" s="3">
        <f>SUM(G4:G11)</f>
        <v>364566</v>
      </c>
      <c r="C54" s="34">
        <f t="shared" si="1"/>
        <v>85.426469209860343</v>
      </c>
    </row>
    <row r="57" spans="1:4" x14ac:dyDescent="0.25">
      <c r="A57" s="22" t="s">
        <v>118</v>
      </c>
    </row>
    <row r="59" spans="1:4" x14ac:dyDescent="0.25">
      <c r="A59" s="23" t="s">
        <v>3</v>
      </c>
      <c r="B59" s="20" t="s">
        <v>103</v>
      </c>
      <c r="C59" s="20" t="s">
        <v>105</v>
      </c>
    </row>
    <row r="60" spans="1:4" x14ac:dyDescent="0.25">
      <c r="A60">
        <v>1913</v>
      </c>
      <c r="B60" s="3">
        <f>SUM(C4:C18)</f>
        <v>849131</v>
      </c>
      <c r="C60" s="2">
        <f>B60/B$60*100</f>
        <v>100</v>
      </c>
    </row>
    <row r="61" spans="1:4" x14ac:dyDescent="0.25">
      <c r="A61">
        <v>1914</v>
      </c>
      <c r="B61" s="3">
        <f>SUM(D4:D18)</f>
        <v>827600</v>
      </c>
      <c r="C61" s="2">
        <f t="shared" ref="C61:C63" si="2">B61/B$60*100</f>
        <v>97.464348846055557</v>
      </c>
    </row>
    <row r="62" spans="1:4" x14ac:dyDescent="0.25">
      <c r="A62">
        <v>1915</v>
      </c>
      <c r="B62" s="3">
        <f>SUM(E4:E18)</f>
        <v>803599</v>
      </c>
      <c r="C62" s="2">
        <f t="shared" si="2"/>
        <v>94.637812069044699</v>
      </c>
    </row>
    <row r="63" spans="1:4" x14ac:dyDescent="0.25">
      <c r="A63">
        <v>1916</v>
      </c>
      <c r="B63" s="3">
        <f>SUM(F4:F18)</f>
        <v>748252</v>
      </c>
      <c r="C63" s="2">
        <f t="shared" si="2"/>
        <v>88.119736530641319</v>
      </c>
    </row>
    <row r="65" spans="1:5" x14ac:dyDescent="0.25">
      <c r="A65" s="22" t="s">
        <v>120</v>
      </c>
    </row>
    <row r="67" spans="1:5" x14ac:dyDescent="0.25">
      <c r="A67" s="23" t="s">
        <v>3</v>
      </c>
      <c r="B67" s="20" t="s">
        <v>103</v>
      </c>
      <c r="C67" s="20" t="s">
        <v>105</v>
      </c>
    </row>
    <row r="68" spans="1:5" x14ac:dyDescent="0.25">
      <c r="A68">
        <v>1913</v>
      </c>
      <c r="B68" s="3">
        <f>SUM(C4:C33)</f>
        <v>2077769</v>
      </c>
      <c r="C68" s="2">
        <f>B68/B$68*100</f>
        <v>100</v>
      </c>
    </row>
    <row r="69" spans="1:5" x14ac:dyDescent="0.25">
      <c r="A69">
        <v>1914</v>
      </c>
      <c r="B69" s="3">
        <f>SUM(D4:D33)</f>
        <v>2034555</v>
      </c>
      <c r="C69" s="2">
        <f>B69/B$68*100</f>
        <v>97.920173031747041</v>
      </c>
    </row>
    <row r="70" spans="1:5" x14ac:dyDescent="0.25">
      <c r="A70">
        <v>1915</v>
      </c>
      <c r="B70" s="3">
        <f>SUM(E4:E33)</f>
        <v>2079912</v>
      </c>
      <c r="C70" s="2">
        <f>B70/B$68*100</f>
        <v>100.10313947315606</v>
      </c>
    </row>
    <row r="72" spans="1:5" x14ac:dyDescent="0.25">
      <c r="A72" s="22" t="s">
        <v>121</v>
      </c>
    </row>
    <row r="74" spans="1:5" x14ac:dyDescent="0.25">
      <c r="A74" s="23" t="s">
        <v>3</v>
      </c>
      <c r="B74" s="20" t="s">
        <v>103</v>
      </c>
      <c r="C74" s="20" t="s">
        <v>105</v>
      </c>
    </row>
    <row r="75" spans="1:5" x14ac:dyDescent="0.25">
      <c r="A75">
        <v>1913</v>
      </c>
      <c r="B75" s="3">
        <f>SUM(C4:C36)</f>
        <v>2245542</v>
      </c>
      <c r="C75" s="2">
        <f>B75/B$75*100</f>
        <v>100</v>
      </c>
    </row>
    <row r="76" spans="1:5" x14ac:dyDescent="0.25">
      <c r="A76">
        <v>1914</v>
      </c>
      <c r="B76" s="3">
        <f>SUM(D4:D36)</f>
        <v>2189386</v>
      </c>
      <c r="C76" s="2">
        <f>B76/B$75*100</f>
        <v>97.499222904759748</v>
      </c>
    </row>
    <row r="78" spans="1:5" x14ac:dyDescent="0.25">
      <c r="A78" s="22" t="s">
        <v>122</v>
      </c>
    </row>
    <row r="80" spans="1:5" x14ac:dyDescent="0.25">
      <c r="A80" s="20" t="s">
        <v>123</v>
      </c>
      <c r="B80" s="20" t="s">
        <v>124</v>
      </c>
      <c r="C80" s="20" t="s">
        <v>125</v>
      </c>
      <c r="D80" s="20" t="s">
        <v>126</v>
      </c>
      <c r="E80" s="20" t="s">
        <v>127</v>
      </c>
    </row>
    <row r="81" spans="1:5" x14ac:dyDescent="0.25">
      <c r="A81">
        <v>1913</v>
      </c>
      <c r="B81" s="2">
        <v>100</v>
      </c>
      <c r="C81" s="2">
        <v>100</v>
      </c>
      <c r="D81" s="2">
        <v>100</v>
      </c>
      <c r="E81" s="2">
        <v>100</v>
      </c>
    </row>
    <row r="82" spans="1:5" x14ac:dyDescent="0.25">
      <c r="A82">
        <v>1914</v>
      </c>
      <c r="B82" s="2">
        <v>97.499222904759748</v>
      </c>
      <c r="C82" s="2">
        <v>97.920173031747041</v>
      </c>
      <c r="D82" s="2">
        <v>97.464348846055557</v>
      </c>
      <c r="E82" s="2">
        <v>94.994844877683008</v>
      </c>
    </row>
    <row r="83" spans="1:5" x14ac:dyDescent="0.25">
      <c r="A83">
        <v>1915</v>
      </c>
      <c r="C83" s="2">
        <v>100.10313947315606</v>
      </c>
      <c r="D83" s="2">
        <v>94.637812069044699</v>
      </c>
      <c r="E83" s="2">
        <v>93.318727153435191</v>
      </c>
    </row>
    <row r="84" spans="1:5" x14ac:dyDescent="0.25">
      <c r="A84">
        <v>1916</v>
      </c>
      <c r="D84" s="2">
        <v>88.119736530641319</v>
      </c>
      <c r="E84" s="2">
        <v>90.158402849376699</v>
      </c>
    </row>
    <row r="85" spans="1:5" x14ac:dyDescent="0.25">
      <c r="A85">
        <v>1917</v>
      </c>
      <c r="E85" s="2">
        <v>85.426469209860343</v>
      </c>
    </row>
  </sheetData>
  <sortState xmlns:xlrd2="http://schemas.microsoft.com/office/spreadsheetml/2017/richdata2" ref="A20:E36">
    <sortCondition ref="E20:E36"/>
  </sortState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C91C76-6AA3-4B54-9A3D-81DAC63C51BF}">
  <dimension ref="A2:K39"/>
  <sheetViews>
    <sheetView topLeftCell="A22" workbookViewId="0">
      <selection activeCell="AF35" sqref="AF35"/>
    </sheetView>
  </sheetViews>
  <sheetFormatPr defaultRowHeight="15" x14ac:dyDescent="0.25"/>
  <sheetData>
    <row r="2" spans="1:11" x14ac:dyDescent="0.25">
      <c r="A2" s="22" t="s">
        <v>109</v>
      </c>
    </row>
    <row r="4" spans="1:11" x14ac:dyDescent="0.25">
      <c r="A4" s="20" t="s">
        <v>101</v>
      </c>
      <c r="B4" s="20" t="s">
        <v>91</v>
      </c>
      <c r="C4" s="20" t="s">
        <v>55</v>
      </c>
      <c r="D4" s="20" t="s">
        <v>66</v>
      </c>
      <c r="E4" s="20" t="s">
        <v>65</v>
      </c>
      <c r="F4" s="20" t="s">
        <v>46</v>
      </c>
      <c r="G4" s="20" t="s">
        <v>75</v>
      </c>
      <c r="H4" s="20" t="s">
        <v>73</v>
      </c>
      <c r="I4" s="20" t="s">
        <v>81</v>
      </c>
      <c r="J4" s="20" t="s">
        <v>85</v>
      </c>
    </row>
    <row r="5" spans="1:11" x14ac:dyDescent="0.25">
      <c r="A5">
        <v>1912</v>
      </c>
      <c r="B5" s="3">
        <v>49543</v>
      </c>
      <c r="C5" s="3">
        <v>69276</v>
      </c>
      <c r="D5" s="3">
        <v>95763</v>
      </c>
      <c r="E5" s="3">
        <v>54831</v>
      </c>
      <c r="F5" s="3">
        <v>84963</v>
      </c>
      <c r="G5" s="3">
        <v>56099</v>
      </c>
      <c r="H5" s="3">
        <v>84196</v>
      </c>
      <c r="I5" s="3">
        <v>150477</v>
      </c>
      <c r="J5" s="3">
        <v>84147</v>
      </c>
    </row>
    <row r="6" spans="1:11" x14ac:dyDescent="0.25">
      <c r="A6">
        <v>1913</v>
      </c>
      <c r="B6" s="3">
        <v>51145</v>
      </c>
      <c r="C6" s="3">
        <v>68354</v>
      </c>
      <c r="D6" s="3">
        <v>94474</v>
      </c>
      <c r="E6" s="3">
        <v>54649</v>
      </c>
      <c r="F6" s="3">
        <v>90305</v>
      </c>
      <c r="G6" s="3">
        <v>56155</v>
      </c>
      <c r="H6" s="3">
        <v>93589</v>
      </c>
      <c r="I6" s="3">
        <v>151661</v>
      </c>
      <c r="J6" s="3">
        <v>82474</v>
      </c>
    </row>
    <row r="7" spans="1:11" x14ac:dyDescent="0.25">
      <c r="A7">
        <v>1914</v>
      </c>
      <c r="B7" s="3">
        <v>53325</v>
      </c>
      <c r="C7" s="3">
        <v>69704</v>
      </c>
      <c r="D7" s="3">
        <v>96923</v>
      </c>
      <c r="E7" s="3">
        <v>54373</v>
      </c>
      <c r="F7" s="3">
        <v>89028</v>
      </c>
      <c r="G7" s="3">
        <v>55460</v>
      </c>
      <c r="H7" s="3">
        <v>98337</v>
      </c>
      <c r="I7" s="3">
        <v>156818</v>
      </c>
      <c r="J7" s="3">
        <v>83949</v>
      </c>
    </row>
    <row r="8" spans="1:11" x14ac:dyDescent="0.25">
      <c r="A8">
        <v>1915</v>
      </c>
      <c r="B8" s="3">
        <v>45608</v>
      </c>
      <c r="C8" s="3">
        <v>61575</v>
      </c>
      <c r="D8" s="3">
        <v>80210</v>
      </c>
      <c r="E8" s="3">
        <v>49738</v>
      </c>
      <c r="F8" s="3">
        <v>79192</v>
      </c>
      <c r="G8" s="3">
        <v>51956</v>
      </c>
      <c r="H8" s="3">
        <v>77407</v>
      </c>
      <c r="I8" s="3">
        <v>139176</v>
      </c>
      <c r="J8" s="3">
        <v>70571</v>
      </c>
    </row>
    <row r="9" spans="1:11" x14ac:dyDescent="0.25">
      <c r="A9">
        <v>1916</v>
      </c>
      <c r="B9" s="3">
        <v>36626</v>
      </c>
      <c r="C9" s="3">
        <v>42218</v>
      </c>
      <c r="D9" s="3">
        <v>56918</v>
      </c>
      <c r="E9" s="3">
        <v>37375</v>
      </c>
      <c r="F9" s="3">
        <v>59541</v>
      </c>
      <c r="G9" s="3">
        <v>46188</v>
      </c>
      <c r="H9" s="3">
        <v>70384</v>
      </c>
      <c r="I9" s="3">
        <v>90943</v>
      </c>
      <c r="J9" s="3">
        <v>71381</v>
      </c>
    </row>
    <row r="10" spans="1:11" x14ac:dyDescent="0.25">
      <c r="A10">
        <v>1917</v>
      </c>
      <c r="B10" s="3">
        <v>30097</v>
      </c>
      <c r="C10" s="3">
        <v>30446</v>
      </c>
      <c r="D10" s="3">
        <v>34144</v>
      </c>
      <c r="E10" s="3">
        <v>36284</v>
      </c>
      <c r="F10" s="3">
        <v>37793</v>
      </c>
      <c r="G10" s="3">
        <v>43109</v>
      </c>
      <c r="H10" s="3">
        <v>53998</v>
      </c>
      <c r="I10" s="3">
        <v>62306</v>
      </c>
      <c r="J10" s="3">
        <v>72192</v>
      </c>
    </row>
    <row r="12" spans="1:11" x14ac:dyDescent="0.25">
      <c r="A12" s="20"/>
      <c r="B12" s="20" t="s">
        <v>91</v>
      </c>
      <c r="C12" s="20" t="s">
        <v>55</v>
      </c>
      <c r="D12" s="20" t="s">
        <v>66</v>
      </c>
      <c r="E12" s="20" t="s">
        <v>65</v>
      </c>
      <c r="F12" s="20" t="s">
        <v>46</v>
      </c>
      <c r="G12" s="20" t="s">
        <v>75</v>
      </c>
      <c r="H12" s="20" t="s">
        <v>73</v>
      </c>
      <c r="I12" s="20" t="s">
        <v>81</v>
      </c>
      <c r="J12" s="20" t="s">
        <v>85</v>
      </c>
      <c r="K12" s="20" t="s">
        <v>35</v>
      </c>
    </row>
    <row r="13" spans="1:11" x14ac:dyDescent="0.25">
      <c r="A13">
        <v>1913</v>
      </c>
      <c r="B13" s="24">
        <f>B6/B$6</f>
        <v>1</v>
      </c>
      <c r="C13" s="24">
        <f t="shared" ref="C13:J13" si="0">C6/C$6</f>
        <v>1</v>
      </c>
      <c r="D13" s="24">
        <f t="shared" si="0"/>
        <v>1</v>
      </c>
      <c r="E13" s="24">
        <f t="shared" si="0"/>
        <v>1</v>
      </c>
      <c r="F13" s="24">
        <f t="shared" si="0"/>
        <v>1</v>
      </c>
      <c r="G13" s="24">
        <f t="shared" si="0"/>
        <v>1</v>
      </c>
      <c r="H13" s="24">
        <f t="shared" si="0"/>
        <v>1</v>
      </c>
      <c r="I13" s="24">
        <f t="shared" si="0"/>
        <v>1</v>
      </c>
      <c r="J13" s="24">
        <f t="shared" si="0"/>
        <v>1</v>
      </c>
      <c r="K13" s="24">
        <f>AVERAGE(B13:J13)</f>
        <v>1</v>
      </c>
    </row>
    <row r="14" spans="1:11" x14ac:dyDescent="0.25">
      <c r="A14">
        <v>1914</v>
      </c>
      <c r="B14" s="24">
        <f t="shared" ref="B14:J17" si="1">B7/B$6</f>
        <v>1.0426239124059047</v>
      </c>
      <c r="C14" s="24">
        <f t="shared" si="1"/>
        <v>1.0197501243526348</v>
      </c>
      <c r="D14" s="24">
        <f t="shared" si="1"/>
        <v>1.0259224760251497</v>
      </c>
      <c r="E14" s="24">
        <f t="shared" si="1"/>
        <v>0.99494958736664896</v>
      </c>
      <c r="F14" s="24">
        <f t="shared" si="1"/>
        <v>0.98585903327611979</v>
      </c>
      <c r="G14" s="24">
        <f t="shared" si="1"/>
        <v>0.98762354198201407</v>
      </c>
      <c r="H14" s="24">
        <f t="shared" si="1"/>
        <v>1.0507324578743229</v>
      </c>
      <c r="I14" s="24">
        <f t="shared" si="1"/>
        <v>1.0340034682614516</v>
      </c>
      <c r="J14" s="24">
        <f t="shared" si="1"/>
        <v>1.0178844241821665</v>
      </c>
      <c r="K14" s="24">
        <f t="shared" ref="K14:K17" si="2">AVERAGE(B14:J14)</f>
        <v>1.0177054473029348</v>
      </c>
    </row>
    <row r="15" spans="1:11" x14ac:dyDescent="0.25">
      <c r="A15">
        <v>1915</v>
      </c>
      <c r="B15" s="24">
        <f t="shared" si="1"/>
        <v>0.8917391729396813</v>
      </c>
      <c r="C15" s="24">
        <f t="shared" si="1"/>
        <v>0.90082511630628781</v>
      </c>
      <c r="D15" s="24">
        <f t="shared" si="1"/>
        <v>0.84901666066854375</v>
      </c>
      <c r="E15" s="24">
        <f t="shared" si="1"/>
        <v>0.91013559260004762</v>
      </c>
      <c r="F15" s="24">
        <f t="shared" si="1"/>
        <v>0.87693926139194955</v>
      </c>
      <c r="G15" s="24">
        <f t="shared" si="1"/>
        <v>0.925224824147449</v>
      </c>
      <c r="H15" s="24">
        <f t="shared" si="1"/>
        <v>0.82709506459092419</v>
      </c>
      <c r="I15" s="24">
        <f t="shared" si="1"/>
        <v>0.91767824292336198</v>
      </c>
      <c r="J15" s="24">
        <f t="shared" si="1"/>
        <v>0.85567572810825232</v>
      </c>
      <c r="K15" s="24">
        <f t="shared" si="2"/>
        <v>0.88381440707516645</v>
      </c>
    </row>
    <row r="16" spans="1:11" x14ac:dyDescent="0.25">
      <c r="A16">
        <v>1916</v>
      </c>
      <c r="B16" s="24">
        <f t="shared" si="1"/>
        <v>0.71612083292599471</v>
      </c>
      <c r="C16" s="24">
        <f t="shared" si="1"/>
        <v>0.61763759253299</v>
      </c>
      <c r="D16" s="24">
        <f t="shared" si="1"/>
        <v>0.60247263797446915</v>
      </c>
      <c r="E16" s="24">
        <f t="shared" si="1"/>
        <v>0.68391004409961753</v>
      </c>
      <c r="F16" s="24">
        <f t="shared" si="1"/>
        <v>0.65933226288688329</v>
      </c>
      <c r="G16" s="24">
        <f t="shared" si="1"/>
        <v>0.82250912652479746</v>
      </c>
      <c r="H16" s="24">
        <f t="shared" si="1"/>
        <v>0.75205419440318844</v>
      </c>
      <c r="I16" s="24">
        <f t="shared" si="1"/>
        <v>0.59964658020189765</v>
      </c>
      <c r="J16" s="24">
        <f t="shared" si="1"/>
        <v>0.86549700511676408</v>
      </c>
      <c r="K16" s="24">
        <f t="shared" si="2"/>
        <v>0.70213114185184489</v>
      </c>
    </row>
    <row r="17" spans="1:11" x14ac:dyDescent="0.25">
      <c r="A17">
        <v>1917</v>
      </c>
      <c r="B17" s="24">
        <f t="shared" si="1"/>
        <v>0.58846417049564959</v>
      </c>
      <c r="C17" s="24">
        <f t="shared" si="1"/>
        <v>0.44541650817801448</v>
      </c>
      <c r="D17" s="24">
        <f t="shared" si="1"/>
        <v>0.36141160530939731</v>
      </c>
      <c r="E17" s="24">
        <f t="shared" si="1"/>
        <v>0.66394627532068295</v>
      </c>
      <c r="F17" s="24">
        <f t="shared" si="1"/>
        <v>0.41850395880626767</v>
      </c>
      <c r="G17" s="24">
        <f t="shared" si="1"/>
        <v>0.76767874632713029</v>
      </c>
      <c r="H17" s="24">
        <f t="shared" si="1"/>
        <v>0.57696951564820653</v>
      </c>
      <c r="I17" s="24">
        <f t="shared" si="1"/>
        <v>0.41082414068217932</v>
      </c>
      <c r="J17" s="24">
        <f t="shared" si="1"/>
        <v>0.87533040715861965</v>
      </c>
      <c r="K17" s="24">
        <f t="shared" si="2"/>
        <v>0.56761614754734979</v>
      </c>
    </row>
    <row r="24" spans="1:11" x14ac:dyDescent="0.25">
      <c r="A24" s="22" t="s">
        <v>108</v>
      </c>
    </row>
    <row r="26" spans="1:11" x14ac:dyDescent="0.25">
      <c r="A26" s="20" t="s">
        <v>101</v>
      </c>
      <c r="B26" s="20" t="s">
        <v>55</v>
      </c>
      <c r="C26" s="20" t="s">
        <v>66</v>
      </c>
      <c r="D26" s="20" t="s">
        <v>91</v>
      </c>
      <c r="E26" s="20" t="s">
        <v>46</v>
      </c>
      <c r="F26" s="20" t="s">
        <v>65</v>
      </c>
      <c r="G26" s="20" t="s">
        <v>73</v>
      </c>
      <c r="H26" s="20" t="s">
        <v>85</v>
      </c>
      <c r="I26" s="20" t="s">
        <v>75</v>
      </c>
    </row>
    <row r="27" spans="1:11" x14ac:dyDescent="0.25">
      <c r="A27">
        <v>1912</v>
      </c>
      <c r="B27" s="3">
        <v>44029</v>
      </c>
      <c r="C27" s="3">
        <v>60734</v>
      </c>
      <c r="D27" s="3">
        <v>34775</v>
      </c>
      <c r="E27" s="3">
        <v>57098</v>
      </c>
      <c r="F27" s="3">
        <v>39881</v>
      </c>
      <c r="G27" s="3">
        <v>55147</v>
      </c>
      <c r="H27" s="3">
        <v>55908</v>
      </c>
      <c r="I27" s="3">
        <v>45957</v>
      </c>
    </row>
    <row r="28" spans="1:11" x14ac:dyDescent="0.25">
      <c r="A28">
        <v>1913</v>
      </c>
      <c r="B28" s="3">
        <v>46090</v>
      </c>
      <c r="C28" s="3">
        <v>66366</v>
      </c>
      <c r="D28" s="3">
        <v>38094</v>
      </c>
      <c r="E28" s="3">
        <v>60397</v>
      </c>
      <c r="F28" s="3">
        <v>41940</v>
      </c>
      <c r="G28" s="3">
        <v>66673</v>
      </c>
      <c r="H28" s="3">
        <v>61754</v>
      </c>
      <c r="I28" s="3">
        <v>45446</v>
      </c>
    </row>
    <row r="29" spans="1:11" x14ac:dyDescent="0.25">
      <c r="A29">
        <v>1914</v>
      </c>
      <c r="B29" s="3">
        <v>48265</v>
      </c>
      <c r="C29" s="3">
        <v>60172</v>
      </c>
      <c r="D29" s="3">
        <v>34493</v>
      </c>
      <c r="E29" s="3">
        <v>53331</v>
      </c>
      <c r="F29" s="3">
        <v>42198</v>
      </c>
      <c r="G29" s="3">
        <v>61633</v>
      </c>
      <c r="H29" s="3">
        <v>57711</v>
      </c>
      <c r="I29" s="3">
        <v>47597</v>
      </c>
    </row>
    <row r="30" spans="1:11" x14ac:dyDescent="0.25">
      <c r="A30">
        <v>1915</v>
      </c>
      <c r="B30" s="3">
        <v>44333</v>
      </c>
      <c r="C30" s="3">
        <v>57175</v>
      </c>
      <c r="D30" s="3">
        <v>31018</v>
      </c>
      <c r="E30" s="3">
        <v>52841</v>
      </c>
      <c r="F30" s="3">
        <v>52710</v>
      </c>
      <c r="G30" s="3">
        <v>59190</v>
      </c>
      <c r="H30" s="3">
        <v>48114</v>
      </c>
      <c r="I30" s="3">
        <v>52866</v>
      </c>
    </row>
    <row r="31" spans="1:11" x14ac:dyDescent="0.25">
      <c r="A31">
        <v>1916</v>
      </c>
      <c r="B31" s="3">
        <v>36782</v>
      </c>
      <c r="C31" s="3">
        <v>44672</v>
      </c>
      <c r="D31" s="3">
        <v>32417</v>
      </c>
      <c r="E31" s="3">
        <v>48132</v>
      </c>
      <c r="F31" s="3">
        <v>49714</v>
      </c>
      <c r="G31" s="3">
        <v>64968</v>
      </c>
      <c r="H31" s="3">
        <v>52095</v>
      </c>
      <c r="I31" s="3">
        <v>55980</v>
      </c>
    </row>
    <row r="32" spans="1:11" x14ac:dyDescent="0.25">
      <c r="A32">
        <v>1917</v>
      </c>
      <c r="B32" s="3">
        <v>34136</v>
      </c>
      <c r="C32" s="3">
        <v>36168</v>
      </c>
      <c r="D32" s="3">
        <v>36754</v>
      </c>
      <c r="E32" s="3">
        <v>41490</v>
      </c>
      <c r="F32" s="3">
        <v>44542</v>
      </c>
      <c r="G32" s="3">
        <v>54399</v>
      </c>
      <c r="H32" s="3">
        <v>56077</v>
      </c>
      <c r="I32" s="3">
        <v>61000</v>
      </c>
    </row>
    <row r="34" spans="1:10" x14ac:dyDescent="0.25">
      <c r="B34" s="20" t="s">
        <v>55</v>
      </c>
      <c r="C34" s="20" t="s">
        <v>66</v>
      </c>
      <c r="D34" s="20" t="s">
        <v>91</v>
      </c>
      <c r="E34" s="20" t="s">
        <v>46</v>
      </c>
      <c r="F34" s="20" t="s">
        <v>65</v>
      </c>
      <c r="G34" s="20" t="s">
        <v>73</v>
      </c>
      <c r="H34" s="20" t="s">
        <v>85</v>
      </c>
      <c r="I34" s="20" t="s">
        <v>75</v>
      </c>
      <c r="J34" s="20" t="s">
        <v>35</v>
      </c>
    </row>
    <row r="35" spans="1:10" x14ac:dyDescent="0.25">
      <c r="A35">
        <v>1913</v>
      </c>
      <c r="B35" s="24">
        <f>B28/B$28</f>
        <v>1</v>
      </c>
      <c r="C35" s="24">
        <f t="shared" ref="C35:I35" si="3">C28/C$28</f>
        <v>1</v>
      </c>
      <c r="D35" s="24">
        <f t="shared" si="3"/>
        <v>1</v>
      </c>
      <c r="E35" s="24">
        <f t="shared" si="3"/>
        <v>1</v>
      </c>
      <c r="F35" s="24">
        <f t="shared" si="3"/>
        <v>1</v>
      </c>
      <c r="G35" s="24">
        <f t="shared" si="3"/>
        <v>1</v>
      </c>
      <c r="H35" s="24">
        <f t="shared" si="3"/>
        <v>1</v>
      </c>
      <c r="I35" s="24">
        <f t="shared" si="3"/>
        <v>1</v>
      </c>
      <c r="J35" s="24">
        <f>AVERAGE(B35:I35)</f>
        <v>1</v>
      </c>
    </row>
    <row r="36" spans="1:10" x14ac:dyDescent="0.25">
      <c r="A36">
        <v>1914</v>
      </c>
      <c r="B36" s="24">
        <f t="shared" ref="B36:I39" si="4">B29/B$28</f>
        <v>1.0471902798871773</v>
      </c>
      <c r="C36" s="24">
        <f t="shared" si="4"/>
        <v>0.90666907753970405</v>
      </c>
      <c r="D36" s="24">
        <f t="shared" si="4"/>
        <v>0.90547067779702839</v>
      </c>
      <c r="E36" s="24">
        <f t="shared" si="4"/>
        <v>0.88300743414408001</v>
      </c>
      <c r="F36" s="24">
        <f t="shared" si="4"/>
        <v>1.0061516452074393</v>
      </c>
      <c r="G36" s="24">
        <f t="shared" si="4"/>
        <v>0.92440718131777477</v>
      </c>
      <c r="H36" s="24">
        <f t="shared" si="4"/>
        <v>0.93453055672507046</v>
      </c>
      <c r="I36" s="24">
        <f t="shared" si="4"/>
        <v>1.0473308982088632</v>
      </c>
      <c r="J36" s="24">
        <f t="shared" ref="J36:J39" si="5">AVERAGE(B36:I36)</f>
        <v>0.95684471885339217</v>
      </c>
    </row>
    <row r="37" spans="1:10" x14ac:dyDescent="0.25">
      <c r="A37">
        <v>1915</v>
      </c>
      <c r="B37" s="24">
        <f t="shared" si="4"/>
        <v>0.9618789325233239</v>
      </c>
      <c r="C37" s="24">
        <f t="shared" si="4"/>
        <v>0.86151041195793021</v>
      </c>
      <c r="D37" s="24">
        <f t="shared" si="4"/>
        <v>0.81424896309130046</v>
      </c>
      <c r="E37" s="24">
        <f t="shared" si="4"/>
        <v>0.87489444839975494</v>
      </c>
      <c r="F37" s="24">
        <f t="shared" si="4"/>
        <v>1.2567954220314734</v>
      </c>
      <c r="G37" s="24">
        <f t="shared" si="4"/>
        <v>0.88776566226208509</v>
      </c>
      <c r="H37" s="24">
        <f t="shared" si="4"/>
        <v>0.77912361952262199</v>
      </c>
      <c r="I37" s="24">
        <f t="shared" si="4"/>
        <v>1.1632706948906395</v>
      </c>
      <c r="J37" s="24">
        <f t="shared" si="5"/>
        <v>0.94993601933489114</v>
      </c>
    </row>
    <row r="38" spans="1:10" x14ac:dyDescent="0.25">
      <c r="A38">
        <v>1916</v>
      </c>
      <c r="B38" s="24">
        <f t="shared" si="4"/>
        <v>0.79804729876328917</v>
      </c>
      <c r="C38" s="24">
        <f t="shared" si="4"/>
        <v>0.67311575204170815</v>
      </c>
      <c r="D38" s="24">
        <f t="shared" si="4"/>
        <v>0.85097390665196615</v>
      </c>
      <c r="E38" s="24">
        <f t="shared" si="4"/>
        <v>0.79692699968541481</v>
      </c>
      <c r="F38" s="24">
        <f t="shared" si="4"/>
        <v>1.1853600381497378</v>
      </c>
      <c r="G38" s="24">
        <f t="shared" si="4"/>
        <v>0.97442742939420757</v>
      </c>
      <c r="H38" s="24">
        <f t="shared" si="4"/>
        <v>0.8435890792499271</v>
      </c>
      <c r="I38" s="24">
        <f t="shared" si="4"/>
        <v>1.2317915768164416</v>
      </c>
      <c r="J38" s="24">
        <f t="shared" si="5"/>
        <v>0.91927901009408663</v>
      </c>
    </row>
    <row r="39" spans="1:10" x14ac:dyDescent="0.25">
      <c r="A39">
        <v>1917</v>
      </c>
      <c r="B39" s="24">
        <f t="shared" si="4"/>
        <v>0.7406378824039922</v>
      </c>
      <c r="C39" s="24">
        <f t="shared" si="4"/>
        <v>0.54497785010396893</v>
      </c>
      <c r="D39" s="24">
        <f t="shared" si="4"/>
        <v>0.96482385677534521</v>
      </c>
      <c r="E39" s="24">
        <f t="shared" si="4"/>
        <v>0.68695465006540057</v>
      </c>
      <c r="F39" s="24">
        <f t="shared" si="4"/>
        <v>1.0620410109680496</v>
      </c>
      <c r="G39" s="24">
        <f t="shared" si="4"/>
        <v>0.81590748878856512</v>
      </c>
      <c r="H39" s="24">
        <f t="shared" si="4"/>
        <v>0.90807073226025847</v>
      </c>
      <c r="I39" s="24">
        <f t="shared" si="4"/>
        <v>1.3422523434405669</v>
      </c>
      <c r="J39" s="24">
        <f t="shared" si="5"/>
        <v>0.88320822685076839</v>
      </c>
    </row>
  </sheetData>
  <pageMargins left="0.7" right="0.7" top="0.75" bottom="0.75" header="0.3" footer="0.3"/>
  <drawing r:id="rId1"/>
</worksheet>
</file>

<file path=docMetadata/LabelInfo.xml><?xml version="1.0" encoding="utf-8"?>
<clbl:labelList xmlns:clbl="http://schemas.microsoft.com/office/2020/mipLabelMetadata">
  <clbl:label id="{0cf7ac0a-4681-4823-ab0b-04ef02c5f873}" enabled="1" method="Standard" siteId="{42f7676c-f455-423c-82f6-dc2d99791af7}" contentBits="0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1</vt:i4>
      </vt:variant>
    </vt:vector>
  </HeadingPairs>
  <TitlesOfParts>
    <vt:vector size="14" baseType="lpstr">
      <vt:lpstr>Оценки</vt:lpstr>
      <vt:lpstr>Боярский</vt:lpstr>
      <vt:lpstr>Боярский-мод</vt:lpstr>
      <vt:lpstr>Максудов</vt:lpstr>
      <vt:lpstr>Бирабен</vt:lpstr>
      <vt:lpstr>смесь-1</vt:lpstr>
      <vt:lpstr>поля конверта</vt:lpstr>
      <vt:lpstr>work</vt:lpstr>
      <vt:lpstr>Новосельский</vt:lpstr>
      <vt:lpstr>Новосельский-РСФСР</vt:lpstr>
      <vt:lpstr>Новосельский-РСФСР-рождения</vt:lpstr>
      <vt:lpstr>Новосельский-РСФСР-смерти</vt:lpstr>
      <vt:lpstr>Новосельский-РСФСР-графики</vt:lpstr>
      <vt:lpstr>WEIGHT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sergey</dc:creator>
  <cp:lastModifiedBy>sergey</cp:lastModifiedBy>
  <dcterms:created xsi:type="dcterms:W3CDTF">2026-05-31T23:49:13Z</dcterms:created>
  <dcterms:modified xsi:type="dcterms:W3CDTF">2026-06-23T18:08:34Z</dcterms:modified>
</cp:coreProperties>
</file>