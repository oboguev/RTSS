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518AC5C0-7C60-4BC0-9A73-E09C7D7381C5}" xr6:coauthVersionLast="45" xr6:coauthVersionMax="47" xr10:uidLastSave="{00000000-0000-0000-0000-000000000000}"/>
  <bookViews>
    <workbookView xWindow="-60" yWindow="-60" windowWidth="38520" windowHeight="23700" firstSheet="5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2" i="14" l="1"/>
  <c r="F123" i="14"/>
  <c r="F21" i="4"/>
  <c r="F5" i="3"/>
  <c r="F5" i="5"/>
  <c r="I5" i="13"/>
  <c r="F5" i="2"/>
  <c r="K341" i="14" l="1"/>
  <c r="K340" i="14"/>
  <c r="K339" i="14"/>
  <c r="K338" i="14"/>
  <c r="K337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C193" i="14"/>
  <c r="F193" i="14" s="1"/>
  <c r="C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C194" i="14"/>
  <c r="F194" i="14" s="1"/>
  <c r="C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D229" i="14" l="1"/>
  <c r="K336" i="14"/>
  <c r="D227" i="14"/>
  <c r="K334" i="14"/>
  <c r="D226" i="14"/>
  <c r="K333" i="14"/>
  <c r="D228" i="14"/>
  <c r="K335" i="14"/>
  <c r="I222" i="14"/>
  <c r="H222" i="14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J222" i="14" l="1"/>
  <c r="F223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3" i="14"/>
  <c r="H223" i="14" l="1"/>
  <c r="I223" i="14"/>
  <c r="J223" i="14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224" i="14"/>
  <c r="G1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D21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25" i="14"/>
  <c r="G21" i="4"/>
  <c r="G125" i="14"/>
  <c r="I225" i="14" l="1"/>
  <c r="H225" i="14"/>
  <c r="J225" i="14" s="1"/>
  <c r="F226" i="14" s="1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1" i="4"/>
  <c r="H21" i="4"/>
  <c r="D16" i="3"/>
  <c r="D15" i="3"/>
  <c r="D14" i="3"/>
  <c r="D13" i="3"/>
  <c r="D12" i="3"/>
  <c r="D11" i="3"/>
  <c r="D10" i="3"/>
  <c r="D9" i="3"/>
  <c r="D8" i="3"/>
  <c r="D7" i="3"/>
  <c r="D6" i="3"/>
  <c r="D5" i="3"/>
  <c r="D16" i="5"/>
  <c r="D15" i="5"/>
  <c r="D14" i="5"/>
  <c r="D13" i="5"/>
  <c r="D12" i="5"/>
  <c r="D11" i="5"/>
  <c r="D10" i="5"/>
  <c r="D9" i="5"/>
  <c r="D8" i="5"/>
  <c r="D7" i="5"/>
  <c r="D6" i="5"/>
  <c r="D5" i="5"/>
  <c r="D16" i="2"/>
  <c r="D15" i="2"/>
  <c r="D14" i="2"/>
  <c r="D13" i="2"/>
  <c r="D12" i="2"/>
  <c r="D11" i="2"/>
  <c r="D10" i="2"/>
  <c r="D9" i="2"/>
  <c r="D8" i="2"/>
  <c r="D7" i="2"/>
  <c r="D6" i="2"/>
  <c r="D5" i="2"/>
  <c r="G5" i="5"/>
  <c r="G226" i="14"/>
  <c r="J5" i="13"/>
  <c r="I226" i="14" l="1"/>
  <c r="H226" i="14"/>
  <c r="G6" i="13"/>
  <c r="G5" i="13"/>
  <c r="J125" i="14"/>
  <c r="F126" i="14" s="1"/>
  <c r="L5" i="13"/>
  <c r="K5" i="13"/>
  <c r="J21" i="4"/>
  <c r="F22" i="4" s="1"/>
  <c r="I5" i="3"/>
  <c r="H5" i="3"/>
  <c r="I5" i="5"/>
  <c r="H5" i="5"/>
  <c r="G22" i="4"/>
  <c r="G5" i="2"/>
  <c r="J226" i="14" l="1"/>
  <c r="F227" i="14" s="1"/>
  <c r="J5" i="3"/>
  <c r="F6" i="3" s="1"/>
  <c r="M5" i="13"/>
  <c r="I6" i="13" s="1"/>
  <c r="H22" i="4"/>
  <c r="I22" i="4"/>
  <c r="H5" i="2"/>
  <c r="I5" i="2"/>
  <c r="J5" i="5"/>
  <c r="F6" i="5" s="1"/>
  <c r="G227" i="14"/>
  <c r="G6" i="3"/>
  <c r="J6" i="13"/>
  <c r="G126" i="14"/>
  <c r="G6" i="5"/>
  <c r="I227" i="14" l="1"/>
  <c r="H227" i="14"/>
  <c r="I126" i="14"/>
  <c r="H126" i="14"/>
  <c r="I6" i="3"/>
  <c r="H6" i="3"/>
  <c r="K6" i="13"/>
  <c r="L6" i="13"/>
  <c r="J22" i="4"/>
  <c r="F23" i="4" s="1"/>
  <c r="I6" i="5"/>
  <c r="H6" i="5"/>
  <c r="J5" i="2"/>
  <c r="F6" i="2" s="1"/>
  <c r="G23" i="4"/>
  <c r="G6" i="2"/>
  <c r="J227" i="14" l="1"/>
  <c r="F228" i="14" s="1"/>
  <c r="J126" i="14"/>
  <c r="F127" i="14" s="1"/>
  <c r="J6" i="3"/>
  <c r="F7" i="3" s="1"/>
  <c r="J6" i="5"/>
  <c r="F7" i="5" s="1"/>
  <c r="M6" i="13"/>
  <c r="I7" i="13" s="1"/>
  <c r="I23" i="4"/>
  <c r="H23" i="4"/>
  <c r="H6" i="2"/>
  <c r="I6" i="2"/>
  <c r="G228" i="14"/>
  <c r="G7" i="5"/>
  <c r="J7" i="13"/>
  <c r="G7" i="3"/>
  <c r="G127" i="14"/>
  <c r="I228" i="14" l="1"/>
  <c r="H228" i="14"/>
  <c r="J228" i="14" s="1"/>
  <c r="F229" i="14" s="1"/>
  <c r="H127" i="14"/>
  <c r="I127" i="14"/>
  <c r="I7" i="3"/>
  <c r="H7" i="3"/>
  <c r="I7" i="5"/>
  <c r="H7" i="5"/>
  <c r="L7" i="13"/>
  <c r="K7" i="13"/>
  <c r="J23" i="4"/>
  <c r="F24" i="4" s="1"/>
  <c r="J6" i="2"/>
  <c r="F7" i="2" s="1"/>
  <c r="G229" i="14"/>
  <c r="G7" i="2"/>
  <c r="G24" i="4"/>
  <c r="J7" i="3" l="1"/>
  <c r="F8" i="3" s="1"/>
  <c r="I229" i="14"/>
  <c r="H229" i="14"/>
  <c r="J7" i="5"/>
  <c r="F8" i="5" s="1"/>
  <c r="J127" i="14"/>
  <c r="F128" i="14" s="1"/>
  <c r="M7" i="13"/>
  <c r="I8" i="13" s="1"/>
  <c r="H24" i="4"/>
  <c r="I24" i="4"/>
  <c r="H7" i="2"/>
  <c r="I7" i="2"/>
  <c r="G8" i="3"/>
  <c r="G8" i="5"/>
  <c r="G128" i="14"/>
  <c r="J8" i="13"/>
  <c r="I8" i="3" l="1"/>
  <c r="J8" i="3" s="1"/>
  <c r="F9" i="3" s="1"/>
  <c r="H8" i="3"/>
  <c r="J229" i="14"/>
  <c r="F230" i="14" s="1"/>
  <c r="H8" i="5"/>
  <c r="J8" i="5" s="1"/>
  <c r="F9" i="5" s="1"/>
  <c r="I8" i="5"/>
  <c r="I128" i="14"/>
  <c r="H128" i="14"/>
  <c r="K8" i="13"/>
  <c r="L8" i="13"/>
  <c r="J24" i="4"/>
  <c r="F25" i="4" s="1"/>
  <c r="J7" i="2"/>
  <c r="F8" i="2" s="1"/>
  <c r="G9" i="5"/>
  <c r="G8" i="2"/>
  <c r="G230" i="14"/>
  <c r="G25" i="4"/>
  <c r="G9" i="3"/>
  <c r="H230" i="14" l="1"/>
  <c r="I230" i="14"/>
  <c r="J128" i="14"/>
  <c r="F129" i="14" s="1"/>
  <c r="I9" i="5"/>
  <c r="H9" i="5"/>
  <c r="H9" i="3"/>
  <c r="I9" i="3"/>
  <c r="M8" i="13"/>
  <c r="I9" i="13" s="1"/>
  <c r="H8" i="2"/>
  <c r="I8" i="2"/>
  <c r="H25" i="4"/>
  <c r="I25" i="4"/>
  <c r="J9" i="13"/>
  <c r="G129" i="14"/>
  <c r="J230" i="14" l="1"/>
  <c r="F231" i="14" s="1"/>
  <c r="I129" i="14"/>
  <c r="H129" i="14"/>
  <c r="J9" i="5"/>
  <c r="F10" i="5" s="1"/>
  <c r="J9" i="3"/>
  <c r="F10" i="3" s="1"/>
  <c r="J8" i="2"/>
  <c r="F9" i="2" s="1"/>
  <c r="J25" i="4"/>
  <c r="F26" i="4" s="1"/>
  <c r="K9" i="13"/>
  <c r="L9" i="13"/>
  <c r="G231" i="14"/>
  <c r="G10" i="5"/>
  <c r="G10" i="3"/>
  <c r="G26" i="4"/>
  <c r="G9" i="2"/>
  <c r="H231" i="14" l="1"/>
  <c r="I231" i="14"/>
  <c r="J129" i="14"/>
  <c r="F130" i="14" s="1"/>
  <c r="H10" i="5"/>
  <c r="I10" i="5"/>
  <c r="I10" i="3"/>
  <c r="H10" i="3"/>
  <c r="H26" i="4"/>
  <c r="I26" i="4"/>
  <c r="H9" i="2"/>
  <c r="I9" i="2"/>
  <c r="M9" i="13"/>
  <c r="I10" i="13" s="1"/>
  <c r="G130" i="14"/>
  <c r="J10" i="13"/>
  <c r="J231" i="14" l="1"/>
  <c r="F232" i="14" s="1"/>
  <c r="J10" i="3"/>
  <c r="F11" i="3" s="1"/>
  <c r="J26" i="4"/>
  <c r="F27" i="4" s="1"/>
  <c r="J10" i="5"/>
  <c r="F11" i="5" s="1"/>
  <c r="I130" i="14"/>
  <c r="H130" i="14"/>
  <c r="J9" i="2"/>
  <c r="F10" i="2" s="1"/>
  <c r="K10" i="13"/>
  <c r="L10" i="13"/>
  <c r="G232" i="14"/>
  <c r="G11" i="3"/>
  <c r="G11" i="5"/>
  <c r="G27" i="4"/>
  <c r="G10" i="2"/>
  <c r="H232" i="14" l="1"/>
  <c r="I232" i="14"/>
  <c r="H27" i="4"/>
  <c r="I27" i="4"/>
  <c r="I11" i="3"/>
  <c r="H11" i="3"/>
  <c r="J11" i="3" s="1"/>
  <c r="F12" i="3" s="1"/>
  <c r="J130" i="14"/>
  <c r="F131" i="14" s="1"/>
  <c r="I11" i="5"/>
  <c r="H11" i="5"/>
  <c r="J11" i="5" s="1"/>
  <c r="F12" i="5" s="1"/>
  <c r="J232" i="14"/>
  <c r="F233" i="14" s="1"/>
  <c r="H10" i="2"/>
  <c r="I10" i="2"/>
  <c r="M10" i="13"/>
  <c r="I11" i="13" s="1"/>
  <c r="G131" i="14"/>
  <c r="G12" i="3"/>
  <c r="G233" i="14"/>
  <c r="G12" i="5"/>
  <c r="J11" i="13"/>
  <c r="J27" i="4" l="1"/>
  <c r="F28" i="4" s="1"/>
  <c r="J10" i="2"/>
  <c r="F11" i="2" s="1"/>
  <c r="I233" i="14"/>
  <c r="H233" i="14"/>
  <c r="I131" i="14"/>
  <c r="H131" i="14"/>
  <c r="I12" i="3"/>
  <c r="H12" i="3"/>
  <c r="K11" i="13"/>
  <c r="L11" i="13"/>
  <c r="I12" i="5"/>
  <c r="H12" i="5"/>
  <c r="G28" i="4"/>
  <c r="G11" i="2"/>
  <c r="H28" i="4" l="1"/>
  <c r="J28" i="4" s="1"/>
  <c r="F29" i="4" s="1"/>
  <c r="I28" i="4"/>
  <c r="H11" i="2"/>
  <c r="I11" i="2"/>
  <c r="J12" i="3"/>
  <c r="F13" i="3" s="1"/>
  <c r="J233" i="14"/>
  <c r="F234" i="14" s="1"/>
  <c r="J131" i="14"/>
  <c r="F132" i="14" s="1"/>
  <c r="J12" i="5"/>
  <c r="F13" i="5" s="1"/>
  <c r="M11" i="13"/>
  <c r="I12" i="13" s="1"/>
  <c r="G13" i="3"/>
  <c r="G132" i="14"/>
  <c r="J12" i="13"/>
  <c r="G234" i="14"/>
  <c r="G29" i="4"/>
  <c r="G13" i="5"/>
  <c r="J11" i="2" l="1"/>
  <c r="F12" i="2" s="1"/>
  <c r="H13" i="3"/>
  <c r="I13" i="3"/>
  <c r="J13" i="3" s="1"/>
  <c r="F14" i="3" s="1"/>
  <c r="I234" i="14"/>
  <c r="H234" i="14"/>
  <c r="J234" i="14" s="1"/>
  <c r="F238" i="14"/>
  <c r="H132" i="14"/>
  <c r="I132" i="14"/>
  <c r="H13" i="5"/>
  <c r="I13" i="5"/>
  <c r="I29" i="4"/>
  <c r="H29" i="4"/>
  <c r="K12" i="13"/>
  <c r="L12" i="13"/>
  <c r="G12" i="2"/>
  <c r="G14" i="3"/>
  <c r="I12" i="2" l="1"/>
  <c r="H12" i="2"/>
  <c r="J132" i="14"/>
  <c r="F133" i="14" s="1"/>
  <c r="J13" i="5"/>
  <c r="F14" i="5" s="1"/>
  <c r="J29" i="4"/>
  <c r="F30" i="4" s="1"/>
  <c r="M12" i="13"/>
  <c r="I13" i="13" s="1"/>
  <c r="J12" i="2"/>
  <c r="F13" i="2" s="1"/>
  <c r="H14" i="3"/>
  <c r="I14" i="3"/>
  <c r="G14" i="5"/>
  <c r="G30" i="4"/>
  <c r="J13" i="13"/>
  <c r="G133" i="14"/>
  <c r="G13" i="2"/>
  <c r="H133" i="14" l="1"/>
  <c r="I133" i="14"/>
  <c r="I14" i="5"/>
  <c r="H14" i="5"/>
  <c r="H30" i="4"/>
  <c r="I30" i="4"/>
  <c r="L13" i="13"/>
  <c r="K13" i="13"/>
  <c r="I13" i="2"/>
  <c r="H13" i="2"/>
  <c r="J14" i="3"/>
  <c r="F15" i="3" s="1"/>
  <c r="G15" i="3"/>
  <c r="J14" i="5" l="1"/>
  <c r="F15" i="5" s="1"/>
  <c r="M13" i="13"/>
  <c r="I14" i="13" s="1"/>
  <c r="J30" i="4"/>
  <c r="F31" i="4" s="1"/>
  <c r="J133" i="14"/>
  <c r="F134" i="14" s="1"/>
  <c r="J13" i="2"/>
  <c r="F14" i="2" s="1"/>
  <c r="I15" i="3"/>
  <c r="H15" i="3"/>
  <c r="G15" i="5"/>
  <c r="G14" i="2"/>
  <c r="G31" i="4"/>
  <c r="J14" i="13"/>
  <c r="G134" i="14"/>
  <c r="I15" i="5" l="1"/>
  <c r="H15" i="5"/>
  <c r="L14" i="13"/>
  <c r="K14" i="13"/>
  <c r="I31" i="4"/>
  <c r="H31" i="4"/>
  <c r="J31" i="4" s="1"/>
  <c r="F32" i="4" s="1"/>
  <c r="H134" i="14"/>
  <c r="I134" i="14"/>
  <c r="J15" i="5"/>
  <c r="F16" i="5" s="1"/>
  <c r="J15" i="3"/>
  <c r="F16" i="3" s="1"/>
  <c r="H14" i="2"/>
  <c r="I14" i="2"/>
  <c r="G16" i="5"/>
  <c r="G32" i="4"/>
  <c r="G16" i="3"/>
  <c r="M14" i="13" l="1"/>
  <c r="I15" i="13" s="1"/>
  <c r="J134" i="14"/>
  <c r="F135" i="14" s="1"/>
  <c r="F139" i="14" s="1"/>
  <c r="I16" i="5"/>
  <c r="H16" i="5"/>
  <c r="J16" i="5" s="1"/>
  <c r="F17" i="5" s="1"/>
  <c r="F21" i="5" s="1"/>
  <c r="H16" i="3"/>
  <c r="I16" i="3"/>
  <c r="J14" i="2"/>
  <c r="F15" i="2" s="1"/>
  <c r="I32" i="4"/>
  <c r="H32" i="4"/>
  <c r="G15" i="2"/>
  <c r="J15" i="13"/>
  <c r="J16" i="3" l="1"/>
  <c r="F17" i="3" s="1"/>
  <c r="F21" i="3" s="1"/>
  <c r="L15" i="13"/>
  <c r="K15" i="13"/>
  <c r="J32" i="4"/>
  <c r="F33" i="4" s="1"/>
  <c r="F37" i="4" s="1"/>
  <c r="I15" i="2"/>
  <c r="H15" i="2"/>
  <c r="M15" i="13" l="1"/>
  <c r="I16" i="13" s="1"/>
  <c r="J15" i="2"/>
  <c r="F16" i="2" s="1"/>
  <c r="J16" i="13"/>
  <c r="G16" i="2"/>
  <c r="K16" i="13" l="1"/>
  <c r="L16" i="13"/>
  <c r="I16" i="2"/>
  <c r="H16" i="2"/>
  <c r="M16" i="13" l="1"/>
  <c r="I17" i="13" s="1"/>
  <c r="I21" i="13" s="1"/>
  <c r="J16" i="2"/>
  <c r="F17" i="2" s="1"/>
  <c r="F21" i="2" s="1"/>
</calcChain>
</file>

<file path=xl/sharedStrings.xml><?xml version="1.0" encoding="utf-8"?>
<sst xmlns="http://schemas.openxmlformats.org/spreadsheetml/2006/main" count="539" uniqueCount="171">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</sst>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ont="1" applyFill="1" applyAlignment="1">
      <alignment horizontal="right" vertical="center" wrapText="1"/>
    </xf>
    <xf numFmtId="0" fontId="0" fillId="0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A5" sqref="A5:R20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0" t="s">
        <v>6</v>
      </c>
      <c r="C5" s="80"/>
      <c r="D5" s="80"/>
      <c r="E5" s="80"/>
      <c r="F5" s="80"/>
      <c r="G5" s="80"/>
      <c r="H5" s="80"/>
      <c r="I5" s="80"/>
      <c r="J5" s="81" t="s">
        <v>7</v>
      </c>
      <c r="K5" s="81"/>
      <c r="L5" s="81"/>
      <c r="M5" s="81"/>
      <c r="N5" s="81"/>
      <c r="O5" s="81"/>
      <c r="P5" s="81"/>
      <c r="Q5" s="81"/>
      <c r="R5" s="81"/>
    </row>
    <row r="6" spans="1:21" ht="30" x14ac:dyDescent="0.25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1">
        <v>1913</v>
      </c>
      <c r="B7" s="39"/>
      <c r="C7" s="39"/>
      <c r="D7" s="40">
        <v>47</v>
      </c>
      <c r="E7" s="40">
        <v>44.1</v>
      </c>
      <c r="F7" s="39"/>
      <c r="G7" s="40">
        <v>47</v>
      </c>
      <c r="H7" s="39"/>
      <c r="I7" s="39"/>
      <c r="J7" s="39"/>
      <c r="K7" s="39"/>
      <c r="L7" s="40">
        <v>30.2</v>
      </c>
      <c r="M7" s="40">
        <v>24.7</v>
      </c>
      <c r="N7" s="39"/>
      <c r="O7" s="40">
        <v>30.2</v>
      </c>
      <c r="P7" s="39"/>
      <c r="Q7" s="39"/>
      <c r="R7" s="39"/>
    </row>
    <row r="8" spans="1:21" x14ac:dyDescent="0.25">
      <c r="A8" s="41">
        <v>1914</v>
      </c>
      <c r="B8" s="39"/>
      <c r="C8" s="39">
        <v>43.7</v>
      </c>
      <c r="D8" s="40">
        <v>43.7</v>
      </c>
      <c r="E8" s="40">
        <v>45.4</v>
      </c>
      <c r="F8" s="39"/>
      <c r="G8" s="40">
        <v>46.9</v>
      </c>
      <c r="H8" s="39"/>
      <c r="I8" s="39"/>
      <c r="J8" s="39"/>
      <c r="K8" s="39">
        <v>27.2</v>
      </c>
      <c r="L8" s="40">
        <v>27.2</v>
      </c>
      <c r="M8" s="40">
        <v>26.6</v>
      </c>
      <c r="N8" s="39"/>
      <c r="O8" s="40">
        <v>29.6</v>
      </c>
      <c r="P8" s="39"/>
      <c r="Q8" s="39"/>
      <c r="R8" s="39"/>
    </row>
    <row r="9" spans="1:21" x14ac:dyDescent="0.25">
      <c r="A9" s="42">
        <v>1915</v>
      </c>
      <c r="B9" s="37"/>
      <c r="C9" s="37">
        <v>35.9</v>
      </c>
      <c r="D9" s="37">
        <v>35.9</v>
      </c>
      <c r="E9" s="37">
        <v>43.1</v>
      </c>
      <c r="F9" s="37"/>
      <c r="G9" s="37">
        <v>39.700000000000003</v>
      </c>
      <c r="H9" s="37"/>
      <c r="I9" s="37"/>
      <c r="J9" s="37"/>
      <c r="K9" s="37">
        <v>28.8</v>
      </c>
      <c r="L9" s="37">
        <v>28.8</v>
      </c>
      <c r="M9" s="37">
        <v>25.6</v>
      </c>
      <c r="N9" s="37"/>
      <c r="O9" s="37">
        <v>35.4</v>
      </c>
      <c r="P9" s="37"/>
      <c r="Q9" s="37"/>
      <c r="R9" s="37"/>
    </row>
    <row r="10" spans="1:21" x14ac:dyDescent="0.25">
      <c r="A10" s="42">
        <v>1916</v>
      </c>
      <c r="B10" s="37"/>
      <c r="C10" s="37">
        <v>27.1</v>
      </c>
      <c r="D10" s="37">
        <v>27.1</v>
      </c>
      <c r="E10" s="37">
        <v>37.4</v>
      </c>
      <c r="F10" s="37"/>
      <c r="G10" s="37">
        <v>29.9</v>
      </c>
      <c r="H10" s="37"/>
      <c r="I10" s="37"/>
      <c r="J10" s="37"/>
      <c r="K10" s="37">
        <v>25.4</v>
      </c>
      <c r="L10" s="37">
        <v>25.4</v>
      </c>
      <c r="M10" s="37">
        <v>42.6</v>
      </c>
      <c r="N10" s="37"/>
      <c r="O10" s="37">
        <v>33</v>
      </c>
      <c r="P10" s="37"/>
      <c r="Q10" s="37"/>
      <c r="R10" s="37"/>
    </row>
    <row r="11" spans="1:21" x14ac:dyDescent="0.25">
      <c r="A11" s="42">
        <v>1917</v>
      </c>
      <c r="B11" s="37"/>
      <c r="C11" s="37">
        <v>26.3</v>
      </c>
      <c r="D11" s="37">
        <v>26.3</v>
      </c>
      <c r="E11" s="37">
        <v>32.5</v>
      </c>
      <c r="F11" s="37"/>
      <c r="G11" s="37">
        <v>23.9</v>
      </c>
      <c r="H11" s="37"/>
      <c r="I11" s="38">
        <v>27.4</v>
      </c>
      <c r="J11" s="37"/>
      <c r="K11" s="37">
        <v>29.1</v>
      </c>
      <c r="L11" s="37">
        <v>29.1</v>
      </c>
      <c r="M11" s="37">
        <v>39.200000000000003</v>
      </c>
      <c r="N11" s="37"/>
      <c r="O11" s="37">
        <v>28.2</v>
      </c>
      <c r="P11" s="38">
        <v>27.4</v>
      </c>
      <c r="Q11" s="38"/>
      <c r="R11" s="38"/>
      <c r="T11" s="82" t="s">
        <v>114</v>
      </c>
      <c r="U11" s="82"/>
    </row>
    <row r="12" spans="1:21" x14ac:dyDescent="0.25">
      <c r="A12" s="42">
        <v>1918</v>
      </c>
      <c r="B12" s="37"/>
      <c r="C12" s="37">
        <v>34.700000000000003</v>
      </c>
      <c r="D12" s="37">
        <v>34.700000000000003</v>
      </c>
      <c r="E12" s="37">
        <v>28.8</v>
      </c>
      <c r="F12" s="37"/>
      <c r="G12" s="37">
        <v>32</v>
      </c>
      <c r="H12" s="37">
        <v>31.8</v>
      </c>
      <c r="I12" s="38">
        <v>33.1</v>
      </c>
      <c r="J12" s="37"/>
      <c r="K12" s="37">
        <v>44.2</v>
      </c>
      <c r="L12" s="37">
        <v>44.2</v>
      </c>
      <c r="M12" s="37">
        <v>47.1</v>
      </c>
      <c r="N12" s="37"/>
      <c r="O12" s="37"/>
      <c r="P12" s="38">
        <v>39.9</v>
      </c>
      <c r="Q12" s="37">
        <v>28.1</v>
      </c>
      <c r="R12" s="37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2">
        <v>1919</v>
      </c>
      <c r="B13" s="37"/>
      <c r="C13" s="37">
        <v>31.7</v>
      </c>
      <c r="D13" s="37">
        <v>31.7</v>
      </c>
      <c r="E13" s="37">
        <v>32.4</v>
      </c>
      <c r="F13" s="37"/>
      <c r="G13" s="37">
        <v>31</v>
      </c>
      <c r="H13" s="37">
        <v>30.8</v>
      </c>
      <c r="I13" s="38">
        <v>30</v>
      </c>
      <c r="J13" s="37"/>
      <c r="K13" s="37">
        <v>46.7</v>
      </c>
      <c r="L13" s="37">
        <v>46.7</v>
      </c>
      <c r="M13" s="37">
        <v>53.9</v>
      </c>
      <c r="N13" s="37"/>
      <c r="O13" s="37"/>
      <c r="P13" s="38">
        <v>65.5</v>
      </c>
      <c r="Q13" s="37">
        <v>39.4</v>
      </c>
      <c r="R13" s="37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2">
        <v>1920</v>
      </c>
      <c r="B14" s="37">
        <v>30.9</v>
      </c>
      <c r="C14" s="37">
        <v>32.200000000000003</v>
      </c>
      <c r="D14" s="37">
        <v>32.200000000000003</v>
      </c>
      <c r="E14" s="37">
        <v>30.6</v>
      </c>
      <c r="F14" s="37">
        <v>39.299999999999997</v>
      </c>
      <c r="G14" s="37">
        <v>31.2</v>
      </c>
      <c r="H14" s="37">
        <v>31</v>
      </c>
      <c r="I14" s="38">
        <v>31.3</v>
      </c>
      <c r="J14" s="37">
        <v>35.299999999999997</v>
      </c>
      <c r="K14" s="37">
        <v>43.3</v>
      </c>
      <c r="L14" s="37">
        <v>43.3</v>
      </c>
      <c r="M14" s="37">
        <v>41</v>
      </c>
      <c r="N14" s="37">
        <v>45.4</v>
      </c>
      <c r="O14" s="37"/>
      <c r="P14" s="38">
        <v>79.5</v>
      </c>
      <c r="Q14" s="37">
        <v>49.9</v>
      </c>
      <c r="R14" s="37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2">
        <v>1921</v>
      </c>
      <c r="B15" s="37">
        <v>32.6</v>
      </c>
      <c r="C15" s="37">
        <v>37.299999999999997</v>
      </c>
      <c r="D15" s="37">
        <v>37.299999999999997</v>
      </c>
      <c r="E15" s="37">
        <v>31.7</v>
      </c>
      <c r="F15" s="37">
        <v>40.6</v>
      </c>
      <c r="G15" s="37">
        <v>35.5</v>
      </c>
      <c r="H15" s="37">
        <v>35.299999999999997</v>
      </c>
      <c r="I15" s="38">
        <v>37.799999999999997</v>
      </c>
      <c r="J15" s="37">
        <v>29.2</v>
      </c>
      <c r="K15" s="37">
        <v>29.7</v>
      </c>
      <c r="L15" s="37">
        <v>40</v>
      </c>
      <c r="M15" s="37">
        <v>37.1</v>
      </c>
      <c r="N15" s="37">
        <v>39.799999999999997</v>
      </c>
      <c r="O15" s="37"/>
      <c r="P15" s="38">
        <v>40.4</v>
      </c>
      <c r="Q15" s="37">
        <v>42.6</v>
      </c>
      <c r="R15" s="37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2">
        <v>1922</v>
      </c>
      <c r="B16" s="37">
        <v>33.4</v>
      </c>
      <c r="C16" s="37">
        <v>38.200000000000003</v>
      </c>
      <c r="D16" s="37">
        <v>38.200000000000003</v>
      </c>
      <c r="E16" s="37">
        <v>35</v>
      </c>
      <c r="F16" s="37">
        <v>43.7</v>
      </c>
      <c r="G16" s="37">
        <v>37.299999999999997</v>
      </c>
      <c r="H16" s="37">
        <v>36.799999999999997</v>
      </c>
      <c r="I16" s="38">
        <v>41.4</v>
      </c>
      <c r="J16" s="37">
        <v>32.1</v>
      </c>
      <c r="K16" s="37">
        <v>29.6</v>
      </c>
      <c r="L16" s="37">
        <v>29.6</v>
      </c>
      <c r="M16" s="37">
        <v>29.8</v>
      </c>
      <c r="N16" s="37">
        <v>38.799999999999997</v>
      </c>
      <c r="O16" s="37"/>
      <c r="P16" s="38">
        <v>55.3</v>
      </c>
      <c r="Q16" s="37">
        <v>43</v>
      </c>
      <c r="R16" s="37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2">
        <v>1923</v>
      </c>
      <c r="B17" s="37">
        <v>42.8</v>
      </c>
      <c r="C17" s="37">
        <v>45.5</v>
      </c>
      <c r="D17" s="37">
        <v>45.5</v>
      </c>
      <c r="E17" s="37">
        <v>36.200000000000003</v>
      </c>
      <c r="F17" s="37">
        <v>47</v>
      </c>
      <c r="G17" s="37">
        <v>43.9</v>
      </c>
      <c r="H17" s="37">
        <v>42.8</v>
      </c>
      <c r="I17" s="38">
        <v>46.5</v>
      </c>
      <c r="J17" s="37">
        <v>23.1</v>
      </c>
      <c r="K17" s="37">
        <v>25.5</v>
      </c>
      <c r="L17" s="37">
        <v>25.5</v>
      </c>
      <c r="M17" s="37">
        <v>38</v>
      </c>
      <c r="N17" s="37">
        <v>29.1</v>
      </c>
      <c r="O17" s="37"/>
      <c r="P17" s="38">
        <v>22.3</v>
      </c>
      <c r="Q17" s="37">
        <v>28.1</v>
      </c>
      <c r="R17" s="37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2">
        <v>1924</v>
      </c>
      <c r="B18" s="37">
        <v>43.8</v>
      </c>
      <c r="C18" s="37">
        <v>42.2</v>
      </c>
      <c r="D18" s="37">
        <v>42.2</v>
      </c>
      <c r="E18" s="37">
        <v>44</v>
      </c>
      <c r="F18" s="37">
        <v>49</v>
      </c>
      <c r="G18" s="37">
        <v>42</v>
      </c>
      <c r="H18" s="37">
        <v>41</v>
      </c>
      <c r="I18" s="38">
        <v>43.6</v>
      </c>
      <c r="J18" s="37">
        <v>24.1</v>
      </c>
      <c r="K18" s="37">
        <v>23.5</v>
      </c>
      <c r="L18" s="37">
        <v>23.5</v>
      </c>
      <c r="M18" s="37">
        <v>22.5</v>
      </c>
      <c r="N18" s="37">
        <v>27.6</v>
      </c>
      <c r="O18" s="37"/>
      <c r="P18" s="38">
        <v>23.1</v>
      </c>
      <c r="Q18" s="37"/>
      <c r="R18" s="37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2">
        <v>1925</v>
      </c>
      <c r="B19" s="37">
        <v>45.9</v>
      </c>
      <c r="C19" s="37">
        <v>43.9</v>
      </c>
      <c r="D19" s="37">
        <v>43.9</v>
      </c>
      <c r="E19" s="37">
        <v>42.3</v>
      </c>
      <c r="F19" s="37">
        <v>47.3</v>
      </c>
      <c r="G19" s="37"/>
      <c r="H19" s="37"/>
      <c r="I19" s="38">
        <v>45.7</v>
      </c>
      <c r="J19" s="37">
        <v>25.2</v>
      </c>
      <c r="K19" s="37">
        <v>24.5</v>
      </c>
      <c r="L19" s="37">
        <v>24.5</v>
      </c>
      <c r="M19" s="37">
        <v>21.7</v>
      </c>
      <c r="N19" s="37">
        <v>28.7</v>
      </c>
      <c r="O19" s="37"/>
      <c r="P19" s="38">
        <v>23.3</v>
      </c>
      <c r="Q19" s="38"/>
      <c r="R19" s="37">
        <v>23.8</v>
      </c>
      <c r="T19" s="2">
        <f t="shared" si="0"/>
        <v>23.55</v>
      </c>
    </row>
    <row r="20" spans="1:21" x14ac:dyDescent="0.25">
      <c r="A20" s="42">
        <v>1926</v>
      </c>
      <c r="B20" s="37">
        <v>44.7</v>
      </c>
      <c r="C20" s="37">
        <v>42.5</v>
      </c>
      <c r="D20" s="37">
        <v>42.5</v>
      </c>
      <c r="E20" s="37">
        <v>43.8</v>
      </c>
      <c r="F20" s="37">
        <v>45.6</v>
      </c>
      <c r="G20" s="37"/>
      <c r="H20" s="37"/>
      <c r="I20" s="38">
        <v>42.6</v>
      </c>
      <c r="J20" s="37">
        <v>21.3</v>
      </c>
      <c r="K20" s="37">
        <v>21.5</v>
      </c>
      <c r="L20" s="37">
        <v>21.5</v>
      </c>
      <c r="M20" s="37">
        <v>22.9</v>
      </c>
      <c r="N20" s="37">
        <v>25.5</v>
      </c>
      <c r="O20" s="37"/>
      <c r="P20" s="38">
        <v>19.899999999999999</v>
      </c>
      <c r="Q20" s="38"/>
      <c r="R20" s="37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154</v>
      </c>
      <c r="B26" t="s">
        <v>160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109</v>
      </c>
    </row>
    <row r="3" spans="1:17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25">
      <c r="A4" s="86">
        <v>1914</v>
      </c>
      <c r="B4" s="26"/>
      <c r="C4" s="26"/>
      <c r="D4" s="26"/>
      <c r="E4" s="85">
        <v>10</v>
      </c>
      <c r="F4" s="26"/>
      <c r="G4" s="26"/>
      <c r="H4" s="26"/>
      <c r="I4" s="26"/>
      <c r="J4" s="26"/>
    </row>
    <row r="5" spans="1:17" x14ac:dyDescent="0.25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  <c r="L5" s="2"/>
      <c r="O5" s="3"/>
      <c r="P5" s="3"/>
      <c r="Q5" s="3"/>
    </row>
    <row r="6" spans="1:17" x14ac:dyDescent="0.25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  <c r="L6" s="2"/>
      <c r="O6" s="3"/>
      <c r="P6" s="3"/>
    </row>
    <row r="7" spans="1:17" x14ac:dyDescent="0.25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  <c r="L7" s="2"/>
      <c r="O7" s="3"/>
      <c r="P7" s="4"/>
      <c r="Q7" s="3"/>
    </row>
    <row r="8" spans="1:17" x14ac:dyDescent="0.25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  <c r="L8" s="2"/>
      <c r="O8" s="3"/>
      <c r="P8" s="3"/>
    </row>
    <row r="9" spans="1:17" x14ac:dyDescent="0.25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  <c r="L9" s="2"/>
      <c r="O9" s="3"/>
      <c r="P9" s="3"/>
    </row>
    <row r="10" spans="1:17" x14ac:dyDescent="0.25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  <c r="L10" s="2"/>
      <c r="O10" s="3"/>
      <c r="P10" s="3"/>
      <c r="Q10" s="3"/>
    </row>
    <row r="11" spans="1:17" x14ac:dyDescent="0.25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>
        <f t="shared" si="5"/>
        <v>87626.805105650055</v>
      </c>
      <c r="G11" s="4">
        <f t="shared" si="1"/>
        <v>87885.441762738817</v>
      </c>
      <c r="H11" s="4">
        <f t="shared" si="2"/>
        <v>3278.1269777501575</v>
      </c>
      <c r="I11" s="4">
        <f t="shared" si="3"/>
        <v>2610.1976203533432</v>
      </c>
      <c r="J11" s="4">
        <f t="shared" si="4"/>
        <v>667.92935739681434</v>
      </c>
      <c r="L11" s="2"/>
      <c r="O11" s="3"/>
      <c r="P11" s="3"/>
    </row>
    <row r="12" spans="1:17" x14ac:dyDescent="0.25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>
        <f t="shared" si="5"/>
        <v>88144.734463046872</v>
      </c>
      <c r="G12" s="4">
        <f t="shared" si="1"/>
        <v>88497.266688945427</v>
      </c>
      <c r="H12" s="4">
        <f t="shared" si="2"/>
        <v>3380.5955875177156</v>
      </c>
      <c r="I12" s="4">
        <f t="shared" si="3"/>
        <v>2619.5190939927847</v>
      </c>
      <c r="J12" s="4">
        <f t="shared" si="4"/>
        <v>761.07649352493081</v>
      </c>
      <c r="L12" s="2"/>
      <c r="O12" s="3"/>
      <c r="P12" s="3"/>
    </row>
    <row r="13" spans="1:17" x14ac:dyDescent="0.25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>
        <f t="shared" si="5"/>
        <v>88850.810956571804</v>
      </c>
      <c r="G13" s="4">
        <f t="shared" si="1"/>
        <v>89735.205187997446</v>
      </c>
      <c r="H13" s="4">
        <f t="shared" si="2"/>
        <v>4082.9518360538837</v>
      </c>
      <c r="I13" s="4">
        <f t="shared" si="3"/>
        <v>2288.2477322939349</v>
      </c>
      <c r="J13" s="4">
        <f t="shared" si="4"/>
        <v>1794.7041037599488</v>
      </c>
      <c r="L13" s="2"/>
      <c r="O13" s="3"/>
      <c r="P13" s="3"/>
      <c r="Q13" s="3"/>
    </row>
    <row r="14" spans="1:17" x14ac:dyDescent="0.25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>
        <f t="shared" si="5"/>
        <v>90625.51506033176</v>
      </c>
      <c r="G14" s="4">
        <f t="shared" si="1"/>
        <v>91473.138904369815</v>
      </c>
      <c r="H14" s="4">
        <f t="shared" si="2"/>
        <v>3860.1664617644064</v>
      </c>
      <c r="I14" s="4">
        <f t="shared" si="3"/>
        <v>2149.6187642526907</v>
      </c>
      <c r="J14" s="4">
        <f t="shared" si="4"/>
        <v>1710.5476975117158</v>
      </c>
      <c r="L14" s="2"/>
      <c r="O14" s="3"/>
      <c r="P14" s="3"/>
    </row>
    <row r="15" spans="1:17" x14ac:dyDescent="0.25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>
        <f t="shared" si="5"/>
        <v>92326.06275784348</v>
      </c>
      <c r="G15" s="4">
        <f t="shared" si="1"/>
        <v>93224.928824546485</v>
      </c>
      <c r="H15" s="4">
        <f t="shared" si="2"/>
        <v>4092.5743753975903</v>
      </c>
      <c r="I15" s="4">
        <f t="shared" si="3"/>
        <v>2284.0107562013886</v>
      </c>
      <c r="J15" s="4">
        <f t="shared" si="4"/>
        <v>1808.5636191962017</v>
      </c>
      <c r="L15" s="2"/>
      <c r="O15" s="3"/>
      <c r="P15" s="3"/>
    </row>
    <row r="16" spans="1:17" x14ac:dyDescent="0.25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>
        <f t="shared" si="5"/>
        <v>94129.626377039676</v>
      </c>
      <c r="G16" s="4">
        <f t="shared" si="1"/>
        <v>95124.942456895486</v>
      </c>
      <c r="H16" s="4">
        <f t="shared" si="2"/>
        <v>4042.8100544180579</v>
      </c>
      <c r="I16" s="4">
        <f t="shared" si="3"/>
        <v>2045.1862628232529</v>
      </c>
      <c r="J16" s="4">
        <f t="shared" si="4"/>
        <v>1997.623791594805</v>
      </c>
      <c r="L16" s="2"/>
      <c r="O16" s="3"/>
      <c r="P16" s="3"/>
      <c r="Q16" s="3"/>
    </row>
    <row r="17" spans="1:17" x14ac:dyDescent="0.25">
      <c r="A17">
        <v>1927</v>
      </c>
      <c r="F17" s="4">
        <f t="shared" si="5"/>
        <v>96127.250168634477</v>
      </c>
      <c r="O17" s="3"/>
      <c r="P17" s="3"/>
      <c r="Q17" s="3"/>
    </row>
    <row r="19" spans="1:17" x14ac:dyDescent="0.25">
      <c r="A19" s="14" t="s">
        <v>31</v>
      </c>
      <c r="F19" s="3">
        <v>93604</v>
      </c>
    </row>
    <row r="20" spans="1:17" x14ac:dyDescent="0.25">
      <c r="A20" s="14"/>
    </row>
    <row r="21" spans="1:17" x14ac:dyDescent="0.25">
      <c r="A21" s="14" t="s">
        <v>33</v>
      </c>
      <c r="B21" s="13"/>
      <c r="F21" s="3">
        <f>F17+F20-F19</f>
        <v>2523.2501686344767</v>
      </c>
    </row>
    <row r="24" spans="1:17" x14ac:dyDescent="0.25">
      <c r="A24" s="74" t="s">
        <v>163</v>
      </c>
      <c r="B24" s="75"/>
      <c r="C24" s="75"/>
      <c r="D24" s="75"/>
      <c r="E24" s="75"/>
      <c r="F24" s="75"/>
      <c r="G24" s="7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P18" sqref="P18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113</v>
      </c>
      <c r="T1" s="25" t="s">
        <v>116</v>
      </c>
      <c r="U1">
        <v>2.9740000000000001E-3</v>
      </c>
    </row>
    <row r="3" spans="1:21" x14ac:dyDescent="0.25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25">
      <c r="A4" s="27">
        <v>1914</v>
      </c>
      <c r="B4" s="26"/>
      <c r="C4" s="26"/>
      <c r="D4" s="26"/>
      <c r="E4" s="76">
        <v>48.4</v>
      </c>
      <c r="F4" s="76">
        <v>31.5</v>
      </c>
      <c r="G4" s="26"/>
      <c r="H4">
        <v>10</v>
      </c>
      <c r="I4" s="30">
        <v>89489</v>
      </c>
      <c r="J4" s="30">
        <v>90260</v>
      </c>
      <c r="K4" s="26"/>
      <c r="L4" s="26"/>
      <c r="M4" s="26"/>
      <c r="P4" s="26"/>
      <c r="Q4" s="26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29">
        <f>B5/Q5</f>
        <v>35.9</v>
      </c>
      <c r="F5" s="29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[1]!YearAveragePopulation(I5,E5,F5,H5)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9">
        <f t="shared" ref="E6:E16" si="2">B6/Q6</f>
        <v>27.1</v>
      </c>
      <c r="F6" s="29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[1]!YearAveragePopulation(I6,E6,F6,H6)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9">
        <f t="shared" si="2"/>
        <v>26.3</v>
      </c>
      <c r="F7" s="29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9">
        <f t="shared" si="2"/>
        <v>33.888681248826231</v>
      </c>
      <c r="F8" s="29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9">
        <f t="shared" si="2"/>
        <v>28.500312649328823</v>
      </c>
      <c r="F9" s="29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9">
        <f t="shared" si="2"/>
        <v>28.715664270008578</v>
      </c>
      <c r="F10" s="29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9">
        <f t="shared" si="2"/>
        <v>35.819281067656568</v>
      </c>
      <c r="F11" s="29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9">
        <f t="shared" si="2"/>
        <v>35.635299021204681</v>
      </c>
      <c r="F12" s="29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29">
        <f t="shared" si="2"/>
        <v>45.5</v>
      </c>
      <c r="F13" s="29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9">
        <f t="shared" si="2"/>
        <v>42.2</v>
      </c>
      <c r="F14" s="29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9">
        <f t="shared" si="2"/>
        <v>43.9</v>
      </c>
      <c r="F15" s="29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29">
        <f t="shared" si="2"/>
        <v>42.5</v>
      </c>
      <c r="F16" s="29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25">
      <c r="A17" s="5">
        <v>1927</v>
      </c>
      <c r="I17" s="4">
        <f t="shared" si="9"/>
        <v>93603.853866979101</v>
      </c>
    </row>
    <row r="19" spans="1:9" x14ac:dyDescent="0.25">
      <c r="A19" s="14" t="s">
        <v>31</v>
      </c>
      <c r="I19">
        <v>93604</v>
      </c>
    </row>
    <row r="20" spans="1:9" x14ac:dyDescent="0.25">
      <c r="A20" s="14"/>
    </row>
    <row r="21" spans="1:9" x14ac:dyDescent="0.25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110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6">
        <v>1914</v>
      </c>
      <c r="B4" s="86"/>
      <c r="C4" s="86"/>
      <c r="D4" s="86"/>
      <c r="E4">
        <v>10</v>
      </c>
      <c r="F4" s="86"/>
      <c r="G4" s="86"/>
      <c r="H4" s="86"/>
      <c r="I4" s="86"/>
      <c r="J4" s="86"/>
    </row>
    <row r="5" spans="1:10" x14ac:dyDescent="0.25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25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25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25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25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25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25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25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25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25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25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25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25">
      <c r="A17">
        <v>1927</v>
      </c>
      <c r="F17" s="4">
        <f t="shared" si="5"/>
        <v>95140.388680633783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6">
        <v>1914</v>
      </c>
      <c r="B4" s="26"/>
      <c r="C4" s="26"/>
      <c r="D4" s="26"/>
      <c r="E4">
        <v>10</v>
      </c>
      <c r="F4" s="26"/>
      <c r="G4" s="26"/>
      <c r="H4" s="26"/>
      <c r="I4" s="26"/>
      <c r="J4" s="26"/>
    </row>
    <row r="5" spans="1:10" x14ac:dyDescent="0.25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25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[1]!YearAveragePopulation(F6,B6,C6,E6)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25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25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25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25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25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25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25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25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25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25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25">
      <c r="A17">
        <v>1927</v>
      </c>
      <c r="F17" s="4">
        <f t="shared" si="5"/>
        <v>91892.740865906366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 x14ac:dyDescent="0.25"/>
  <sheetData>
    <row r="1" spans="1:12" ht="18.75" x14ac:dyDescent="0.3">
      <c r="A1" s="6" t="s">
        <v>112</v>
      </c>
    </row>
    <row r="3" spans="1:12" x14ac:dyDescent="0.25">
      <c r="A3" s="83" t="s">
        <v>3</v>
      </c>
      <c r="B3" s="80"/>
      <c r="C3" s="80"/>
      <c r="D3" s="80"/>
      <c r="E3" s="80"/>
      <c r="F3" s="81"/>
      <c r="G3" s="81"/>
      <c r="H3" s="81"/>
      <c r="I3" s="81"/>
      <c r="K3" s="84" t="s">
        <v>34</v>
      </c>
      <c r="L3" s="84"/>
    </row>
    <row r="4" spans="1:12" x14ac:dyDescent="0.25">
      <c r="A4" s="83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25">
      <c r="A20" s="86">
        <v>1914</v>
      </c>
      <c r="B20" s="86"/>
      <c r="C20" s="86"/>
      <c r="D20" s="86"/>
      <c r="E20">
        <v>10</v>
      </c>
      <c r="F20" s="86"/>
      <c r="G20" s="86"/>
      <c r="H20" s="86"/>
      <c r="I20" s="86"/>
      <c r="J20" s="86"/>
    </row>
    <row r="21" spans="1:10" x14ac:dyDescent="0.25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[1]!YearAveragePopulation(F21,B21,C21,E21)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25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[1]!YearAveragePopulation(F22,B22,C22,E22)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25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25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25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25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25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25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25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25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25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25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25">
      <c r="A33">
        <v>1927</v>
      </c>
      <c r="F33" s="4">
        <f t="shared" si="7"/>
        <v>91427.359252924871</v>
      </c>
    </row>
    <row r="35" spans="1:6" x14ac:dyDescent="0.25">
      <c r="A35" s="14" t="s">
        <v>31</v>
      </c>
      <c r="F35">
        <v>93604</v>
      </c>
    </row>
    <row r="36" spans="1:6" x14ac:dyDescent="0.25">
      <c r="A36" s="14"/>
    </row>
    <row r="37" spans="1:6" x14ac:dyDescent="0.25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25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1" t="s">
        <v>91</v>
      </c>
    </row>
    <row r="2" spans="1:14" x14ac:dyDescent="0.25">
      <c r="A2" t="s">
        <v>137</v>
      </c>
    </row>
    <row r="3" spans="1:14" x14ac:dyDescent="0.25">
      <c r="A3" t="s">
        <v>92</v>
      </c>
    </row>
    <row r="5" spans="1:14" x14ac:dyDescent="0.25">
      <c r="A5" t="s">
        <v>97</v>
      </c>
      <c r="B5" t="s">
        <v>93</v>
      </c>
    </row>
    <row r="6" spans="1:14" x14ac:dyDescent="0.25">
      <c r="B6" t="s">
        <v>96</v>
      </c>
    </row>
    <row r="7" spans="1:14" x14ac:dyDescent="0.25">
      <c r="B7" t="s">
        <v>94</v>
      </c>
    </row>
    <row r="8" spans="1:14" x14ac:dyDescent="0.25">
      <c r="B8" t="s">
        <v>95</v>
      </c>
    </row>
    <row r="10" spans="1:14" x14ac:dyDescent="0.25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25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25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25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25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25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25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25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25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25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25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25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25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25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25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25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25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25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25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25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25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25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25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25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98</v>
      </c>
    </row>
    <row r="2" spans="1:7" x14ac:dyDescent="0.25">
      <c r="A2" s="19"/>
    </row>
    <row r="3" spans="1:7" x14ac:dyDescent="0.25">
      <c r="A3" t="s">
        <v>97</v>
      </c>
      <c r="B3" t="s">
        <v>93</v>
      </c>
    </row>
    <row r="4" spans="1:7" x14ac:dyDescent="0.25">
      <c r="B4" t="s">
        <v>96</v>
      </c>
    </row>
    <row r="5" spans="1:7" x14ac:dyDescent="0.25">
      <c r="B5" t="s">
        <v>94</v>
      </c>
    </row>
    <row r="6" spans="1:7" x14ac:dyDescent="0.25">
      <c r="B6" t="s">
        <v>95</v>
      </c>
    </row>
    <row r="8" spans="1:7" x14ac:dyDescent="0.25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25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101</v>
      </c>
    </row>
    <row r="3" spans="1:11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25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25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25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25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25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1" t="s">
        <v>127</v>
      </c>
      <c r="M38" t="s">
        <v>131</v>
      </c>
      <c r="R38" s="2">
        <f>AVERAGE(I4:I12)</f>
        <v>88.381440707516646</v>
      </c>
    </row>
    <row r="39" spans="1:18" x14ac:dyDescent="0.25">
      <c r="M39" t="s">
        <v>132</v>
      </c>
      <c r="R39" s="2">
        <f>AVERAGE(I13:I33)</f>
        <v>86.277358367815552</v>
      </c>
    </row>
    <row r="40" spans="1:18" x14ac:dyDescent="0.25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1" t="s">
        <v>118</v>
      </c>
    </row>
    <row r="48" spans="1:18" x14ac:dyDescent="0.25">
      <c r="A48" s="22" t="s">
        <v>3</v>
      </c>
      <c r="B48" s="19" t="s">
        <v>102</v>
      </c>
      <c r="C48" s="19" t="s">
        <v>104</v>
      </c>
    </row>
    <row r="49" spans="1:4" x14ac:dyDescent="0.25">
      <c r="A49" s="31">
        <v>1913</v>
      </c>
      <c r="B49" s="3">
        <f>SUM(C4:C12)</f>
        <v>742806</v>
      </c>
      <c r="C49" s="34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4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4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4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4">
        <f t="shared" si="5"/>
        <v>53.899537698941579</v>
      </c>
      <c r="D53" s="2"/>
    </row>
    <row r="55" spans="1:4" x14ac:dyDescent="0.25">
      <c r="A55" s="21" t="s">
        <v>117</v>
      </c>
    </row>
    <row r="57" spans="1:4" x14ac:dyDescent="0.25">
      <c r="A57" s="22" t="s">
        <v>3</v>
      </c>
      <c r="B57" s="19" t="s">
        <v>102</v>
      </c>
      <c r="C57" s="19" t="s">
        <v>104</v>
      </c>
    </row>
    <row r="58" spans="1:4" x14ac:dyDescent="0.25">
      <c r="A58" s="31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1" t="s">
        <v>119</v>
      </c>
    </row>
    <row r="65" spans="1:5" x14ac:dyDescent="0.25">
      <c r="A65" s="22" t="s">
        <v>3</v>
      </c>
      <c r="B65" s="19" t="s">
        <v>102</v>
      </c>
      <c r="C65" s="19" t="s">
        <v>104</v>
      </c>
    </row>
    <row r="66" spans="1:5" x14ac:dyDescent="0.25">
      <c r="A66" s="31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1" t="s">
        <v>120</v>
      </c>
    </row>
    <row r="72" spans="1:5" x14ac:dyDescent="0.25">
      <c r="A72" s="22" t="s">
        <v>3</v>
      </c>
      <c r="B72" s="19" t="s">
        <v>102</v>
      </c>
      <c r="C72" s="19" t="s">
        <v>104</v>
      </c>
    </row>
    <row r="73" spans="1:5" x14ac:dyDescent="0.25">
      <c r="A73" s="31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1" t="s">
        <v>121</v>
      </c>
    </row>
    <row r="78" spans="1:5" x14ac:dyDescent="0.2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25">
      <c r="A79" s="31">
        <v>1913</v>
      </c>
      <c r="B79" s="2">
        <v>100</v>
      </c>
      <c r="C79" s="2">
        <v>100</v>
      </c>
      <c r="D79" s="2">
        <v>100</v>
      </c>
      <c r="E79" s="34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4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4">
        <v>88.237440192997909</v>
      </c>
    </row>
    <row r="82" spans="1:5" x14ac:dyDescent="0.25">
      <c r="A82">
        <v>1916</v>
      </c>
      <c r="D82" s="2">
        <v>65.944138201707361</v>
      </c>
      <c r="E82" s="34">
        <v>68.870472236357813</v>
      </c>
    </row>
    <row r="83" spans="1:5" x14ac:dyDescent="0.25">
      <c r="A83">
        <v>1917</v>
      </c>
      <c r="E83" s="34">
        <v>53.899537698941579</v>
      </c>
    </row>
    <row r="118" spans="1:11" x14ac:dyDescent="0.25">
      <c r="B118" s="84" t="s">
        <v>140</v>
      </c>
      <c r="C118" s="84"/>
      <c r="D118" s="84"/>
      <c r="G118" s="84" t="s">
        <v>141</v>
      </c>
      <c r="H118" s="84"/>
      <c r="I118" s="84"/>
      <c r="J118" s="84"/>
      <c r="K118" s="84"/>
    </row>
    <row r="119" spans="1:11" x14ac:dyDescent="0.25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25">
      <c r="A120" s="31">
        <v>1913</v>
      </c>
      <c r="B120" s="2">
        <v>47</v>
      </c>
      <c r="C120" s="35">
        <v>43.7</v>
      </c>
      <c r="D120" s="2">
        <v>44.1</v>
      </c>
      <c r="F120">
        <f>A120</f>
        <v>1913</v>
      </c>
      <c r="G120" s="34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4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4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4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4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106</v>
      </c>
    </row>
    <row r="3" spans="1:7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25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1" t="s">
        <v>127</v>
      </c>
    </row>
    <row r="41" spans="1:7" x14ac:dyDescent="0.25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1" t="s">
        <v>118</v>
      </c>
    </row>
    <row r="49" spans="1:4" x14ac:dyDescent="0.25">
      <c r="A49" s="22" t="s">
        <v>3</v>
      </c>
      <c r="B49" s="19" t="s">
        <v>102</v>
      </c>
      <c r="C49" s="19" t="s">
        <v>104</v>
      </c>
    </row>
    <row r="50" spans="1:4" x14ac:dyDescent="0.25">
      <c r="A50" s="31">
        <v>1913</v>
      </c>
      <c r="B50" s="32">
        <f>SUM(C4:C11)</f>
        <v>426760</v>
      </c>
      <c r="C50" s="33">
        <f>B50/B50*100</f>
        <v>100</v>
      </c>
      <c r="D50" s="19"/>
    </row>
    <row r="51" spans="1:4" x14ac:dyDescent="0.25">
      <c r="A51">
        <v>1914</v>
      </c>
      <c r="B51" s="3">
        <f>SUM(D4:D11)</f>
        <v>405400</v>
      </c>
      <c r="C51" s="33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3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3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3">
        <f t="shared" si="1"/>
        <v>85.426469209860343</v>
      </c>
    </row>
    <row r="57" spans="1:4" x14ac:dyDescent="0.25">
      <c r="A57" s="21" t="s">
        <v>117</v>
      </c>
    </row>
    <row r="59" spans="1:4" x14ac:dyDescent="0.25">
      <c r="A59" s="22" t="s">
        <v>3</v>
      </c>
      <c r="B59" s="19" t="s">
        <v>102</v>
      </c>
      <c r="C59" s="19" t="s">
        <v>104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1" t="s">
        <v>119</v>
      </c>
    </row>
    <row r="67" spans="1:5" x14ac:dyDescent="0.25">
      <c r="A67" s="22" t="s">
        <v>3</v>
      </c>
      <c r="B67" s="19" t="s">
        <v>102</v>
      </c>
      <c r="C67" s="19" t="s">
        <v>104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1" t="s">
        <v>120</v>
      </c>
    </row>
    <row r="74" spans="1:5" x14ac:dyDescent="0.25">
      <c r="A74" s="22" t="s">
        <v>3</v>
      </c>
      <c r="B74" s="19" t="s">
        <v>102</v>
      </c>
      <c r="C74" s="19" t="s">
        <v>104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1" t="s">
        <v>121</v>
      </c>
    </row>
    <row r="80" spans="1:5" x14ac:dyDescent="0.2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1" t="s">
        <v>108</v>
      </c>
    </row>
    <row r="4" spans="1:11" x14ac:dyDescent="0.25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25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25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25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25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25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25">
      <c r="A24" s="21" t="s">
        <v>107</v>
      </c>
    </row>
    <row r="26" spans="1:11" x14ac:dyDescent="0.25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25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25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25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25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25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tabSelected="1" topLeftCell="A235" workbookViewId="0">
      <selection activeCell="AH253" sqref="AH253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6" t="s">
        <v>161</v>
      </c>
    </row>
    <row r="3" spans="1:6" x14ac:dyDescent="0.25">
      <c r="A3" t="s">
        <v>3</v>
      </c>
      <c r="B3" s="36" t="s">
        <v>149</v>
      </c>
      <c r="C3" s="36" t="s">
        <v>147</v>
      </c>
      <c r="D3" s="36" t="s">
        <v>148</v>
      </c>
      <c r="E3" s="36" t="s">
        <v>150</v>
      </c>
    </row>
    <row r="4" spans="1:6" x14ac:dyDescent="0.25">
      <c r="A4" s="41">
        <v>1913</v>
      </c>
      <c r="B4" s="44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1">
        <v>1914</v>
      </c>
      <c r="B5" s="44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0"/>
    </row>
    <row r="6" spans="1:6" x14ac:dyDescent="0.25">
      <c r="A6" s="42">
        <v>1915</v>
      </c>
      <c r="B6" s="44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7"/>
    </row>
    <row r="7" spans="1:6" x14ac:dyDescent="0.25">
      <c r="A7" s="42">
        <v>1916</v>
      </c>
      <c r="B7" s="44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7"/>
    </row>
    <row r="8" spans="1:6" x14ac:dyDescent="0.25">
      <c r="A8" s="42">
        <v>1917</v>
      </c>
      <c r="B8" s="44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7"/>
    </row>
    <row r="9" spans="1:6" x14ac:dyDescent="0.25">
      <c r="A9" s="42">
        <v>1918</v>
      </c>
      <c r="B9" s="44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7"/>
    </row>
    <row r="10" spans="1:6" x14ac:dyDescent="0.25">
      <c r="A10" s="42">
        <v>1919</v>
      </c>
      <c r="B10" s="44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7"/>
    </row>
    <row r="11" spans="1:6" x14ac:dyDescent="0.25">
      <c r="A11" s="42">
        <v>1920</v>
      </c>
      <c r="B11" s="44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7"/>
    </row>
    <row r="12" spans="1:6" x14ac:dyDescent="0.25">
      <c r="A12" s="42">
        <v>1921</v>
      </c>
      <c r="B12" s="44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7"/>
    </row>
    <row r="13" spans="1:6" x14ac:dyDescent="0.25">
      <c r="A13" s="42">
        <v>1922</v>
      </c>
      <c r="B13" s="44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7"/>
    </row>
    <row r="14" spans="1:6" x14ac:dyDescent="0.25">
      <c r="A14" s="42">
        <v>1923</v>
      </c>
      <c r="B14" s="44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7"/>
    </row>
    <row r="15" spans="1:6" x14ac:dyDescent="0.25">
      <c r="A15" s="42">
        <v>1924</v>
      </c>
      <c r="B15" s="45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7"/>
    </row>
    <row r="16" spans="1:6" x14ac:dyDescent="0.25">
      <c r="A16" s="42">
        <v>1925</v>
      </c>
      <c r="B16" s="45">
        <v>45.9</v>
      </c>
      <c r="D16">
        <v>1</v>
      </c>
      <c r="E16" s="2">
        <v>48.7</v>
      </c>
    </row>
    <row r="17" spans="1:5" x14ac:dyDescent="0.25">
      <c r="A17" s="42">
        <v>1926</v>
      </c>
      <c r="B17" s="45">
        <v>44.7</v>
      </c>
      <c r="D17">
        <v>1</v>
      </c>
      <c r="E17" s="2">
        <v>47</v>
      </c>
    </row>
    <row r="18" spans="1:5" x14ac:dyDescent="0.25">
      <c r="A18" s="43">
        <v>1927</v>
      </c>
      <c r="E18" s="2">
        <v>49.6</v>
      </c>
    </row>
    <row r="27" spans="1:5" x14ac:dyDescent="0.25">
      <c r="B27" s="40"/>
    </row>
    <row r="28" spans="1:5" x14ac:dyDescent="0.25">
      <c r="B28" s="37"/>
    </row>
    <row r="29" spans="1:5" x14ac:dyDescent="0.25">
      <c r="B29" s="37"/>
    </row>
    <row r="30" spans="1:5" x14ac:dyDescent="0.25">
      <c r="B30" s="37"/>
    </row>
    <row r="31" spans="1:5" x14ac:dyDescent="0.25">
      <c r="B31" s="37"/>
    </row>
    <row r="32" spans="1:5" x14ac:dyDescent="0.25">
      <c r="B32" s="37"/>
    </row>
    <row r="33" spans="2:2" x14ac:dyDescent="0.25">
      <c r="B33" s="37"/>
    </row>
    <row r="34" spans="2:2" x14ac:dyDescent="0.25">
      <c r="B34" s="37"/>
    </row>
    <row r="35" spans="2:2" x14ac:dyDescent="0.25">
      <c r="B35" s="37"/>
    </row>
    <row r="36" spans="2:2" x14ac:dyDescent="0.25">
      <c r="B36" s="37"/>
    </row>
    <row r="37" spans="2:2" x14ac:dyDescent="0.25">
      <c r="B37" s="37"/>
    </row>
    <row r="49" spans="1:38" ht="21" x14ac:dyDescent="0.35">
      <c r="A49" s="67" t="s">
        <v>165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1" spans="1:38" x14ac:dyDescent="0.25">
      <c r="B51" s="81" t="s">
        <v>7</v>
      </c>
      <c r="C51" s="81"/>
      <c r="D51" s="81"/>
      <c r="E51" s="81"/>
      <c r="F51" s="81"/>
      <c r="G51" s="81"/>
      <c r="H51" s="81"/>
      <c r="I51" s="81"/>
      <c r="J51" s="81"/>
    </row>
    <row r="52" spans="1:38" x14ac:dyDescent="0.25">
      <c r="A52" s="48" t="s">
        <v>3</v>
      </c>
      <c r="B52" s="47" t="s">
        <v>8</v>
      </c>
      <c r="C52" s="47" t="s">
        <v>9</v>
      </c>
      <c r="D52" s="47" t="s">
        <v>10</v>
      </c>
      <c r="E52" s="47" t="s">
        <v>11</v>
      </c>
      <c r="F52" s="47" t="s">
        <v>154</v>
      </c>
      <c r="G52" s="47" t="s">
        <v>13</v>
      </c>
      <c r="H52" s="47" t="s">
        <v>5</v>
      </c>
      <c r="I52" s="47" t="s">
        <v>15</v>
      </c>
      <c r="J52" s="47" t="s">
        <v>16</v>
      </c>
      <c r="AF52" s="50"/>
      <c r="AG52" s="50"/>
      <c r="AH52" s="50"/>
      <c r="AI52" s="50"/>
      <c r="AJ52" s="50"/>
      <c r="AK52" s="50"/>
      <c r="AL52" s="50"/>
    </row>
    <row r="53" spans="1:38" x14ac:dyDescent="0.25">
      <c r="A53" s="41">
        <v>1913</v>
      </c>
      <c r="B53" s="39"/>
      <c r="C53" s="39"/>
      <c r="D53" s="40">
        <v>30.2</v>
      </c>
      <c r="E53" s="40">
        <v>24.7</v>
      </c>
      <c r="F53" s="39"/>
      <c r="G53" s="40">
        <v>30.2</v>
      </c>
      <c r="H53" s="39"/>
      <c r="I53" s="39"/>
      <c r="J53" s="39"/>
      <c r="AF53" s="50"/>
      <c r="AG53" s="50"/>
      <c r="AH53" s="50"/>
      <c r="AI53" s="50"/>
      <c r="AJ53" s="50"/>
      <c r="AK53" s="50"/>
      <c r="AL53" s="50"/>
    </row>
    <row r="54" spans="1:38" x14ac:dyDescent="0.25">
      <c r="A54" s="41">
        <v>1914</v>
      </c>
      <c r="B54" s="39"/>
      <c r="C54" s="63">
        <v>27.2</v>
      </c>
      <c r="D54" s="40">
        <v>27.2</v>
      </c>
      <c r="E54" s="40">
        <v>26.6</v>
      </c>
      <c r="F54" s="39"/>
      <c r="G54" s="40">
        <v>29.6</v>
      </c>
      <c r="H54" s="39"/>
      <c r="I54" s="39"/>
      <c r="J54" s="39"/>
      <c r="AF54" s="50"/>
      <c r="AG54" s="50"/>
      <c r="AH54" s="50"/>
      <c r="AI54" s="50"/>
      <c r="AJ54" s="50"/>
      <c r="AK54" s="50"/>
      <c r="AL54" s="50"/>
    </row>
    <row r="55" spans="1:38" x14ac:dyDescent="0.25">
      <c r="A55" s="42">
        <v>1915</v>
      </c>
      <c r="B55" s="37"/>
      <c r="C55" s="37">
        <v>28.8</v>
      </c>
      <c r="D55" s="37">
        <v>28.8</v>
      </c>
      <c r="E55" s="37">
        <v>25.6</v>
      </c>
      <c r="F55" s="37"/>
      <c r="G55" s="37">
        <v>35.4</v>
      </c>
      <c r="H55" s="37"/>
      <c r="I55" s="37"/>
      <c r="J55" s="37"/>
      <c r="AF55" s="50"/>
      <c r="AG55" s="50"/>
      <c r="AH55" s="50"/>
      <c r="AI55" s="50"/>
      <c r="AJ55" s="50"/>
      <c r="AK55" s="50"/>
      <c r="AL55" s="50"/>
    </row>
    <row r="56" spans="1:38" x14ac:dyDescent="0.25">
      <c r="A56" s="42">
        <v>1916</v>
      </c>
      <c r="B56" s="37"/>
      <c r="C56" s="37">
        <v>25.4</v>
      </c>
      <c r="D56" s="37">
        <v>25.4</v>
      </c>
      <c r="E56" s="37">
        <v>42.6</v>
      </c>
      <c r="F56" s="37"/>
      <c r="G56" s="37">
        <v>33</v>
      </c>
      <c r="H56" s="37"/>
      <c r="I56" s="37"/>
      <c r="J56" s="37"/>
      <c r="AF56" s="50"/>
      <c r="AG56" s="50"/>
      <c r="AH56" s="50"/>
      <c r="AI56" s="50"/>
      <c r="AJ56" s="50"/>
      <c r="AK56" s="50"/>
      <c r="AL56" s="50"/>
    </row>
    <row r="57" spans="1:38" x14ac:dyDescent="0.25">
      <c r="A57" s="42">
        <v>1917</v>
      </c>
      <c r="B57" s="37"/>
      <c r="C57" s="37">
        <v>29.1</v>
      </c>
      <c r="D57" s="37">
        <v>29.1</v>
      </c>
      <c r="E57" s="37">
        <v>39.200000000000003</v>
      </c>
      <c r="F57" s="37"/>
      <c r="G57" s="37">
        <v>28.2</v>
      </c>
      <c r="H57" s="38">
        <v>27.4</v>
      </c>
      <c r="I57" s="38"/>
      <c r="J57" s="38"/>
      <c r="L57" s="82" t="s">
        <v>114</v>
      </c>
      <c r="M57" s="82"/>
      <c r="AF57" s="50"/>
      <c r="AG57" s="50"/>
      <c r="AH57" s="50"/>
      <c r="AI57" s="50"/>
      <c r="AJ57" s="50"/>
      <c r="AK57" s="50"/>
      <c r="AL57" s="50"/>
    </row>
    <row r="58" spans="1:38" x14ac:dyDescent="0.25">
      <c r="A58" s="42">
        <v>1918</v>
      </c>
      <c r="B58" s="37"/>
      <c r="C58" s="37">
        <v>44.2</v>
      </c>
      <c r="D58" s="37">
        <v>44.2</v>
      </c>
      <c r="E58" s="37">
        <v>47.1</v>
      </c>
      <c r="F58" s="37"/>
      <c r="G58" s="37"/>
      <c r="H58" s="38">
        <v>39.9</v>
      </c>
      <c r="I58" s="37">
        <v>28.1</v>
      </c>
      <c r="J58" s="37">
        <v>30.2</v>
      </c>
      <c r="L58" s="2">
        <f>AVERAGE(H58,J58)</f>
        <v>35.049999999999997</v>
      </c>
      <c r="M58" s="2">
        <f>L58-27</f>
        <v>8.0499999999999972</v>
      </c>
      <c r="AF58" s="50"/>
      <c r="AG58" s="50"/>
      <c r="AH58" s="50"/>
      <c r="AI58" s="50"/>
      <c r="AJ58" s="50"/>
      <c r="AK58" s="50"/>
      <c r="AL58" s="50"/>
    </row>
    <row r="59" spans="1:38" x14ac:dyDescent="0.25">
      <c r="A59" s="42">
        <v>1919</v>
      </c>
      <c r="B59" s="37"/>
      <c r="C59" s="37">
        <v>46.7</v>
      </c>
      <c r="D59" s="37">
        <v>46.7</v>
      </c>
      <c r="E59" s="37">
        <v>53.9</v>
      </c>
      <c r="F59" s="37"/>
      <c r="G59" s="37"/>
      <c r="H59" s="38">
        <v>65.5</v>
      </c>
      <c r="I59" s="37">
        <v>39.4</v>
      </c>
      <c r="J59" s="37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0"/>
      <c r="AG59" s="50"/>
      <c r="AH59" s="50"/>
      <c r="AI59" s="50"/>
      <c r="AJ59" s="50"/>
      <c r="AK59" s="50"/>
      <c r="AL59" s="50"/>
    </row>
    <row r="60" spans="1:38" x14ac:dyDescent="0.25">
      <c r="A60" s="42">
        <v>1920</v>
      </c>
      <c r="B60" s="37">
        <v>35.299999999999997</v>
      </c>
      <c r="C60" s="37">
        <v>43.3</v>
      </c>
      <c r="D60" s="37">
        <v>43.3</v>
      </c>
      <c r="E60" s="37">
        <v>41</v>
      </c>
      <c r="F60" s="37">
        <v>45.4</v>
      </c>
      <c r="G60" s="37"/>
      <c r="H60" s="38">
        <v>79.5</v>
      </c>
      <c r="I60" s="37">
        <v>49.9</v>
      </c>
      <c r="J60" s="37">
        <v>56.1</v>
      </c>
      <c r="L60" s="2">
        <f t="shared" si="2"/>
        <v>67.8</v>
      </c>
      <c r="M60" s="2">
        <f t="shared" si="3"/>
        <v>40.799999999999997</v>
      </c>
      <c r="AF60" s="50"/>
      <c r="AG60" s="50"/>
      <c r="AH60" s="50"/>
      <c r="AI60" s="50"/>
      <c r="AJ60" s="50"/>
      <c r="AK60" s="50"/>
      <c r="AL60" s="50"/>
    </row>
    <row r="61" spans="1:38" x14ac:dyDescent="0.25">
      <c r="A61" s="42">
        <v>1921</v>
      </c>
      <c r="B61" s="37">
        <v>29.2</v>
      </c>
      <c r="C61" s="37">
        <v>29.7</v>
      </c>
      <c r="D61" s="37">
        <v>40</v>
      </c>
      <c r="E61" s="37">
        <v>37.1</v>
      </c>
      <c r="F61" s="37">
        <v>39.799999999999997</v>
      </c>
      <c r="G61" s="37"/>
      <c r="H61" s="38">
        <v>40.4</v>
      </c>
      <c r="I61" s="37">
        <v>42.6</v>
      </c>
      <c r="J61" s="37">
        <v>41.4</v>
      </c>
      <c r="L61" s="2">
        <f t="shared" si="2"/>
        <v>40.9</v>
      </c>
      <c r="M61" s="2">
        <f t="shared" si="3"/>
        <v>13.899999999999999</v>
      </c>
      <c r="AF61" s="50"/>
      <c r="AG61" s="50"/>
      <c r="AH61" s="50"/>
      <c r="AI61" s="50"/>
      <c r="AJ61" s="50"/>
      <c r="AK61" s="50"/>
      <c r="AL61" s="50"/>
    </row>
    <row r="62" spans="1:38" x14ac:dyDescent="0.25">
      <c r="A62" s="42">
        <v>1922</v>
      </c>
      <c r="B62" s="37">
        <v>32.1</v>
      </c>
      <c r="C62" s="37">
        <v>29.6</v>
      </c>
      <c r="D62" s="37">
        <v>29.6</v>
      </c>
      <c r="E62" s="37">
        <v>29.8</v>
      </c>
      <c r="F62" s="37">
        <v>38.799999999999997</v>
      </c>
      <c r="G62" s="37"/>
      <c r="H62" s="38">
        <v>55.3</v>
      </c>
      <c r="I62" s="37">
        <v>43</v>
      </c>
      <c r="J62" s="37">
        <v>47.1</v>
      </c>
      <c r="L62" s="2">
        <f t="shared" si="2"/>
        <v>51.2</v>
      </c>
      <c r="M62" s="2">
        <f t="shared" si="3"/>
        <v>24.200000000000003</v>
      </c>
      <c r="AF62" s="50"/>
      <c r="AG62" s="50"/>
      <c r="AH62" s="50"/>
      <c r="AI62" s="50"/>
      <c r="AJ62" s="50"/>
      <c r="AK62" s="50"/>
      <c r="AL62" s="50"/>
    </row>
    <row r="63" spans="1:38" x14ac:dyDescent="0.25">
      <c r="A63" s="42">
        <v>1923</v>
      </c>
      <c r="B63" s="37">
        <v>23.1</v>
      </c>
      <c r="C63" s="37">
        <v>25.5</v>
      </c>
      <c r="D63" s="37">
        <v>25.5</v>
      </c>
      <c r="E63" s="37">
        <v>38</v>
      </c>
      <c r="F63" s="37">
        <v>29.1</v>
      </c>
      <c r="G63" s="37"/>
      <c r="H63" s="38">
        <v>22.3</v>
      </c>
      <c r="I63" s="37">
        <v>28.1</v>
      </c>
      <c r="J63" s="37">
        <v>28.7</v>
      </c>
      <c r="L63" s="2">
        <f t="shared" si="2"/>
        <v>25.5</v>
      </c>
      <c r="M63" s="2">
        <f t="shared" si="3"/>
        <v>-1.5</v>
      </c>
      <c r="AF63" s="50"/>
      <c r="AG63" s="50"/>
      <c r="AH63" s="50"/>
      <c r="AI63" s="50"/>
      <c r="AJ63" s="50"/>
      <c r="AK63" s="50"/>
      <c r="AL63" s="50"/>
    </row>
    <row r="64" spans="1:38" x14ac:dyDescent="0.25">
      <c r="A64" s="42">
        <v>1924</v>
      </c>
      <c r="B64" s="37">
        <v>24.1</v>
      </c>
      <c r="C64" s="37">
        <v>23.5</v>
      </c>
      <c r="D64" s="37">
        <v>23.5</v>
      </c>
      <c r="E64" s="37">
        <v>22.5</v>
      </c>
      <c r="F64" s="37">
        <v>27.6</v>
      </c>
      <c r="G64" s="37"/>
      <c r="H64" s="38">
        <v>23.1</v>
      </c>
      <c r="I64" s="37"/>
      <c r="J64" s="37">
        <v>22.4</v>
      </c>
      <c r="L64" s="2">
        <f t="shared" si="2"/>
        <v>22.75</v>
      </c>
      <c r="M64" s="2">
        <f t="shared" si="3"/>
        <v>-4.25</v>
      </c>
      <c r="AF64" s="50"/>
      <c r="AG64" s="50"/>
      <c r="AH64" s="50"/>
      <c r="AI64" s="50"/>
      <c r="AJ64" s="50"/>
      <c r="AK64" s="50"/>
      <c r="AL64" s="50"/>
    </row>
    <row r="65" spans="1:38" x14ac:dyDescent="0.25">
      <c r="A65" s="42">
        <v>1925</v>
      </c>
      <c r="B65" s="37">
        <v>25.2</v>
      </c>
      <c r="C65" s="37">
        <v>24.5</v>
      </c>
      <c r="D65" s="37">
        <v>24.5</v>
      </c>
      <c r="E65" s="37">
        <v>21.7</v>
      </c>
      <c r="F65" s="37">
        <v>28.7</v>
      </c>
      <c r="G65" s="37"/>
      <c r="H65" s="38">
        <v>23.3</v>
      </c>
      <c r="I65" s="38"/>
      <c r="J65" s="37">
        <v>23.8</v>
      </c>
      <c r="L65" s="2">
        <f t="shared" si="2"/>
        <v>23.55</v>
      </c>
      <c r="AF65" s="50"/>
      <c r="AG65" s="50"/>
      <c r="AH65" s="50"/>
      <c r="AI65" s="50"/>
      <c r="AJ65" s="50"/>
      <c r="AK65" s="50"/>
      <c r="AL65" s="50"/>
    </row>
    <row r="66" spans="1:38" x14ac:dyDescent="0.25">
      <c r="A66" s="42">
        <v>1926</v>
      </c>
      <c r="B66" s="37">
        <v>21.3</v>
      </c>
      <c r="C66" s="37">
        <v>21.5</v>
      </c>
      <c r="D66" s="37">
        <v>21.5</v>
      </c>
      <c r="E66" s="37">
        <v>22.9</v>
      </c>
      <c r="F66" s="37">
        <v>25.5</v>
      </c>
      <c r="G66" s="37"/>
      <c r="H66" s="38">
        <v>19.899999999999999</v>
      </c>
      <c r="I66" s="38"/>
      <c r="J66" s="37">
        <v>22.7</v>
      </c>
      <c r="AF66" s="50"/>
      <c r="AG66" s="50"/>
      <c r="AH66" s="50"/>
      <c r="AI66" s="50"/>
      <c r="AJ66" s="50"/>
      <c r="AK66" s="50"/>
      <c r="AL66" s="50"/>
    </row>
    <row r="67" spans="1:38" x14ac:dyDescent="0.25">
      <c r="AF67" s="50"/>
      <c r="AG67" s="50"/>
      <c r="AH67" s="50"/>
      <c r="AI67" s="50"/>
      <c r="AJ67" s="50"/>
      <c r="AK67" s="50"/>
      <c r="AL67" s="50"/>
    </row>
    <row r="68" spans="1:38" x14ac:dyDescent="0.25">
      <c r="A68" t="s">
        <v>8</v>
      </c>
      <c r="B68" t="s">
        <v>18</v>
      </c>
      <c r="AF68" s="50"/>
      <c r="AG68" s="50"/>
      <c r="AH68" s="50"/>
      <c r="AI68" s="50"/>
      <c r="AJ68" s="50"/>
      <c r="AK68" s="50"/>
      <c r="AL68" s="50"/>
    </row>
    <row r="69" spans="1:38" x14ac:dyDescent="0.25">
      <c r="A69" t="s">
        <v>9</v>
      </c>
      <c r="B69" t="s">
        <v>19</v>
      </c>
      <c r="AF69" s="50"/>
      <c r="AG69" s="50"/>
      <c r="AH69" s="50"/>
      <c r="AI69" s="50"/>
      <c r="AJ69" s="50"/>
      <c r="AK69" s="50"/>
      <c r="AL69" s="50"/>
    </row>
    <row r="70" spans="1:38" x14ac:dyDescent="0.25">
      <c r="A70" t="s">
        <v>10</v>
      </c>
      <c r="B70" t="s">
        <v>20</v>
      </c>
      <c r="AF70" s="50"/>
      <c r="AG70" s="50"/>
      <c r="AH70" s="50"/>
      <c r="AI70" s="50"/>
      <c r="AJ70" s="50"/>
      <c r="AK70" s="50"/>
      <c r="AL70" s="50"/>
    </row>
    <row r="71" spans="1:38" x14ac:dyDescent="0.25">
      <c r="A71" t="s">
        <v>11</v>
      </c>
      <c r="B71" t="s">
        <v>0</v>
      </c>
      <c r="AF71" s="50"/>
      <c r="AG71" s="50"/>
      <c r="AH71" s="50"/>
      <c r="AI71" s="50"/>
      <c r="AJ71" s="50"/>
      <c r="AK71" s="50"/>
      <c r="AL71" s="50"/>
    </row>
    <row r="72" spans="1:38" x14ac:dyDescent="0.25">
      <c r="A72" t="s">
        <v>12</v>
      </c>
      <c r="B72" t="s">
        <v>21</v>
      </c>
      <c r="AF72" s="50"/>
      <c r="AG72" s="50"/>
      <c r="AH72" s="50"/>
      <c r="AI72" s="50"/>
      <c r="AJ72" s="50"/>
      <c r="AK72" s="50"/>
      <c r="AL72" s="50"/>
    </row>
    <row r="73" spans="1:38" x14ac:dyDescent="0.25">
      <c r="A73" t="s">
        <v>13</v>
      </c>
      <c r="B73" t="s">
        <v>22</v>
      </c>
      <c r="AF73" s="50"/>
      <c r="AG73" s="50"/>
      <c r="AH73" s="50"/>
      <c r="AI73" s="50"/>
      <c r="AJ73" s="50"/>
      <c r="AK73" s="50"/>
      <c r="AL73" s="50"/>
    </row>
    <row r="74" spans="1:38" x14ac:dyDescent="0.25">
      <c r="A74" t="s">
        <v>14</v>
      </c>
      <c r="B74" t="s">
        <v>23</v>
      </c>
      <c r="AF74" s="50"/>
      <c r="AG74" s="50"/>
      <c r="AH74" s="50"/>
      <c r="AI74" s="50"/>
      <c r="AJ74" s="50"/>
      <c r="AK74" s="50"/>
      <c r="AL74" s="50"/>
    </row>
    <row r="75" spans="1:38" x14ac:dyDescent="0.25">
      <c r="A75" t="s">
        <v>5</v>
      </c>
      <c r="B75" t="s">
        <v>24</v>
      </c>
      <c r="AF75" s="50"/>
      <c r="AG75" s="50"/>
      <c r="AH75" s="50"/>
      <c r="AI75" s="50"/>
      <c r="AJ75" s="50"/>
      <c r="AK75" s="50"/>
      <c r="AL75" s="50"/>
    </row>
    <row r="76" spans="1:38" x14ac:dyDescent="0.25">
      <c r="A76" t="s">
        <v>15</v>
      </c>
      <c r="B76" t="s">
        <v>25</v>
      </c>
      <c r="AF76" s="50"/>
      <c r="AG76" s="50"/>
      <c r="AH76" s="50"/>
      <c r="AI76" s="50"/>
      <c r="AJ76" s="50"/>
      <c r="AK76" s="50"/>
      <c r="AL76" s="50"/>
    </row>
    <row r="77" spans="1:38" x14ac:dyDescent="0.25">
      <c r="A77" t="s">
        <v>16</v>
      </c>
      <c r="B77" t="s">
        <v>25</v>
      </c>
      <c r="AF77" s="50"/>
      <c r="AG77" s="50"/>
      <c r="AH77" s="50"/>
      <c r="AI77" s="50"/>
      <c r="AJ77" s="50"/>
      <c r="AK77" s="50"/>
      <c r="AL77" s="50"/>
    </row>
    <row r="78" spans="1:38" x14ac:dyDescent="0.25">
      <c r="AF78" s="50"/>
      <c r="AG78" s="50"/>
      <c r="AH78" s="50"/>
      <c r="AI78" s="50"/>
      <c r="AJ78" s="50"/>
      <c r="AK78" s="50"/>
      <c r="AL78" s="50"/>
    </row>
    <row r="79" spans="1:38" x14ac:dyDescent="0.25">
      <c r="AF79" s="50"/>
      <c r="AG79" s="50"/>
      <c r="AH79" s="50"/>
      <c r="AI79" s="50"/>
      <c r="AJ79" s="50"/>
      <c r="AK79" s="50"/>
      <c r="AL79" s="50"/>
    </row>
    <row r="80" spans="1:38" x14ac:dyDescent="0.25">
      <c r="AF80" s="50"/>
      <c r="AG80" s="50"/>
      <c r="AH80" s="50"/>
      <c r="AI80" s="50"/>
      <c r="AJ80" s="50"/>
      <c r="AK80" s="50"/>
      <c r="AL80" s="50"/>
    </row>
    <row r="81" spans="1:40" x14ac:dyDescent="0.25">
      <c r="AF81" s="50"/>
      <c r="AG81" s="50"/>
      <c r="AH81" s="50"/>
      <c r="AI81" s="50"/>
      <c r="AJ81" s="50"/>
      <c r="AK81" s="50"/>
      <c r="AL81" s="50"/>
    </row>
    <row r="82" spans="1:40" x14ac:dyDescent="0.25">
      <c r="AF82" s="50"/>
      <c r="AG82" s="50"/>
      <c r="AH82" s="50"/>
      <c r="AI82" s="50"/>
      <c r="AJ82" s="50"/>
      <c r="AK82" s="50"/>
      <c r="AL82" s="50"/>
    </row>
    <row r="83" spans="1:40" x14ac:dyDescent="0.25">
      <c r="AF83" s="50"/>
      <c r="AG83" s="50"/>
      <c r="AH83" s="50"/>
      <c r="AI83" s="50"/>
      <c r="AJ83" s="50"/>
      <c r="AK83" s="50"/>
      <c r="AL83" s="50"/>
    </row>
    <row r="84" spans="1:40" x14ac:dyDescent="0.25">
      <c r="AF84" s="50"/>
      <c r="AG84" s="50"/>
      <c r="AH84" s="50"/>
      <c r="AI84" s="50"/>
      <c r="AJ84" s="50"/>
      <c r="AK84" s="50"/>
      <c r="AL84" s="50"/>
    </row>
    <row r="85" spans="1:40" x14ac:dyDescent="0.25">
      <c r="AF85" s="50"/>
      <c r="AG85" s="50"/>
      <c r="AH85" s="50"/>
      <c r="AI85" s="50"/>
      <c r="AJ85" s="50"/>
      <c r="AK85" s="50"/>
      <c r="AL85" s="50"/>
    </row>
    <row r="86" spans="1:40" x14ac:dyDescent="0.25">
      <c r="AF86" s="50"/>
      <c r="AG86" s="50"/>
      <c r="AH86" s="50"/>
      <c r="AI86" s="50"/>
      <c r="AJ86" s="50"/>
      <c r="AK86" s="50"/>
      <c r="AL86" s="50"/>
    </row>
    <row r="87" spans="1:40" x14ac:dyDescent="0.25">
      <c r="AF87" s="50"/>
      <c r="AG87" s="50"/>
      <c r="AH87" s="50"/>
      <c r="AI87" s="50"/>
      <c r="AJ87" s="50"/>
      <c r="AK87" s="50"/>
      <c r="AL87" s="50"/>
    </row>
    <row r="88" spans="1:40" x14ac:dyDescent="0.25">
      <c r="A88" s="53" t="s">
        <v>151</v>
      </c>
      <c r="B88" s="50"/>
      <c r="C88" s="50"/>
      <c r="D88" s="50"/>
      <c r="E88" s="52">
        <f>31.2/29.6</f>
        <v>1.0540540540540539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</row>
    <row r="89" spans="1:40" x14ac:dyDescent="0.25">
      <c r="A89" s="53" t="s">
        <v>153</v>
      </c>
      <c r="B89" s="50"/>
      <c r="C89" s="50"/>
      <c r="D89" s="50"/>
      <c r="E89" s="66">
        <v>-2.957E-3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</row>
    <row r="90" spans="1:40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</row>
    <row r="91" spans="1:40" s="58" customFormat="1" ht="45" x14ac:dyDescent="0.25">
      <c r="A91" s="54" t="s">
        <v>3</v>
      </c>
      <c r="B91" s="56" t="s">
        <v>156</v>
      </c>
      <c r="C91" s="56" t="s">
        <v>155</v>
      </c>
      <c r="D91" s="56" t="s">
        <v>154</v>
      </c>
      <c r="E91" s="56" t="s">
        <v>157</v>
      </c>
      <c r="F91" s="56" t="s">
        <v>158</v>
      </c>
      <c r="G91" s="56" t="s">
        <v>152</v>
      </c>
      <c r="H91" s="55" t="s">
        <v>159</v>
      </c>
      <c r="I91" s="28"/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</row>
    <row r="92" spans="1:40" x14ac:dyDescent="0.25">
      <c r="A92" s="41">
        <v>1913</v>
      </c>
      <c r="B92" s="51">
        <f>G53*RSFSR_MULT</f>
        <v>31.83243243243243</v>
      </c>
      <c r="C92" s="50"/>
      <c r="D92" s="50"/>
      <c r="E92" s="50"/>
      <c r="F92" s="50"/>
      <c r="G92" s="50"/>
      <c r="H92" s="51">
        <f>B92</f>
        <v>31.83243243243243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</row>
    <row r="93" spans="1:40" x14ac:dyDescent="0.25">
      <c r="A93" s="41">
        <v>1914</v>
      </c>
      <c r="B93" s="51">
        <f>G54*RSFSR_MULT</f>
        <v>31.2</v>
      </c>
      <c r="H93" s="51">
        <f>B93</f>
        <v>31.2</v>
      </c>
    </row>
    <row r="94" spans="1:40" x14ac:dyDescent="0.25">
      <c r="A94" s="42">
        <v>1915</v>
      </c>
      <c r="B94" s="51">
        <f>G55*RSFSR_MULT</f>
        <v>37.313513513513506</v>
      </c>
      <c r="H94" s="51">
        <f>B94</f>
        <v>37.313513513513506</v>
      </c>
    </row>
    <row r="95" spans="1:40" x14ac:dyDescent="0.25">
      <c r="A95" s="42">
        <v>1916</v>
      </c>
      <c r="B95" s="51">
        <f>G56*RSFSR_MULT</f>
        <v>34.783783783783782</v>
      </c>
      <c r="H95" s="51">
        <f>B95</f>
        <v>34.783783783783782</v>
      </c>
    </row>
    <row r="96" spans="1:40" x14ac:dyDescent="0.25">
      <c r="A96" s="42">
        <v>1917</v>
      </c>
      <c r="B96" s="51">
        <f>G57*RSFSR_MULT</f>
        <v>29.724324324324321</v>
      </c>
      <c r="C96" s="2"/>
      <c r="D96" s="2"/>
      <c r="E96" s="2"/>
      <c r="H96" s="51">
        <f>B96</f>
        <v>29.724324324324321</v>
      </c>
    </row>
    <row r="97" spans="1:8" x14ac:dyDescent="0.25">
      <c r="A97" s="42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1">
        <f>C97*(1 + G97 * EXTRA_WEIGHT)</f>
        <v>28.913874615810812</v>
      </c>
    </row>
    <row r="98" spans="1:8" x14ac:dyDescent="0.25">
      <c r="A98" s="42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1">
        <f>C98*(1 + G98 * EXTRA_WEIGHT)</f>
        <v>36.893900971621619</v>
      </c>
    </row>
    <row r="99" spans="1:8" x14ac:dyDescent="0.25">
      <c r="A99" s="42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1">
        <f>C99*(1 + G99 * EXTRA_WEIGHT)</f>
        <v>46.251664806486481</v>
      </c>
    </row>
    <row r="100" spans="1:8" x14ac:dyDescent="0.25">
      <c r="A100" s="42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1">
        <f>C100*(1 + G100 * EXTRA_WEIGHT)</f>
        <v>43.0570983454054</v>
      </c>
    </row>
    <row r="101" spans="1:8" x14ac:dyDescent="0.25">
      <c r="A101" s="42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1">
        <f>C101*(1 + G101 * EXTRA_WEIGHT)</f>
        <v>42.080942870270263</v>
      </c>
    </row>
    <row r="102" spans="1:8" x14ac:dyDescent="0.25">
      <c r="A102" s="42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1">
        <f>E102</f>
        <v>31.406037735849061</v>
      </c>
    </row>
    <row r="103" spans="1:8" x14ac:dyDescent="0.25">
      <c r="A103" s="42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1">
        <f t="shared" ref="H103:H106" si="8">E103</f>
        <v>29.787169811320759</v>
      </c>
    </row>
    <row r="104" spans="1:8" x14ac:dyDescent="0.25">
      <c r="A104" s="42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1">
        <f t="shared" si="8"/>
        <v>30.974339622641512</v>
      </c>
    </row>
    <row r="105" spans="1:8" x14ac:dyDescent="0.25">
      <c r="A105" s="42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1">
        <f t="shared" si="8"/>
        <v>27.520754716981134</v>
      </c>
    </row>
    <row r="106" spans="1:8" x14ac:dyDescent="0.25">
      <c r="A106" s="43">
        <v>1927</v>
      </c>
      <c r="D106">
        <v>26.5</v>
      </c>
      <c r="E106" s="2">
        <f>D106*28.6/26.5</f>
        <v>28.600000000000005</v>
      </c>
      <c r="H106" s="51">
        <f t="shared" si="8"/>
        <v>28.600000000000005</v>
      </c>
    </row>
    <row r="118" spans="1:35" ht="21" x14ac:dyDescent="0.35">
      <c r="A118" s="67" t="s">
        <v>164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20" spans="1:35" ht="30" x14ac:dyDescent="0.25">
      <c r="A120" s="60" t="s">
        <v>3</v>
      </c>
      <c r="B120" s="60" t="s">
        <v>6</v>
      </c>
      <c r="C120" s="60" t="s">
        <v>7</v>
      </c>
      <c r="D120" s="12" t="s">
        <v>138</v>
      </c>
      <c r="E120" s="12" t="s">
        <v>26</v>
      </c>
      <c r="F120" s="60" t="s">
        <v>30</v>
      </c>
      <c r="G120" s="60" t="s">
        <v>27</v>
      </c>
      <c r="H120" s="60" t="s">
        <v>28</v>
      </c>
      <c r="I120" s="60" t="s">
        <v>29</v>
      </c>
      <c r="J120" s="60" t="s">
        <v>32</v>
      </c>
    </row>
    <row r="121" spans="1:35" x14ac:dyDescent="0.25">
      <c r="A121" s="61">
        <v>1913</v>
      </c>
      <c r="B121" s="64">
        <v>48.4</v>
      </c>
      <c r="C121" s="64">
        <v>31.6</v>
      </c>
      <c r="D121" s="1">
        <f>B121-C121</f>
        <v>16.799999999999997</v>
      </c>
      <c r="E121" s="28"/>
      <c r="F121" s="65">
        <v>87749</v>
      </c>
      <c r="G121" s="65">
        <v>88520</v>
      </c>
      <c r="H121" s="59"/>
      <c r="I121" s="59"/>
      <c r="J121" s="59"/>
    </row>
    <row r="122" spans="1:35" x14ac:dyDescent="0.25">
      <c r="A122" s="61">
        <v>1914</v>
      </c>
      <c r="B122" s="64">
        <v>48</v>
      </c>
      <c r="C122" s="64">
        <v>31.2</v>
      </c>
      <c r="D122" s="1">
        <f>B122-C122</f>
        <v>16.8</v>
      </c>
      <c r="E122">
        <v>10</v>
      </c>
      <c r="F122" s="65">
        <v>89296</v>
      </c>
      <c r="G122" s="65">
        <v>90063</v>
      </c>
      <c r="H122" s="59"/>
      <c r="I122" s="59"/>
      <c r="J122" s="59"/>
    </row>
    <row r="123" spans="1:35" x14ac:dyDescent="0.25">
      <c r="A123" s="49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>[1]!YearAveragePopulation(F123,B123,C123,E123)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25">
      <c r="A124" s="49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>
        <v>25</v>
      </c>
      <c r="F124" s="4">
        <f>F123+J123+E123</f>
        <v>91434.701801419738</v>
      </c>
      <c r="G124" s="4">
        <f>[1]!YearAveragePopulation(F124,B124,C124,E124)</f>
        <v>91256.237672800969</v>
      </c>
      <c r="H124" s="4">
        <f t="shared" ref="H124:H134" si="12">G124*B124/1000</f>
        <v>2792.557618507547</v>
      </c>
      <c r="I124" s="4">
        <f t="shared" ref="I124:I134" si="13">G124*C124/1000</f>
        <v>3174.2372401322932</v>
      </c>
      <c r="J124" s="4">
        <f t="shared" ref="J124:J134" si="14">H124-I124</f>
        <v>-381.67962162474623</v>
      </c>
    </row>
    <row r="125" spans="1:35" x14ac:dyDescent="0.25">
      <c r="A125" s="49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>
        <v>-5</v>
      </c>
      <c r="F125" s="4">
        <f t="shared" ref="F125:F135" si="15">F124+J124+E124</f>
        <v>91078.022179794993</v>
      </c>
      <c r="G125" s="4">
        <f>[1]!YearAveragePopulation(F125,B125,C125,E125)</f>
        <v>90836.239716626776</v>
      </c>
      <c r="H125" s="4">
        <f t="shared" si="12"/>
        <v>2221.9047804459324</v>
      </c>
      <c r="I125" s="4">
        <f t="shared" si="13"/>
        <v>2700.0458497390846</v>
      </c>
      <c r="J125" s="4">
        <f t="shared" si="14"/>
        <v>-478.14106929315221</v>
      </c>
    </row>
    <row r="126" spans="1:35" x14ac:dyDescent="0.25">
      <c r="A126" s="49">
        <v>1918</v>
      </c>
      <c r="B126" s="1">
        <f t="shared" si="9"/>
        <v>32.750533049040513</v>
      </c>
      <c r="C126" s="1">
        <f t="shared" si="10"/>
        <v>28.913874615810812</v>
      </c>
      <c r="D126" s="1">
        <f t="shared" si="11"/>
        <v>3.8366584332297009</v>
      </c>
      <c r="E126">
        <v>-220</v>
      </c>
      <c r="F126" s="4">
        <f t="shared" si="15"/>
        <v>90594.881110501839</v>
      </c>
      <c r="G126" s="4">
        <f>[1]!YearAveragePopulation(F126,B126,C126,E126)</f>
        <v>90658.753577300551</v>
      </c>
      <c r="H126" s="4">
        <f t="shared" si="12"/>
        <v>2969.1225052182012</v>
      </c>
      <c r="I126" s="4">
        <f t="shared" si="13"/>
        <v>2621.2958337597584</v>
      </c>
      <c r="J126" s="4">
        <f t="shared" si="14"/>
        <v>347.82667145844289</v>
      </c>
    </row>
    <row r="127" spans="1:35" x14ac:dyDescent="0.25">
      <c r="A127" s="49">
        <v>1919</v>
      </c>
      <c r="B127" s="1">
        <f t="shared" si="9"/>
        <v>31.727078891257996</v>
      </c>
      <c r="C127" s="1">
        <f t="shared" si="10"/>
        <v>36.893900971621619</v>
      </c>
      <c r="D127" s="1">
        <f t="shared" si="11"/>
        <v>-5.1668220803636231</v>
      </c>
      <c r="E127">
        <v>-270</v>
      </c>
      <c r="F127" s="4">
        <f t="shared" si="15"/>
        <v>90722.707781960286</v>
      </c>
      <c r="G127" s="4">
        <f>[1]!YearAveragePopulation(F127,B127,C127,E127)</f>
        <v>90353.969079516566</v>
      </c>
      <c r="H127" s="4">
        <f t="shared" si="12"/>
        <v>2866.6675051241077</v>
      </c>
      <c r="I127" s="4">
        <f t="shared" si="13"/>
        <v>3333.5103876126459</v>
      </c>
      <c r="J127" s="4">
        <f t="shared" si="14"/>
        <v>-466.84288248853818</v>
      </c>
    </row>
    <row r="128" spans="1:35" x14ac:dyDescent="0.25">
      <c r="A128" s="49">
        <v>1920</v>
      </c>
      <c r="B128" s="1">
        <f t="shared" si="9"/>
        <v>31.931769722814497</v>
      </c>
      <c r="C128" s="1">
        <f t="shared" si="10"/>
        <v>46.251664806486481</v>
      </c>
      <c r="D128" s="1">
        <f t="shared" si="11"/>
        <v>-14.319895083671984</v>
      </c>
      <c r="E128">
        <v>-390</v>
      </c>
      <c r="F128" s="4">
        <f t="shared" si="15"/>
        <v>89985.864899471751</v>
      </c>
      <c r="G128" s="4">
        <f>[1]!YearAveragePopulation(F128,B128,C128,E128)</f>
        <v>89150.56272718712</v>
      </c>
      <c r="H128" s="4">
        <f t="shared" si="12"/>
        <v>2846.735239663868</v>
      </c>
      <c r="I128" s="4">
        <f t="shared" si="13"/>
        <v>4123.3619445675058</v>
      </c>
      <c r="J128" s="4">
        <f t="shared" si="14"/>
        <v>-1276.6267049036378</v>
      </c>
    </row>
    <row r="129" spans="1:10" x14ac:dyDescent="0.25">
      <c r="A129" s="49">
        <v>1921</v>
      </c>
      <c r="B129" s="1">
        <f t="shared" si="9"/>
        <v>36.332622601279319</v>
      </c>
      <c r="C129" s="1">
        <f t="shared" si="10"/>
        <v>43.0570983454054</v>
      </c>
      <c r="D129" s="1">
        <f t="shared" si="11"/>
        <v>-6.7244757441260816</v>
      </c>
      <c r="E129">
        <v>-150</v>
      </c>
      <c r="F129" s="4">
        <f t="shared" si="15"/>
        <v>88319.238194568112</v>
      </c>
      <c r="G129" s="4">
        <f>[1]!YearAveragePopulation(F129,B129,C129,E129)</f>
        <v>87948.120230934379</v>
      </c>
      <c r="H129" s="4">
        <f t="shared" si="12"/>
        <v>3195.3858608424771</v>
      </c>
      <c r="I129" s="4">
        <f t="shared" si="13"/>
        <v>3786.7908620768799</v>
      </c>
      <c r="J129" s="4">
        <f t="shared" si="14"/>
        <v>-591.40500123440279</v>
      </c>
    </row>
    <row r="130" spans="1:10" x14ac:dyDescent="0.25">
      <c r="A130" s="49">
        <v>1922</v>
      </c>
      <c r="B130" s="1">
        <f t="shared" si="9"/>
        <v>38.938336886993604</v>
      </c>
      <c r="C130" s="1">
        <f t="shared" si="10"/>
        <v>42.080942870270263</v>
      </c>
      <c r="D130" s="1">
        <f t="shared" si="11"/>
        <v>-3.1426059832766597</v>
      </c>
      <c r="E130">
        <v>-55</v>
      </c>
      <c r="F130" s="4">
        <f t="shared" si="15"/>
        <v>87577.833193333703</v>
      </c>
      <c r="G130" s="4">
        <f>[1]!YearAveragePopulation(F130,B130,C130,E130)</f>
        <v>87412.894706167484</v>
      </c>
      <c r="H130" s="4">
        <f t="shared" si="12"/>
        <v>3403.7127423360494</v>
      </c>
      <c r="I130" s="4">
        <f t="shared" si="13"/>
        <v>3678.4170282551836</v>
      </c>
      <c r="J130" s="4">
        <f t="shared" si="14"/>
        <v>-274.70428591913424</v>
      </c>
    </row>
    <row r="131" spans="1:10" x14ac:dyDescent="0.25">
      <c r="A131" s="49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>
        <v>-20</v>
      </c>
      <c r="F131" s="4">
        <f t="shared" si="15"/>
        <v>87248.128907414575</v>
      </c>
      <c r="G131" s="4">
        <f>[1]!YearAveragePopulation(F131,B131,C131,E131)</f>
        <v>87989.106340502069</v>
      </c>
      <c r="H131" s="4">
        <f t="shared" si="12"/>
        <v>4269.5841465066615</v>
      </c>
      <c r="I131" s="4">
        <f t="shared" si="13"/>
        <v>2763.3891940734438</v>
      </c>
      <c r="J131" s="4">
        <f t="shared" si="14"/>
        <v>1506.1949524332176</v>
      </c>
    </row>
    <row r="132" spans="1:10" x14ac:dyDescent="0.25">
      <c r="A132" s="49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>
        <v>-10</v>
      </c>
      <c r="F132" s="4">
        <f t="shared" si="15"/>
        <v>88734.323859847791</v>
      </c>
      <c r="G132" s="4">
        <f>[1]!YearAveragePopulation(F132,B132,C132,E132)</f>
        <v>89460.23645222139</v>
      </c>
      <c r="H132" s="4">
        <f t="shared" si="12"/>
        <v>4130.5679563041522</v>
      </c>
      <c r="I132" s="4">
        <f t="shared" si="13"/>
        <v>2664.7672545632258</v>
      </c>
      <c r="J132" s="4">
        <f t="shared" si="14"/>
        <v>1465.8007017409263</v>
      </c>
    </row>
    <row r="133" spans="1:10" x14ac:dyDescent="0.25">
      <c r="A133" s="49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>
        <v>-5</v>
      </c>
      <c r="F133" s="4">
        <f t="shared" si="15"/>
        <v>90190.124561588716</v>
      </c>
      <c r="G133" s="4">
        <f>[1]!YearAveragePopulation(F133,B133,C133,E133)</f>
        <v>90991.693428627375</v>
      </c>
      <c r="H133" s="4">
        <f t="shared" si="12"/>
        <v>4431.295469974154</v>
      </c>
      <c r="I133" s="4">
        <f t="shared" si="13"/>
        <v>2818.4076150975825</v>
      </c>
      <c r="J133" s="4">
        <f t="shared" si="14"/>
        <v>1612.8878548765715</v>
      </c>
    </row>
    <row r="134" spans="1:10" x14ac:dyDescent="0.25">
      <c r="A134" s="49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>
        <v>0</v>
      </c>
      <c r="F134" s="4">
        <f t="shared" si="15"/>
        <v>91798.012416465295</v>
      </c>
      <c r="G134" s="4">
        <f>[1]!YearAveragePopulation(F134,B134,C134,E134)</f>
        <v>92697.92411951581</v>
      </c>
      <c r="H134" s="4">
        <f t="shared" si="12"/>
        <v>4356.8024336172439</v>
      </c>
      <c r="I134" s="4">
        <f t="shared" si="13"/>
        <v>2551.1168324665241</v>
      </c>
      <c r="J134" s="4">
        <f t="shared" si="14"/>
        <v>1805.6856011507198</v>
      </c>
    </row>
    <row r="135" spans="1:10" x14ac:dyDescent="0.25">
      <c r="A135" s="49">
        <v>1927</v>
      </c>
      <c r="F135" s="4">
        <f t="shared" si="15"/>
        <v>93603.698017616014</v>
      </c>
    </row>
    <row r="137" spans="1:10" x14ac:dyDescent="0.25">
      <c r="A137" s="14" t="s">
        <v>31</v>
      </c>
      <c r="F137" s="3">
        <v>93604</v>
      </c>
    </row>
    <row r="138" spans="1:10" x14ac:dyDescent="0.25">
      <c r="A138" s="14"/>
      <c r="F138" s="3"/>
    </row>
    <row r="139" spans="1:10" x14ac:dyDescent="0.25">
      <c r="A139" s="14" t="s">
        <v>33</v>
      </c>
      <c r="B139" s="13"/>
      <c r="F139" s="3">
        <f>F135+F138-F137</f>
        <v>-0.30198238398588728</v>
      </c>
    </row>
    <row r="182" spans="1:36" ht="21" x14ac:dyDescent="0.35">
      <c r="A182" s="67" t="s">
        <v>166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</row>
    <row r="183" spans="1:36" x14ac:dyDescent="0.25">
      <c r="A183" s="21"/>
    </row>
    <row r="184" spans="1:36" x14ac:dyDescent="0.25">
      <c r="A184" s="69" t="s">
        <v>162</v>
      </c>
      <c r="D184" s="70">
        <v>0.90890000000000004</v>
      </c>
    </row>
    <row r="186" spans="1:36" ht="45" x14ac:dyDescent="0.25">
      <c r="A186" s="54" t="s">
        <v>3</v>
      </c>
      <c r="B186" s="56" t="s">
        <v>156</v>
      </c>
      <c r="C186" s="56" t="s">
        <v>155</v>
      </c>
      <c r="D186" s="56" t="s">
        <v>154</v>
      </c>
      <c r="E186" s="56" t="s">
        <v>157</v>
      </c>
      <c r="F186" s="55" t="s">
        <v>159</v>
      </c>
    </row>
    <row r="187" spans="1:36" x14ac:dyDescent="0.25">
      <c r="A187" s="41">
        <v>1913</v>
      </c>
      <c r="B187" s="51">
        <f>G53*RSFSR_MULT</f>
        <v>31.83243243243243</v>
      </c>
      <c r="C187" s="50"/>
      <c r="D187" s="50"/>
      <c r="E187" s="50"/>
      <c r="F187" s="2">
        <f>B187</f>
        <v>31.83243243243243</v>
      </c>
    </row>
    <row r="188" spans="1:36" x14ac:dyDescent="0.25">
      <c r="A188" s="41">
        <v>1914</v>
      </c>
      <c r="B188" s="51">
        <f>G54*RSFSR_MULT</f>
        <v>31.2</v>
      </c>
      <c r="F188" s="2">
        <f t="shared" ref="F188:F191" si="16">B188</f>
        <v>31.2</v>
      </c>
    </row>
    <row r="189" spans="1:36" x14ac:dyDescent="0.25">
      <c r="A189" s="42">
        <v>1915</v>
      </c>
      <c r="B189" s="51">
        <f>G55*RSFSR_MULT</f>
        <v>37.313513513513506</v>
      </c>
      <c r="F189" s="2">
        <f t="shared" si="16"/>
        <v>37.313513513513506</v>
      </c>
    </row>
    <row r="190" spans="1:36" x14ac:dyDescent="0.25">
      <c r="A190" s="42">
        <v>1916</v>
      </c>
      <c r="B190" s="51">
        <f>G56*RSFSR_MULT</f>
        <v>34.783783783783782</v>
      </c>
      <c r="F190" s="2">
        <f t="shared" si="16"/>
        <v>34.783783783783782</v>
      </c>
    </row>
    <row r="191" spans="1:36" x14ac:dyDescent="0.25">
      <c r="A191" s="42">
        <v>1917</v>
      </c>
      <c r="B191" s="51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2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2">
        <v>1919</v>
      </c>
      <c r="C193" s="2">
        <f t="shared" si="17"/>
        <v>41.529729729729723</v>
      </c>
      <c r="D193" s="2"/>
      <c r="E193" s="2"/>
      <c r="F193" s="2">
        <f>C193*VAR2_CDR_TONE_DOWN</f>
        <v>37.74637135135135</v>
      </c>
    </row>
    <row r="194" spans="1:6" x14ac:dyDescent="0.25">
      <c r="A194" s="42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47.805683513513507</v>
      </c>
    </row>
    <row r="195" spans="1:6" x14ac:dyDescent="0.25">
      <c r="A195" s="42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40.812066486486486</v>
      </c>
    </row>
    <row r="196" spans="1:6" x14ac:dyDescent="0.25">
      <c r="A196" s="42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41.195278378378376</v>
      </c>
    </row>
    <row r="197" spans="1:6" x14ac:dyDescent="0.25">
      <c r="A197" s="42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2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2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2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3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7" t="s">
        <v>167</v>
      </c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</row>
    <row r="219" spans="1:36" ht="30" x14ac:dyDescent="0.25">
      <c r="A219" s="60" t="s">
        <v>3</v>
      </c>
      <c r="B219" s="60" t="s">
        <v>6</v>
      </c>
      <c r="C219" s="60" t="s">
        <v>7</v>
      </c>
      <c r="D219" s="12" t="s">
        <v>138</v>
      </c>
      <c r="E219" s="12" t="s">
        <v>26</v>
      </c>
      <c r="F219" s="60" t="s">
        <v>30</v>
      </c>
      <c r="G219" s="60" t="s">
        <v>27</v>
      </c>
      <c r="H219" s="60" t="s">
        <v>28</v>
      </c>
      <c r="I219" s="60" t="s">
        <v>29</v>
      </c>
      <c r="J219" s="60" t="s">
        <v>32</v>
      </c>
    </row>
    <row r="220" spans="1:36" x14ac:dyDescent="0.25">
      <c r="A220" s="61">
        <v>1913</v>
      </c>
      <c r="B220" s="64">
        <v>48.4</v>
      </c>
      <c r="C220" s="64">
        <v>31.6</v>
      </c>
      <c r="D220" s="1">
        <f>B220-C220</f>
        <v>16.799999999999997</v>
      </c>
      <c r="E220" s="28"/>
      <c r="F220" s="65">
        <v>87934.812999999995</v>
      </c>
      <c r="G220" s="65">
        <v>88709.567999999999</v>
      </c>
      <c r="H220" s="65">
        <f>G220*B220/1000</f>
        <v>4293.5430911999993</v>
      </c>
      <c r="I220" s="65">
        <f>G220*C220/1000</f>
        <v>2803.2223488000004</v>
      </c>
      <c r="J220" s="65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25">
      <c r="A221" s="61">
        <v>1914</v>
      </c>
      <c r="B221" s="64">
        <f t="shared" ref="B221:B233" si="20">E5</f>
        <v>48</v>
      </c>
      <c r="C221" s="64">
        <f t="shared" ref="C221:C234" si="21">F188</f>
        <v>31.2</v>
      </c>
      <c r="D221" s="1">
        <f>B221-C221</f>
        <v>16.8</v>
      </c>
      <c r="E221">
        <v>10</v>
      </c>
      <c r="F221" s="65">
        <v>89488.86</v>
      </c>
      <c r="G221" s="65">
        <v>90260.49</v>
      </c>
      <c r="H221" s="65">
        <f>G221*B221/1000</f>
        <v>4332.5035200000002</v>
      </c>
      <c r="I221" s="65">
        <f>G221*C221/1000</f>
        <v>2816.1272880000001</v>
      </c>
      <c r="J221" s="65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25">
      <c r="A222" s="62">
        <v>1915</v>
      </c>
      <c r="B222" s="64">
        <f t="shared" si="20"/>
        <v>40.631130063965891</v>
      </c>
      <c r="C222" s="64">
        <f t="shared" si="21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>[1]!YearAveragePopulation(F222,B222,C222,E222)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25">
      <c r="A223" s="62">
        <v>1916</v>
      </c>
      <c r="B223" s="64">
        <f t="shared" si="20"/>
        <v>30.601279317697227</v>
      </c>
      <c r="C223" s="64">
        <f t="shared" si="21"/>
        <v>34.783783783783782</v>
      </c>
      <c r="D223" s="1">
        <f t="shared" ref="D223:D234" si="22">B223-C223</f>
        <v>-4.1825044660865558</v>
      </c>
      <c r="E223">
        <v>25</v>
      </c>
      <c r="F223" s="4">
        <f>F222+J222+E222</f>
        <v>91434.701801419738</v>
      </c>
      <c r="G223" s="4">
        <f>[1]!YearAveragePopulation(F223,B223,C223,E223)</f>
        <v>91256.237672800969</v>
      </c>
      <c r="H223" s="4">
        <f t="shared" ref="H223:H233" si="23">G223*B223/1000</f>
        <v>2792.557618507547</v>
      </c>
      <c r="I223" s="4">
        <f t="shared" ref="I223:I233" si="24">G223*C223/1000</f>
        <v>3174.2372401322932</v>
      </c>
      <c r="J223" s="4">
        <f t="shared" ref="J223:J233" si="25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25">
      <c r="A224" s="62">
        <v>1917</v>
      </c>
      <c r="B224" s="64">
        <f t="shared" si="20"/>
        <v>24.460554371002129</v>
      </c>
      <c r="C224" s="64">
        <f t="shared" si="21"/>
        <v>29.724324324324321</v>
      </c>
      <c r="D224" s="1">
        <f t="shared" si="22"/>
        <v>-5.2637699533221927</v>
      </c>
      <c r="E224">
        <v>-5</v>
      </c>
      <c r="F224" s="4">
        <f t="shared" ref="F224:F234" si="26">F223+J223+E223</f>
        <v>91078.022179794993</v>
      </c>
      <c r="G224" s="4">
        <f>[1]!YearAveragePopulation(F224,B224,C224,E224)</f>
        <v>90836.239716626776</v>
      </c>
      <c r="H224" s="4">
        <f t="shared" si="23"/>
        <v>2221.9047804459324</v>
      </c>
      <c r="I224" s="4">
        <f t="shared" si="24"/>
        <v>2700.0458497390846</v>
      </c>
      <c r="J224" s="4">
        <f t="shared" si="25"/>
        <v>-478.14106929315221</v>
      </c>
      <c r="M224" s="3"/>
      <c r="O224" s="23"/>
      <c r="P224" s="23"/>
      <c r="Q224" s="3"/>
      <c r="R224" s="3"/>
      <c r="S224" s="3"/>
    </row>
    <row r="225" spans="1:19" x14ac:dyDescent="0.25">
      <c r="A225" s="62">
        <v>1918</v>
      </c>
      <c r="B225" s="64">
        <f t="shared" si="20"/>
        <v>32.750533049040513</v>
      </c>
      <c r="C225" s="64">
        <f t="shared" si="21"/>
        <v>29.618918918918919</v>
      </c>
      <c r="D225" s="1">
        <f t="shared" si="22"/>
        <v>3.1316141301215943</v>
      </c>
      <c r="E225">
        <v>-220</v>
      </c>
      <c r="F225" s="4">
        <f t="shared" si="26"/>
        <v>90594.881110501839</v>
      </c>
      <c r="G225" s="4">
        <f>[1]!YearAveragePopulation(F225,B225,C225,E225)</f>
        <v>90626.768493040712</v>
      </c>
      <c r="H225" s="4">
        <f t="shared" si="23"/>
        <v>2968.0749766590734</v>
      </c>
      <c r="I225" s="4">
        <f t="shared" si="24"/>
        <v>2684.2669078790086</v>
      </c>
      <c r="J225" s="4">
        <f t="shared" si="25"/>
        <v>283.80806878006479</v>
      </c>
      <c r="M225" s="3"/>
      <c r="O225" s="23"/>
      <c r="P225" s="23"/>
      <c r="Q225" s="3"/>
      <c r="R225" s="3"/>
      <c r="S225" s="3"/>
    </row>
    <row r="226" spans="1:19" x14ac:dyDescent="0.25">
      <c r="A226" s="62">
        <v>1919</v>
      </c>
      <c r="B226" s="64">
        <f t="shared" si="20"/>
        <v>31.727078891257996</v>
      </c>
      <c r="C226" s="64">
        <f t="shared" si="21"/>
        <v>37.74637135135135</v>
      </c>
      <c r="D226" s="1">
        <f t="shared" si="22"/>
        <v>-6.0192924600933537</v>
      </c>
      <c r="E226">
        <v>-270</v>
      </c>
      <c r="F226" s="4">
        <f t="shared" si="26"/>
        <v>90658.689179281908</v>
      </c>
      <c r="G226" s="4">
        <f>[1]!YearAveragePopulation(F226,B226,C226,E226)</f>
        <v>90251.65569119883</v>
      </c>
      <c r="H226" s="4">
        <f t="shared" si="23"/>
        <v>2863.4214001813193</v>
      </c>
      <c r="I226" s="4">
        <f t="shared" si="24"/>
        <v>3406.6725107942934</v>
      </c>
      <c r="J226" s="4">
        <f t="shared" si="25"/>
        <v>-543.25111061297412</v>
      </c>
      <c r="M226" s="3"/>
      <c r="O226" s="23"/>
      <c r="P226" s="23"/>
      <c r="Q226" s="3"/>
      <c r="R226" s="3"/>
      <c r="S226" s="3"/>
    </row>
    <row r="227" spans="1:19" x14ac:dyDescent="0.25">
      <c r="A227" s="62">
        <v>1920</v>
      </c>
      <c r="B227" s="64">
        <f t="shared" si="20"/>
        <v>31.931769722814497</v>
      </c>
      <c r="C227" s="64">
        <f t="shared" si="21"/>
        <v>47.805683513513507</v>
      </c>
      <c r="D227" s="1">
        <f t="shared" si="22"/>
        <v>-15.87391379069901</v>
      </c>
      <c r="E227">
        <v>-390</v>
      </c>
      <c r="F227" s="4">
        <f t="shared" si="26"/>
        <v>89845.43806866894</v>
      </c>
      <c r="G227" s="4">
        <f>[1]!YearAveragePopulation(F227,B227,C227,E227)</f>
        <v>88942.124721560584</v>
      </c>
      <c r="H227" s="4">
        <f t="shared" si="23"/>
        <v>2840.0794452667192</v>
      </c>
      <c r="I227" s="4">
        <f t="shared" si="24"/>
        <v>4251.9390654583713</v>
      </c>
      <c r="J227" s="4">
        <f t="shared" si="25"/>
        <v>-1411.8596201916521</v>
      </c>
      <c r="M227" s="3"/>
      <c r="O227" s="23"/>
      <c r="P227" s="23"/>
      <c r="Q227" s="3"/>
      <c r="R227" s="3"/>
      <c r="S227" s="3"/>
    </row>
    <row r="228" spans="1:19" x14ac:dyDescent="0.25">
      <c r="A228" s="62">
        <v>1921</v>
      </c>
      <c r="B228" s="64">
        <f t="shared" si="20"/>
        <v>36.332622601279319</v>
      </c>
      <c r="C228" s="64">
        <f t="shared" si="21"/>
        <v>40.812066486486486</v>
      </c>
      <c r="D228" s="1">
        <f t="shared" si="22"/>
        <v>-4.4794438852071679</v>
      </c>
      <c r="E228">
        <v>-150</v>
      </c>
      <c r="F228" s="4">
        <f t="shared" si="26"/>
        <v>88043.578448477288</v>
      </c>
      <c r="G228" s="4">
        <f>[1]!YearAveragePopulation(F228,B228,C228,E228)</f>
        <v>87771.791283812621</v>
      </c>
      <c r="H228" s="4">
        <f t="shared" si="23"/>
        <v>3188.9793677530215</v>
      </c>
      <c r="I228" s="4">
        <f t="shared" si="24"/>
        <v>3582.1481815129755</v>
      </c>
      <c r="J228" s="4">
        <f t="shared" si="25"/>
        <v>-393.16881375995399</v>
      </c>
      <c r="M228" s="3"/>
      <c r="O228" s="23"/>
      <c r="P228" s="23"/>
      <c r="Q228" s="3"/>
      <c r="R228" s="3"/>
      <c r="S228" s="3"/>
    </row>
    <row r="229" spans="1:19" x14ac:dyDescent="0.25">
      <c r="A229" s="62">
        <v>1922</v>
      </c>
      <c r="B229" s="64">
        <f t="shared" si="20"/>
        <v>38.938336886993604</v>
      </c>
      <c r="C229" s="64">
        <f t="shared" si="21"/>
        <v>41.195278378378376</v>
      </c>
      <c r="D229" s="1">
        <f t="shared" si="22"/>
        <v>-2.2569414913847723</v>
      </c>
      <c r="E229">
        <v>-55</v>
      </c>
      <c r="F229" s="4">
        <f t="shared" si="26"/>
        <v>87500.409634717333</v>
      </c>
      <c r="G229" s="4">
        <f>[1]!YearAveragePopulation(F229,B229,C229,E229)</f>
        <v>87374.262901986076</v>
      </c>
      <c r="H229" s="4">
        <f t="shared" si="23"/>
        <v>3402.2084841302812</v>
      </c>
      <c r="I229" s="4">
        <f t="shared" si="24"/>
        <v>3599.4070833529349</v>
      </c>
      <c r="J229" s="4">
        <f t="shared" si="25"/>
        <v>-197.19859922265368</v>
      </c>
      <c r="M229" s="3"/>
      <c r="O229" s="23"/>
      <c r="P229" s="23"/>
      <c r="Q229" s="3"/>
      <c r="R229" s="3"/>
      <c r="S229" s="3"/>
    </row>
    <row r="230" spans="1:19" x14ac:dyDescent="0.25">
      <c r="A230" s="62">
        <v>1923</v>
      </c>
      <c r="B230" s="64">
        <f t="shared" si="20"/>
        <v>48.524008528784648</v>
      </c>
      <c r="C230" s="64">
        <f t="shared" si="21"/>
        <v>31.406037735849061</v>
      </c>
      <c r="D230" s="1">
        <f t="shared" si="22"/>
        <v>17.117970792935587</v>
      </c>
      <c r="E230">
        <v>-20</v>
      </c>
      <c r="F230" s="4">
        <f t="shared" si="26"/>
        <v>87248.211035494678</v>
      </c>
      <c r="G230" s="4">
        <f>[1]!YearAveragePopulation(F230,B230,C230,E230)</f>
        <v>87989.189175543361</v>
      </c>
      <c r="H230" s="4">
        <f t="shared" si="23"/>
        <v>4269.5881659949118</v>
      </c>
      <c r="I230" s="4">
        <f t="shared" si="24"/>
        <v>2763.3917955938764</v>
      </c>
      <c r="J230" s="4">
        <f t="shared" si="25"/>
        <v>1506.1963704010354</v>
      </c>
      <c r="M230" s="3"/>
      <c r="O230" s="23"/>
      <c r="P230" s="23"/>
      <c r="Q230" s="3"/>
      <c r="R230" s="3"/>
      <c r="S230" s="3"/>
    </row>
    <row r="231" spans="1:19" x14ac:dyDescent="0.25">
      <c r="A231" s="62">
        <v>1924</v>
      </c>
      <c r="B231" s="64">
        <f t="shared" si="20"/>
        <v>46.17211087420042</v>
      </c>
      <c r="C231" s="64">
        <f t="shared" si="21"/>
        <v>29.787169811320759</v>
      </c>
      <c r="D231" s="1">
        <f t="shared" si="22"/>
        <v>16.384941062879662</v>
      </c>
      <c r="E231">
        <v>-10</v>
      </c>
      <c r="F231" s="4">
        <f t="shared" si="26"/>
        <v>88734.407405895719</v>
      </c>
      <c r="G231" s="4">
        <f>[1]!YearAveragePopulation(F231,B231,C231,E231)</f>
        <v>89460.32068647143</v>
      </c>
      <c r="H231" s="4">
        <f t="shared" si="23"/>
        <v>4130.571845577284</v>
      </c>
      <c r="I231" s="4">
        <f t="shared" si="24"/>
        <v>2664.769763663136</v>
      </c>
      <c r="J231" s="4">
        <f t="shared" si="25"/>
        <v>1465.8020819141479</v>
      </c>
      <c r="M231" s="3"/>
      <c r="O231" s="23"/>
      <c r="P231" s="23"/>
      <c r="Q231" s="3"/>
      <c r="R231" s="3"/>
      <c r="S231" s="3"/>
    </row>
    <row r="232" spans="1:19" x14ac:dyDescent="0.25">
      <c r="A232" s="62">
        <v>1925</v>
      </c>
      <c r="B232" s="64">
        <f t="shared" si="20"/>
        <v>48.7</v>
      </c>
      <c r="C232" s="64">
        <f t="shared" si="21"/>
        <v>30.974339622641512</v>
      </c>
      <c r="D232" s="1">
        <f t="shared" si="22"/>
        <v>17.725660377358491</v>
      </c>
      <c r="E232">
        <v>-5</v>
      </c>
      <c r="F232" s="4">
        <f t="shared" si="26"/>
        <v>90190.209487809872</v>
      </c>
      <c r="G232" s="4">
        <f>[1]!YearAveragePopulation(F232,B232,C232,E232)</f>
        <v>90991.779112002274</v>
      </c>
      <c r="H232" s="4">
        <f t="shared" si="23"/>
        <v>4431.2996427545113</v>
      </c>
      <c r="I232" s="4">
        <f t="shared" si="24"/>
        <v>2818.4102690835361</v>
      </c>
      <c r="J232" s="4">
        <f t="shared" si="25"/>
        <v>1612.8893736709751</v>
      </c>
      <c r="M232" s="3"/>
      <c r="O232" s="23"/>
      <c r="P232" s="23"/>
      <c r="Q232" s="3"/>
      <c r="R232" s="3"/>
      <c r="S232" s="3"/>
    </row>
    <row r="233" spans="1:19" x14ac:dyDescent="0.25">
      <c r="A233" s="62">
        <v>1926</v>
      </c>
      <c r="B233" s="64">
        <f t="shared" si="20"/>
        <v>47</v>
      </c>
      <c r="C233" s="64">
        <f t="shared" si="21"/>
        <v>27.520754716981134</v>
      </c>
      <c r="D233" s="1">
        <f t="shared" si="22"/>
        <v>19.479245283018866</v>
      </c>
      <c r="E233">
        <v>0</v>
      </c>
      <c r="F233" s="4">
        <f t="shared" si="26"/>
        <v>91798.098861480845</v>
      </c>
      <c r="G233" s="4">
        <f>[1]!YearAveragePopulation(F233,B233,C233,E233)</f>
        <v>92698.011411966712</v>
      </c>
      <c r="H233" s="4">
        <f t="shared" si="23"/>
        <v>4356.8065363624355</v>
      </c>
      <c r="I233" s="4">
        <f t="shared" si="24"/>
        <v>2551.1192348206537</v>
      </c>
      <c r="J233" s="4">
        <f t="shared" si="25"/>
        <v>1805.6873015417818</v>
      </c>
      <c r="M233" s="3"/>
      <c r="O233" s="23"/>
      <c r="P233" s="23"/>
      <c r="Q233" s="3"/>
      <c r="R233" s="3"/>
      <c r="S233" s="3"/>
    </row>
    <row r="234" spans="1:19" x14ac:dyDescent="0.25">
      <c r="A234" s="62">
        <v>1927</v>
      </c>
      <c r="B234" s="2">
        <v>49.6</v>
      </c>
      <c r="C234" s="64">
        <f t="shared" si="21"/>
        <v>28.6</v>
      </c>
      <c r="D234" s="1">
        <f t="shared" si="22"/>
        <v>21</v>
      </c>
      <c r="F234" s="4">
        <f t="shared" si="26"/>
        <v>93603.786163022625</v>
      </c>
      <c r="G234" s="4">
        <f>[1]!YearAveragePopulation(F234,B234,C234,E234)</f>
        <v>94593.542067611736</v>
      </c>
      <c r="H234" s="4">
        <f t="shared" ref="H234" si="27">G234*B234/1000</f>
        <v>4691.8396865535424</v>
      </c>
      <c r="I234" s="4">
        <f t="shared" ref="I234" si="28">G234*C234/1000</f>
        <v>2705.375303133696</v>
      </c>
      <c r="J234" s="4">
        <f t="shared" ref="J234" si="29">H234-I234</f>
        <v>1986.4643834198464</v>
      </c>
      <c r="M234" s="3"/>
      <c r="O234" s="23"/>
      <c r="P234" s="23"/>
      <c r="Q234" s="3"/>
      <c r="R234" s="3"/>
      <c r="S234" s="3"/>
    </row>
    <row r="236" spans="1:19" x14ac:dyDescent="0.25">
      <c r="A236" s="14" t="s">
        <v>31</v>
      </c>
      <c r="F236" s="3">
        <v>93604</v>
      </c>
    </row>
    <row r="237" spans="1:19" x14ac:dyDescent="0.25">
      <c r="A237" s="14"/>
      <c r="F237" s="3"/>
    </row>
    <row r="238" spans="1:19" x14ac:dyDescent="0.25">
      <c r="A238" s="14" t="s">
        <v>33</v>
      </c>
      <c r="B238" s="13"/>
      <c r="F238" s="3">
        <f>F234+F237-F236</f>
        <v>-0.21383697737473994</v>
      </c>
    </row>
    <row r="280" spans="1:36" ht="21" x14ac:dyDescent="0.35">
      <c r="A280" s="67" t="s">
        <v>169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</row>
    <row r="282" spans="1:36" ht="15" customHeight="1" x14ac:dyDescent="0.25">
      <c r="B282" s="80" t="s">
        <v>6</v>
      </c>
      <c r="C282" s="80"/>
      <c r="D282" s="80"/>
      <c r="E282" s="80"/>
      <c r="F282" s="80"/>
      <c r="G282" s="80"/>
      <c r="H282" s="80"/>
      <c r="I282" s="80"/>
      <c r="J282" s="80"/>
    </row>
    <row r="283" spans="1:36" x14ac:dyDescent="0.25">
      <c r="A283" s="73" t="s">
        <v>3</v>
      </c>
      <c r="B283" s="71" t="s">
        <v>8</v>
      </c>
      <c r="C283" s="71" t="s">
        <v>9</v>
      </c>
      <c r="D283" s="71" t="s">
        <v>10</v>
      </c>
      <c r="E283" s="71" t="s">
        <v>11</v>
      </c>
      <c r="F283" s="71" t="s">
        <v>154</v>
      </c>
      <c r="G283" s="71" t="s">
        <v>13</v>
      </c>
      <c r="H283" s="71" t="s">
        <v>14</v>
      </c>
      <c r="I283" s="71" t="s">
        <v>5</v>
      </c>
      <c r="J283" s="71" t="s">
        <v>170</v>
      </c>
    </row>
    <row r="284" spans="1:36" x14ac:dyDescent="0.25">
      <c r="A284" s="41">
        <v>1913</v>
      </c>
      <c r="B284" s="39"/>
      <c r="C284" s="39"/>
      <c r="D284" s="40">
        <v>47</v>
      </c>
      <c r="E284" s="40">
        <v>44.1</v>
      </c>
      <c r="F284" s="39"/>
      <c r="G284" s="40">
        <v>47</v>
      </c>
      <c r="H284" s="39"/>
      <c r="I284" s="39"/>
      <c r="J284" s="2">
        <f>B220</f>
        <v>48.4</v>
      </c>
    </row>
    <row r="285" spans="1:36" x14ac:dyDescent="0.25">
      <c r="A285" s="41">
        <v>1914</v>
      </c>
      <c r="B285" s="39"/>
      <c r="C285" s="39">
        <v>43.7</v>
      </c>
      <c r="D285" s="40">
        <v>43.7</v>
      </c>
      <c r="E285" s="40">
        <v>45.4</v>
      </c>
      <c r="F285" s="39"/>
      <c r="G285" s="40">
        <v>46.9</v>
      </c>
      <c r="H285" s="39"/>
      <c r="I285" s="39"/>
      <c r="J285" s="2">
        <f t="shared" ref="J285:J298" si="30">B221</f>
        <v>48</v>
      </c>
    </row>
    <row r="286" spans="1:36" x14ac:dyDescent="0.25">
      <c r="A286" s="42">
        <v>1915</v>
      </c>
      <c r="B286" s="37"/>
      <c r="C286" s="37">
        <v>35.9</v>
      </c>
      <c r="D286" s="37">
        <v>35.9</v>
      </c>
      <c r="E286" s="37">
        <v>43.1</v>
      </c>
      <c r="F286" s="37"/>
      <c r="G286" s="37">
        <v>39.700000000000003</v>
      </c>
      <c r="H286" s="37"/>
      <c r="I286" s="37"/>
      <c r="J286" s="2">
        <f t="shared" si="30"/>
        <v>40.631130063965891</v>
      </c>
    </row>
    <row r="287" spans="1:36" x14ac:dyDescent="0.25">
      <c r="A287" s="42">
        <v>1916</v>
      </c>
      <c r="B287" s="37"/>
      <c r="C287" s="37">
        <v>27.1</v>
      </c>
      <c r="D287" s="37">
        <v>27.1</v>
      </c>
      <c r="E287" s="37">
        <v>37.4</v>
      </c>
      <c r="F287" s="37"/>
      <c r="G287" s="37">
        <v>29.9</v>
      </c>
      <c r="H287" s="37"/>
      <c r="I287" s="37"/>
      <c r="J287" s="2">
        <f t="shared" si="30"/>
        <v>30.601279317697227</v>
      </c>
    </row>
    <row r="288" spans="1:36" x14ac:dyDescent="0.25">
      <c r="A288" s="42">
        <v>1917</v>
      </c>
      <c r="B288" s="37"/>
      <c r="C288" s="37">
        <v>26.3</v>
      </c>
      <c r="D288" s="37">
        <v>26.3</v>
      </c>
      <c r="E288" s="37">
        <v>32.5</v>
      </c>
      <c r="F288" s="37"/>
      <c r="G288" s="37">
        <v>23.9</v>
      </c>
      <c r="H288" s="37"/>
      <c r="I288" s="38">
        <v>27.4</v>
      </c>
      <c r="J288" s="2">
        <f t="shared" si="30"/>
        <v>24.460554371002129</v>
      </c>
    </row>
    <row r="289" spans="1:10" x14ac:dyDescent="0.25">
      <c r="A289" s="42">
        <v>1918</v>
      </c>
      <c r="B289" s="37"/>
      <c r="C289" s="37">
        <v>34.700000000000003</v>
      </c>
      <c r="D289" s="37">
        <v>34.700000000000003</v>
      </c>
      <c r="E289" s="37">
        <v>28.8</v>
      </c>
      <c r="F289" s="37"/>
      <c r="G289" s="37">
        <v>32</v>
      </c>
      <c r="H289" s="37">
        <v>31.8</v>
      </c>
      <c r="I289" s="38">
        <v>33.1</v>
      </c>
      <c r="J289" s="2">
        <f t="shared" si="30"/>
        <v>32.750533049040513</v>
      </c>
    </row>
    <row r="290" spans="1:10" x14ac:dyDescent="0.25">
      <c r="A290" s="42">
        <v>1919</v>
      </c>
      <c r="B290" s="37"/>
      <c r="C290" s="37">
        <v>31.7</v>
      </c>
      <c r="D290" s="37">
        <v>31.7</v>
      </c>
      <c r="E290" s="37">
        <v>32.4</v>
      </c>
      <c r="F290" s="37"/>
      <c r="G290" s="37">
        <v>31</v>
      </c>
      <c r="H290" s="37">
        <v>30.8</v>
      </c>
      <c r="I290" s="38">
        <v>30</v>
      </c>
      <c r="J290" s="2">
        <f t="shared" si="30"/>
        <v>31.727078891257996</v>
      </c>
    </row>
    <row r="291" spans="1:10" x14ac:dyDescent="0.25">
      <c r="A291" s="42">
        <v>1920</v>
      </c>
      <c r="B291" s="37">
        <v>30.9</v>
      </c>
      <c r="C291" s="37">
        <v>32.200000000000003</v>
      </c>
      <c r="D291" s="37">
        <v>32.200000000000003</v>
      </c>
      <c r="E291" s="37">
        <v>30.6</v>
      </c>
      <c r="F291" s="37">
        <v>39.299999999999997</v>
      </c>
      <c r="G291" s="37">
        <v>31.2</v>
      </c>
      <c r="H291" s="37">
        <v>31</v>
      </c>
      <c r="I291" s="38">
        <v>31.3</v>
      </c>
      <c r="J291" s="2">
        <f t="shared" si="30"/>
        <v>31.931769722814497</v>
      </c>
    </row>
    <row r="292" spans="1:10" x14ac:dyDescent="0.25">
      <c r="A292" s="42">
        <v>1921</v>
      </c>
      <c r="B292" s="37">
        <v>32.6</v>
      </c>
      <c r="C292" s="37">
        <v>37.299999999999997</v>
      </c>
      <c r="D292" s="37">
        <v>37.299999999999997</v>
      </c>
      <c r="E292" s="37">
        <v>31.7</v>
      </c>
      <c r="F292" s="37">
        <v>40.6</v>
      </c>
      <c r="G292" s="37">
        <v>35.5</v>
      </c>
      <c r="H292" s="37">
        <v>35.299999999999997</v>
      </c>
      <c r="I292" s="38">
        <v>37.799999999999997</v>
      </c>
      <c r="J292" s="2">
        <f t="shared" si="30"/>
        <v>36.332622601279319</v>
      </c>
    </row>
    <row r="293" spans="1:10" x14ac:dyDescent="0.25">
      <c r="A293" s="42">
        <v>1922</v>
      </c>
      <c r="B293" s="37">
        <v>33.4</v>
      </c>
      <c r="C293" s="37">
        <v>38.200000000000003</v>
      </c>
      <c r="D293" s="37">
        <v>38.200000000000003</v>
      </c>
      <c r="E293" s="37">
        <v>35</v>
      </c>
      <c r="F293" s="37">
        <v>43.7</v>
      </c>
      <c r="G293" s="37">
        <v>37.299999999999997</v>
      </c>
      <c r="H293" s="37">
        <v>36.799999999999997</v>
      </c>
      <c r="I293" s="38">
        <v>41.4</v>
      </c>
      <c r="J293" s="2">
        <f t="shared" si="30"/>
        <v>38.938336886993604</v>
      </c>
    </row>
    <row r="294" spans="1:10" x14ac:dyDescent="0.25">
      <c r="A294" s="42">
        <v>1923</v>
      </c>
      <c r="B294" s="37">
        <v>42.8</v>
      </c>
      <c r="C294" s="37">
        <v>45.5</v>
      </c>
      <c r="D294" s="37">
        <v>45.5</v>
      </c>
      <c r="E294" s="37">
        <v>36.200000000000003</v>
      </c>
      <c r="F294" s="37">
        <v>47</v>
      </c>
      <c r="G294" s="37">
        <v>43.9</v>
      </c>
      <c r="H294" s="37">
        <v>42.8</v>
      </c>
      <c r="I294" s="38">
        <v>46.5</v>
      </c>
      <c r="J294" s="2">
        <f t="shared" si="30"/>
        <v>48.524008528784648</v>
      </c>
    </row>
    <row r="295" spans="1:10" x14ac:dyDescent="0.25">
      <c r="A295" s="42">
        <v>1924</v>
      </c>
      <c r="B295" s="37">
        <v>43.8</v>
      </c>
      <c r="C295" s="37">
        <v>42.2</v>
      </c>
      <c r="D295" s="37">
        <v>42.2</v>
      </c>
      <c r="E295" s="37">
        <v>44</v>
      </c>
      <c r="F295" s="37">
        <v>49</v>
      </c>
      <c r="G295" s="37">
        <v>42</v>
      </c>
      <c r="H295" s="37">
        <v>41</v>
      </c>
      <c r="I295" s="38">
        <v>43.6</v>
      </c>
      <c r="J295" s="2">
        <f t="shared" si="30"/>
        <v>46.17211087420042</v>
      </c>
    </row>
    <row r="296" spans="1:10" x14ac:dyDescent="0.25">
      <c r="A296" s="42">
        <v>1925</v>
      </c>
      <c r="B296" s="37">
        <v>45.9</v>
      </c>
      <c r="C296" s="37">
        <v>43.9</v>
      </c>
      <c r="D296" s="37">
        <v>43.9</v>
      </c>
      <c r="E296" s="37">
        <v>42.3</v>
      </c>
      <c r="F296" s="37">
        <v>47.3</v>
      </c>
      <c r="G296" s="37"/>
      <c r="H296" s="37"/>
      <c r="I296" s="38">
        <v>45.7</v>
      </c>
      <c r="J296" s="2">
        <f t="shared" si="30"/>
        <v>48.7</v>
      </c>
    </row>
    <row r="297" spans="1:10" x14ac:dyDescent="0.25">
      <c r="A297" s="42">
        <v>1926</v>
      </c>
      <c r="B297" s="37">
        <v>44.7</v>
      </c>
      <c r="C297" s="37">
        <v>42.5</v>
      </c>
      <c r="D297" s="37">
        <v>42.5</v>
      </c>
      <c r="E297" s="37">
        <v>43.8</v>
      </c>
      <c r="F297" s="37">
        <v>45.6</v>
      </c>
      <c r="G297" s="37"/>
      <c r="H297" s="37"/>
      <c r="I297" s="38">
        <v>42.6</v>
      </c>
      <c r="J297" s="2">
        <f t="shared" si="30"/>
        <v>47</v>
      </c>
    </row>
    <row r="298" spans="1:10" x14ac:dyDescent="0.25">
      <c r="A298" s="43">
        <v>1927</v>
      </c>
      <c r="F298" s="40">
        <v>46.3</v>
      </c>
      <c r="J298" s="2">
        <f t="shared" si="30"/>
        <v>49.6</v>
      </c>
    </row>
    <row r="323" spans="1:36" ht="21" x14ac:dyDescent="0.35">
      <c r="A323" s="67" t="s">
        <v>168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</row>
    <row r="325" spans="1:36" x14ac:dyDescent="0.25">
      <c r="B325" s="81" t="s">
        <v>7</v>
      </c>
      <c r="C325" s="81"/>
      <c r="D325" s="81"/>
      <c r="E325" s="81"/>
      <c r="F325" s="81"/>
      <c r="G325" s="81"/>
      <c r="H325" s="81"/>
      <c r="I325" s="81"/>
      <c r="J325" s="81"/>
      <c r="K325" s="81"/>
    </row>
    <row r="326" spans="1:36" x14ac:dyDescent="0.25">
      <c r="A326" s="73" t="s">
        <v>3</v>
      </c>
      <c r="B326" s="72" t="s">
        <v>8</v>
      </c>
      <c r="C326" s="72" t="s">
        <v>9</v>
      </c>
      <c r="D326" s="72" t="s">
        <v>10</v>
      </c>
      <c r="E326" s="72" t="s">
        <v>11</v>
      </c>
      <c r="F326" s="72" t="s">
        <v>154</v>
      </c>
      <c r="G326" s="72" t="s">
        <v>13</v>
      </c>
      <c r="H326" s="72" t="s">
        <v>5</v>
      </c>
      <c r="I326" s="72" t="s">
        <v>15</v>
      </c>
      <c r="J326" s="72" t="s">
        <v>16</v>
      </c>
      <c r="K326" s="72" t="s">
        <v>170</v>
      </c>
    </row>
    <row r="327" spans="1:36" x14ac:dyDescent="0.25">
      <c r="A327" s="77">
        <v>1913</v>
      </c>
      <c r="B327" s="78"/>
      <c r="C327" s="78"/>
      <c r="D327" s="1">
        <v>30.2</v>
      </c>
      <c r="E327" s="1">
        <v>24.7</v>
      </c>
      <c r="F327" s="78"/>
      <c r="G327" s="1">
        <v>30.2</v>
      </c>
      <c r="H327" s="78"/>
      <c r="I327" s="78"/>
      <c r="J327" s="78"/>
      <c r="K327" s="2">
        <f>C220</f>
        <v>31.6</v>
      </c>
    </row>
    <row r="328" spans="1:36" x14ac:dyDescent="0.25">
      <c r="A328" s="77">
        <v>1914</v>
      </c>
      <c r="B328" s="78"/>
      <c r="C328" s="78">
        <v>27.2</v>
      </c>
      <c r="D328" s="1">
        <v>27.2</v>
      </c>
      <c r="E328" s="1">
        <v>26.6</v>
      </c>
      <c r="F328" s="78"/>
      <c r="G328" s="1">
        <v>29.6</v>
      </c>
      <c r="H328" s="78"/>
      <c r="I328" s="78"/>
      <c r="J328" s="78"/>
      <c r="K328" s="2">
        <f t="shared" ref="K328:K341" si="31">C221</f>
        <v>31.2</v>
      </c>
    </row>
    <row r="329" spans="1:36" x14ac:dyDescent="0.25">
      <c r="A329" s="79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79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79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1"/>
        <v>29.724324324324321</v>
      </c>
    </row>
    <row r="332" spans="1:36" x14ac:dyDescent="0.25">
      <c r="A332" s="79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79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1"/>
        <v>37.74637135135135</v>
      </c>
    </row>
    <row r="334" spans="1:36" x14ac:dyDescent="0.25">
      <c r="A334" s="79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1"/>
        <v>47.805683513513507</v>
      </c>
    </row>
    <row r="335" spans="1:36" x14ac:dyDescent="0.25">
      <c r="A335" s="79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1"/>
        <v>40.812066486486486</v>
      </c>
    </row>
    <row r="336" spans="1:36" x14ac:dyDescent="0.25">
      <c r="A336" s="79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1"/>
        <v>41.195278378378376</v>
      </c>
    </row>
    <row r="337" spans="1:11" x14ac:dyDescent="0.25">
      <c r="A337" s="79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79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79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1"/>
        <v>30.974339622641512</v>
      </c>
    </row>
    <row r="340" spans="1:11" x14ac:dyDescent="0.25">
      <c r="A340" s="79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1"/>
        <v>27.520754716981134</v>
      </c>
    </row>
    <row r="341" spans="1:11" x14ac:dyDescent="0.25">
      <c r="A341" s="79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2026-06-29T03:58:44Z</dcterms:modified>
</cp:coreProperties>
</file>