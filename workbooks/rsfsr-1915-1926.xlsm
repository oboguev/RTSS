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TSS\workbooks\"/>
    </mc:Choice>
  </mc:AlternateContent>
  <xr:revisionPtr revIDLastSave="0" documentId="13_ncr:1_{5B806B6F-6F69-4ED3-B996-8952A37C036E}" xr6:coauthVersionLast="47" xr6:coauthVersionMax="47" xr10:uidLastSave="{00000000-0000-0000-0000-000000000000}"/>
  <bookViews>
    <workbookView xWindow="82050" yWindow="2265" windowWidth="23610" windowHeight="19095" activeTab="6" xr2:uid="{BAE639CB-DAB1-445C-9C5C-41417807C10A}"/>
  </bookViews>
  <sheets>
    <sheet name="Оценки" sheetId="6" r:id="rId1"/>
    <sheet name="Боярский" sheetId="2" r:id="rId2"/>
    <sheet name="Максудов" sheetId="5" r:id="rId3"/>
    <sheet name="Бирабен" sheetId="3" r:id="rId4"/>
    <sheet name="смесь-1" sheetId="4" r:id="rId5"/>
    <sheet name="поля конверта" sheetId="7" r:id="rId6"/>
    <sheet name="Новосельский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8" i="8" l="1"/>
  <c r="M208" i="8"/>
  <c r="L208" i="8"/>
  <c r="K208" i="8"/>
  <c r="J208" i="8"/>
  <c r="I208" i="8"/>
  <c r="N204" i="8"/>
  <c r="M204" i="8"/>
  <c r="L204" i="8"/>
  <c r="K204" i="8"/>
  <c r="J204" i="8"/>
  <c r="I204" i="8"/>
  <c r="N200" i="8"/>
  <c r="M200" i="8"/>
  <c r="L200" i="8"/>
  <c r="K200" i="8"/>
  <c r="J200" i="8"/>
  <c r="I200" i="8"/>
  <c r="N196" i="8"/>
  <c r="M196" i="8"/>
  <c r="L196" i="8"/>
  <c r="K196" i="8"/>
  <c r="J196" i="8"/>
  <c r="I196" i="8"/>
  <c r="N192" i="8"/>
  <c r="M192" i="8"/>
  <c r="L192" i="8"/>
  <c r="K192" i="8"/>
  <c r="J192" i="8"/>
  <c r="I192" i="8"/>
  <c r="N188" i="8"/>
  <c r="M188" i="8"/>
  <c r="L188" i="8"/>
  <c r="K188" i="8"/>
  <c r="J188" i="8"/>
  <c r="I188" i="8"/>
  <c r="N184" i="8"/>
  <c r="M184" i="8"/>
  <c r="L184" i="8"/>
  <c r="K184" i="8"/>
  <c r="J184" i="8"/>
  <c r="I184" i="8"/>
  <c r="N180" i="8"/>
  <c r="M180" i="8"/>
  <c r="L180" i="8"/>
  <c r="K180" i="8"/>
  <c r="J180" i="8"/>
  <c r="I180" i="8"/>
  <c r="N176" i="8"/>
  <c r="M176" i="8"/>
  <c r="L176" i="8"/>
  <c r="K176" i="8"/>
  <c r="J176" i="8"/>
  <c r="I176" i="8"/>
  <c r="N172" i="8"/>
  <c r="M172" i="8"/>
  <c r="L172" i="8"/>
  <c r="K172" i="8"/>
  <c r="J172" i="8"/>
  <c r="I172" i="8"/>
  <c r="N168" i="8"/>
  <c r="M168" i="8"/>
  <c r="L168" i="8"/>
  <c r="K168" i="8"/>
  <c r="J168" i="8"/>
  <c r="I168" i="8"/>
  <c r="N164" i="8"/>
  <c r="M164" i="8"/>
  <c r="L164" i="8"/>
  <c r="K164" i="8"/>
  <c r="J164" i="8"/>
  <c r="I164" i="8"/>
  <c r="N160" i="8"/>
  <c r="M160" i="8"/>
  <c r="L160" i="8"/>
  <c r="K160" i="8"/>
  <c r="J160" i="8"/>
  <c r="I160" i="8"/>
  <c r="N156" i="8"/>
  <c r="M156" i="8"/>
  <c r="L156" i="8"/>
  <c r="K156" i="8"/>
  <c r="J156" i="8"/>
  <c r="I156" i="8"/>
  <c r="N152" i="8"/>
  <c r="M152" i="8"/>
  <c r="L152" i="8"/>
  <c r="K152" i="8"/>
  <c r="J152" i="8"/>
  <c r="I152" i="8"/>
  <c r="N148" i="8"/>
  <c r="M148" i="8"/>
  <c r="L148" i="8"/>
  <c r="K148" i="8"/>
  <c r="J148" i="8"/>
  <c r="I148" i="8"/>
  <c r="N144" i="8"/>
  <c r="M144" i="8"/>
  <c r="L144" i="8"/>
  <c r="K144" i="8"/>
  <c r="J144" i="8"/>
  <c r="I144" i="8"/>
  <c r="N140" i="8"/>
  <c r="M140" i="8"/>
  <c r="L140" i="8"/>
  <c r="K140" i="8"/>
  <c r="J140" i="8"/>
  <c r="I140" i="8"/>
  <c r="N136" i="8"/>
  <c r="M136" i="8"/>
  <c r="L136" i="8"/>
  <c r="K136" i="8"/>
  <c r="J136" i="8"/>
  <c r="I136" i="8"/>
  <c r="N132" i="8"/>
  <c r="M132" i="8"/>
  <c r="L132" i="8"/>
  <c r="K132" i="8"/>
  <c r="J132" i="8"/>
  <c r="I132" i="8"/>
  <c r="N128" i="8"/>
  <c r="M128" i="8"/>
  <c r="L128" i="8"/>
  <c r="K128" i="8"/>
  <c r="J128" i="8"/>
  <c r="I128" i="8"/>
  <c r="N124" i="8"/>
  <c r="M124" i="8"/>
  <c r="L124" i="8"/>
  <c r="K124" i="8"/>
  <c r="J124" i="8"/>
  <c r="I124" i="8"/>
  <c r="N120" i="8"/>
  <c r="M120" i="8"/>
  <c r="L120" i="8"/>
  <c r="K120" i="8"/>
  <c r="J120" i="8"/>
  <c r="I120" i="8"/>
  <c r="N116" i="8"/>
  <c r="M116" i="8"/>
  <c r="L116" i="8"/>
  <c r="K116" i="8"/>
  <c r="J116" i="8"/>
  <c r="I116" i="8"/>
  <c r="N112" i="8"/>
  <c r="M112" i="8"/>
  <c r="L112" i="8"/>
  <c r="K112" i="8"/>
  <c r="J112" i="8"/>
  <c r="I112" i="8"/>
  <c r="N108" i="8"/>
  <c r="M108" i="8"/>
  <c r="L108" i="8"/>
  <c r="K108" i="8"/>
  <c r="J108" i="8"/>
  <c r="I108" i="8"/>
  <c r="N104" i="8"/>
  <c r="M104" i="8"/>
  <c r="L104" i="8"/>
  <c r="K104" i="8"/>
  <c r="J104" i="8"/>
  <c r="I104" i="8"/>
  <c r="N100" i="8"/>
  <c r="M100" i="8"/>
  <c r="L100" i="8"/>
  <c r="K100" i="8"/>
  <c r="J100" i="8"/>
  <c r="I100" i="8"/>
  <c r="N96" i="8"/>
  <c r="M96" i="8"/>
  <c r="L96" i="8"/>
  <c r="K96" i="8"/>
  <c r="J96" i="8"/>
  <c r="I96" i="8"/>
  <c r="N92" i="8"/>
  <c r="M92" i="8"/>
  <c r="L92" i="8"/>
  <c r="K92" i="8"/>
  <c r="J92" i="8"/>
  <c r="I92" i="8"/>
  <c r="N88" i="8"/>
  <c r="M88" i="8"/>
  <c r="L88" i="8"/>
  <c r="K88" i="8"/>
  <c r="J88" i="8"/>
  <c r="I88" i="8"/>
  <c r="N84" i="8"/>
  <c r="M84" i="8"/>
  <c r="L84" i="8"/>
  <c r="K84" i="8"/>
  <c r="J84" i="8"/>
  <c r="I84" i="8"/>
  <c r="N80" i="8"/>
  <c r="M80" i="8"/>
  <c r="L80" i="8"/>
  <c r="K80" i="8"/>
  <c r="J80" i="8"/>
  <c r="I80" i="8"/>
  <c r="N76" i="8"/>
  <c r="M76" i="8"/>
  <c r="L76" i="8"/>
  <c r="K76" i="8"/>
  <c r="J76" i="8"/>
  <c r="I76" i="8"/>
  <c r="N72" i="8"/>
  <c r="M72" i="8"/>
  <c r="L72" i="8"/>
  <c r="K72" i="8"/>
  <c r="J72" i="8"/>
  <c r="I72" i="8"/>
  <c r="N68" i="8"/>
  <c r="M68" i="8"/>
  <c r="L68" i="8"/>
  <c r="K68" i="8"/>
  <c r="J68" i="8"/>
  <c r="I68" i="8"/>
  <c r="N64" i="8"/>
  <c r="M64" i="8"/>
  <c r="L64" i="8"/>
  <c r="K64" i="8"/>
  <c r="J64" i="8"/>
  <c r="I64" i="8"/>
  <c r="N60" i="8"/>
  <c r="M60" i="8"/>
  <c r="L60" i="8"/>
  <c r="K60" i="8"/>
  <c r="J60" i="8"/>
  <c r="I60" i="8"/>
  <c r="N56" i="8"/>
  <c r="M56" i="8"/>
  <c r="L56" i="8"/>
  <c r="K56" i="8"/>
  <c r="J56" i="8"/>
  <c r="I56" i="8"/>
  <c r="N52" i="8"/>
  <c r="M52" i="8"/>
  <c r="L52" i="8"/>
  <c r="K52" i="8"/>
  <c r="J52" i="8"/>
  <c r="I52" i="8"/>
  <c r="N48" i="8"/>
  <c r="M48" i="8"/>
  <c r="L48" i="8"/>
  <c r="K48" i="8"/>
  <c r="J48" i="8"/>
  <c r="I48" i="8"/>
  <c r="N44" i="8"/>
  <c r="M44" i="8"/>
  <c r="L44" i="8"/>
  <c r="K44" i="8"/>
  <c r="J44" i="8"/>
  <c r="I44" i="8"/>
  <c r="N40" i="8"/>
  <c r="M40" i="8"/>
  <c r="L40" i="8"/>
  <c r="K40" i="8"/>
  <c r="J40" i="8"/>
  <c r="I40" i="8"/>
  <c r="N36" i="8"/>
  <c r="M36" i="8"/>
  <c r="L36" i="8"/>
  <c r="K36" i="8"/>
  <c r="J36" i="8"/>
  <c r="I36" i="8"/>
  <c r="N32" i="8"/>
  <c r="M32" i="8"/>
  <c r="L32" i="8"/>
  <c r="K32" i="8"/>
  <c r="J32" i="8"/>
  <c r="I32" i="8"/>
  <c r="N28" i="8"/>
  <c r="M28" i="8"/>
  <c r="L28" i="8"/>
  <c r="K28" i="8"/>
  <c r="J28" i="8"/>
  <c r="I28" i="8"/>
  <c r="N24" i="8"/>
  <c r="M24" i="8"/>
  <c r="L24" i="8"/>
  <c r="K24" i="8"/>
  <c r="J24" i="8"/>
  <c r="I24" i="8"/>
  <c r="N20" i="8"/>
  <c r="M20" i="8"/>
  <c r="L20" i="8"/>
  <c r="K20" i="8"/>
  <c r="J20" i="8"/>
  <c r="I20" i="8"/>
  <c r="N16" i="8"/>
  <c r="M16" i="8"/>
  <c r="L16" i="8"/>
  <c r="K16" i="8"/>
  <c r="J16" i="8"/>
  <c r="I16" i="8"/>
  <c r="N12" i="8"/>
  <c r="M12" i="8"/>
  <c r="L12" i="8"/>
  <c r="K12" i="8"/>
  <c r="J12" i="8"/>
  <c r="I12" i="8"/>
  <c r="N8" i="8"/>
  <c r="M8" i="8"/>
  <c r="L8" i="8"/>
  <c r="K8" i="8"/>
  <c r="J8" i="8"/>
  <c r="I8" i="8"/>
  <c r="N4" i="8"/>
  <c r="M4" i="8"/>
  <c r="L4" i="8"/>
  <c r="K4" i="8"/>
  <c r="J4" i="8"/>
  <c r="I4" i="8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M9" i="7" l="1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4" i="3"/>
  <c r="G4" i="5"/>
  <c r="J20" i="4" l="1"/>
  <c r="F21" i="4" s="1"/>
  <c r="I4" i="3"/>
  <c r="H4" i="3"/>
  <c r="J4" i="3" s="1"/>
  <c r="F5" i="3" s="1"/>
  <c r="I4" i="5"/>
  <c r="H4" i="5"/>
  <c r="G21" i="4"/>
  <c r="G4" i="2"/>
  <c r="G5" i="3"/>
  <c r="H21" i="4" l="1"/>
  <c r="I21" i="4"/>
  <c r="H4" i="2"/>
  <c r="I4" i="2"/>
  <c r="J4" i="5"/>
  <c r="F5" i="5" s="1"/>
  <c r="H5" i="3"/>
  <c r="I5" i="3"/>
  <c r="G5" i="5"/>
  <c r="J21" i="4" l="1"/>
  <c r="F22" i="4" s="1"/>
  <c r="I5" i="5"/>
  <c r="H5" i="5"/>
  <c r="J4" i="2"/>
  <c r="F5" i="2" s="1"/>
  <c r="J5" i="3"/>
  <c r="F6" i="3" s="1"/>
  <c r="J5" i="5"/>
  <c r="F6" i="5" s="1"/>
  <c r="G22" i="4"/>
  <c r="G6" i="5"/>
  <c r="G6" i="3"/>
  <c r="G5" i="2"/>
  <c r="I22" i="4" l="1"/>
  <c r="H22" i="4"/>
  <c r="H5" i="2"/>
  <c r="I5" i="2"/>
  <c r="I6" i="3"/>
  <c r="H6" i="3"/>
  <c r="H6" i="5"/>
  <c r="I6" i="5"/>
  <c r="J6" i="3" l="1"/>
  <c r="F7" i="3" s="1"/>
  <c r="J22" i="4"/>
  <c r="F23" i="4" s="1"/>
  <c r="J5" i="2"/>
  <c r="F6" i="2" s="1"/>
  <c r="J6" i="5"/>
  <c r="F7" i="5" s="1"/>
  <c r="G7" i="3"/>
  <c r="G6" i="2"/>
  <c r="G23" i="4"/>
  <c r="G7" i="5"/>
  <c r="H23" i="4" l="1"/>
  <c r="I23" i="4"/>
  <c r="I7" i="3"/>
  <c r="H7" i="3"/>
  <c r="H6" i="2"/>
  <c r="I6" i="2"/>
  <c r="J7" i="3"/>
  <c r="F8" i="3" s="1"/>
  <c r="I7" i="5"/>
  <c r="H7" i="5"/>
  <c r="J7" i="5" s="1"/>
  <c r="F8" i="5" s="1"/>
  <c r="G8" i="5"/>
  <c r="G8" i="3"/>
  <c r="J23" i="4" l="1"/>
  <c r="F24" i="4" s="1"/>
  <c r="J6" i="2"/>
  <c r="F7" i="2" s="1"/>
  <c r="I8" i="3"/>
  <c r="H8" i="3"/>
  <c r="I8" i="5"/>
  <c r="H8" i="5"/>
  <c r="G24" i="4"/>
  <c r="G7" i="2"/>
  <c r="H7" i="2" l="1"/>
  <c r="J7" i="2" s="1"/>
  <c r="I7" i="2"/>
  <c r="H24" i="4"/>
  <c r="J24" i="4" s="1"/>
  <c r="F25" i="4" s="1"/>
  <c r="I24" i="4"/>
  <c r="F8" i="2"/>
  <c r="J8" i="5"/>
  <c r="F9" i="5" s="1"/>
  <c r="J8" i="3"/>
  <c r="F9" i="3" s="1"/>
  <c r="G9" i="3"/>
  <c r="G25" i="4"/>
  <c r="G8" i="2"/>
  <c r="G9" i="5"/>
  <c r="H8" i="2" l="1"/>
  <c r="I8" i="2"/>
  <c r="I25" i="4"/>
  <c r="H25" i="4"/>
  <c r="H9" i="5"/>
  <c r="I9" i="5"/>
  <c r="I9" i="3"/>
  <c r="H9" i="3"/>
  <c r="J25" i="4" l="1"/>
  <c r="F26" i="4" s="1"/>
  <c r="J8" i="2"/>
  <c r="F9" i="2" s="1"/>
  <c r="J9" i="5"/>
  <c r="F10" i="5" s="1"/>
  <c r="J9" i="3"/>
  <c r="F10" i="3" s="1"/>
  <c r="G26" i="4"/>
  <c r="G9" i="2"/>
  <c r="G10" i="3"/>
  <c r="G10" i="5"/>
  <c r="H9" i="2" l="1"/>
  <c r="I9" i="2"/>
  <c r="H26" i="4"/>
  <c r="I26" i="4"/>
  <c r="I10" i="5"/>
  <c r="H10" i="5"/>
  <c r="I10" i="3"/>
  <c r="H10" i="3"/>
  <c r="J10" i="3" s="1"/>
  <c r="F11" i="3" s="1"/>
  <c r="G11" i="3"/>
  <c r="J26" i="4" l="1"/>
  <c r="F27" i="4" s="1"/>
  <c r="J9" i="2"/>
  <c r="F10" i="2" s="1"/>
  <c r="J10" i="5"/>
  <c r="F11" i="5" s="1"/>
  <c r="H11" i="3"/>
  <c r="I11" i="3"/>
  <c r="G27" i="4"/>
  <c r="G10" i="2"/>
  <c r="G11" i="5"/>
  <c r="I11" i="5" l="1"/>
  <c r="H11" i="5"/>
  <c r="H10" i="2"/>
  <c r="I10" i="2"/>
  <c r="I27" i="4"/>
  <c r="H27" i="4"/>
  <c r="J27" i="4" s="1"/>
  <c r="F28" i="4" s="1"/>
  <c r="J11" i="5"/>
  <c r="F12" i="5" s="1"/>
  <c r="J11" i="3"/>
  <c r="F12" i="3" s="1"/>
  <c r="G28" i="4"/>
  <c r="G12" i="5"/>
  <c r="G12" i="3"/>
  <c r="H12" i="5" l="1"/>
  <c r="I12" i="5"/>
  <c r="H28" i="4"/>
  <c r="I28" i="4"/>
  <c r="J10" i="2"/>
  <c r="F11" i="2" s="1"/>
  <c r="H12" i="3"/>
  <c r="I12" i="3"/>
  <c r="J12" i="5"/>
  <c r="F13" i="5" s="1"/>
  <c r="G11" i="2"/>
  <c r="G13" i="5"/>
  <c r="I11" i="2" l="1"/>
  <c r="H11" i="2"/>
  <c r="J11" i="2" s="1"/>
  <c r="F12" i="2" s="1"/>
  <c r="J28" i="4"/>
  <c r="F29" i="4" s="1"/>
  <c r="J12" i="3"/>
  <c r="F13" i="3" s="1"/>
  <c r="I13" i="5"/>
  <c r="H13" i="5"/>
  <c r="J13" i="5" s="1"/>
  <c r="F14" i="5" s="1"/>
  <c r="G29" i="4"/>
  <c r="G12" i="2"/>
  <c r="G13" i="3"/>
  <c r="G14" i="5"/>
  <c r="H13" i="3" l="1"/>
  <c r="J13" i="3" s="1"/>
  <c r="F14" i="3" s="1"/>
  <c r="I13" i="3"/>
  <c r="I12" i="2"/>
  <c r="H12" i="2"/>
  <c r="J12" i="2" s="1"/>
  <c r="F13" i="2" s="1"/>
  <c r="H29" i="4"/>
  <c r="I29" i="4"/>
  <c r="H14" i="5"/>
  <c r="I14" i="5"/>
  <c r="G13" i="2"/>
  <c r="G14" i="3"/>
  <c r="H14" i="3" l="1"/>
  <c r="I14" i="3"/>
  <c r="I13" i="2"/>
  <c r="H13" i="2"/>
  <c r="J13" i="2" s="1"/>
  <c r="F14" i="2" s="1"/>
  <c r="J29" i="4"/>
  <c r="F30" i="4" s="1"/>
  <c r="J14" i="5"/>
  <c r="F15" i="5" s="1"/>
  <c r="G30" i="4"/>
  <c r="G15" i="5"/>
  <c r="G14" i="2"/>
  <c r="H14" i="2" l="1"/>
  <c r="I14" i="2"/>
  <c r="H30" i="4"/>
  <c r="I30" i="4"/>
  <c r="J14" i="3"/>
  <c r="F15" i="3" s="1"/>
  <c r="I15" i="5"/>
  <c r="H15" i="5"/>
  <c r="J15" i="5" s="1"/>
  <c r="F16" i="5" s="1"/>
  <c r="F20" i="5" s="1"/>
  <c r="G15" i="3"/>
  <c r="H15" i="3" l="1"/>
  <c r="I15" i="3"/>
  <c r="J30" i="4"/>
  <c r="F31" i="4" s="1"/>
  <c r="J14" i="2"/>
  <c r="F15" i="2" s="1"/>
  <c r="G31" i="4"/>
  <c r="G15" i="2"/>
  <c r="I15" i="2" l="1"/>
  <c r="H15" i="2"/>
  <c r="I31" i="4"/>
  <c r="H31" i="4"/>
  <c r="J31" i="4" s="1"/>
  <c r="F32" i="4" s="1"/>
  <c r="F36" i="4" s="1"/>
  <c r="J15" i="3"/>
  <c r="F16" i="3" s="1"/>
  <c r="F20" i="3" s="1"/>
  <c r="J15" i="2" l="1"/>
  <c r="F16" i="2" s="1"/>
  <c r="F20" i="2" s="1"/>
</calcChain>
</file>

<file path=xl/sharedStrings.xml><?xml version="1.0" encoding="utf-8"?>
<sst xmlns="http://schemas.openxmlformats.org/spreadsheetml/2006/main" count="178" uniqueCount="94">
  <si>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</si>
  <si>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</si>
  <si>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</si>
  <si>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</si>
  <si>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</si>
  <si>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</si>
  <si>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</si>
  <si>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</si>
  <si>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</si>
  <si>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</si>
  <si>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</si>
  <si>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</si>
  <si>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</si>
  <si>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</si>
  <si>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</si>
  <si>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</si>
  <si>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</si>
  <si>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</si>
  <si>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</si>
  <si>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</si>
  <si>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</si>
  <si>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</si>
  <si>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</si>
  <si>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</si>
  <si>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</si>
  <si>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</si>
  <si>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</si>
  <si>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</si>
  <si>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</si>
  <si>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</si>
  <si>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</si>
  <si>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</si>
  <si>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</si>
  <si>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</si>
  <si>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</si>
  <si>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</si>
  <si>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Среднее четырёх оценок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</si>
  <si>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</si>
  <si>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</si>
  <si>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</si>
  <si>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</si>
  <si>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</si>
  <si>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</si>
  <si>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</si>
  <si>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</si>
  <si>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</si>
  <si>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</si>
  <si>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</si>
  <si>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</si>
  <si>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</si>
  <si>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</si>
  <si>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</si>
  <si>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</si>
  <si>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</si>
  <si>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</si>
  <si>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</si>
  <si>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</si>
  <si>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</si>
  <si>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</si>
  <si>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</si>
  <si>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</si>
  <si>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</si>
  <si>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</si>
  <si>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</si>
  <si>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</si>
  <si>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</si>
  <si>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</si>
  <si>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</si>
  <si>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</si>
  <si>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</si>
  <si>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Оренбургсая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</si>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</sst>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2" fillId="0" borderId="0" xfId="0" applyFont="1"/>
    <xf numFmtId="0" fontId="0" fillId="0" borderId="0" xfId="0" applyFill="1"/>
    <xf numFmtId="3" fontId="0" fillId="0" borderId="0" xfId="0" applyNumberFormat="1" applyFill="1"/>
    <xf numFmtId="3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Оценки!$B$7:$B$18</c:f>
              <c:numCache>
                <c:formatCode>0.0</c:formatCode>
                <c:ptCount val="12"/>
                <c:pt idx="5">
                  <c:v>30.9</c:v>
                </c:pt>
                <c:pt idx="6">
                  <c:v>32.6</c:v>
                </c:pt>
                <c:pt idx="7">
                  <c:v>33.4</c:v>
                </c:pt>
                <c:pt idx="8">
                  <c:v>42.8</c:v>
                </c:pt>
                <c:pt idx="9">
                  <c:v>43.8</c:v>
                </c:pt>
                <c:pt idx="10">
                  <c:v>45.9</c:v>
                </c:pt>
                <c:pt idx="11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1-4443-9DB7-371640DF07D3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Оценки!$C$7:$C$18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1-4443-9DB7-371640DF07D3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Оценки!$D$7:$D$18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1-4443-9DB7-371640DF07D3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Оценки!$E$7:$E$18</c:f>
              <c:numCache>
                <c:formatCode>0.0</c:formatCode>
                <c:ptCount val="12"/>
                <c:pt idx="0">
                  <c:v>37.4</c:v>
                </c:pt>
                <c:pt idx="1">
                  <c:v>32.5</c:v>
                </c:pt>
                <c:pt idx="2">
                  <c:v>28.8</c:v>
                </c:pt>
                <c:pt idx="3">
                  <c:v>32.4</c:v>
                </c:pt>
                <c:pt idx="4">
                  <c:v>30.6</c:v>
                </c:pt>
                <c:pt idx="5">
                  <c:v>31.7</c:v>
                </c:pt>
                <c:pt idx="6">
                  <c:v>35</c:v>
                </c:pt>
                <c:pt idx="7">
                  <c:v>36.200000000000003</c:v>
                </c:pt>
                <c:pt idx="8">
                  <c:v>44</c:v>
                </c:pt>
                <c:pt idx="9">
                  <c:v>42.3</c:v>
                </c:pt>
                <c:pt idx="10">
                  <c:v>43.8</c:v>
                </c:pt>
                <c:pt idx="1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51-4443-9DB7-371640DF07D3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Оценки!$F$7:$F$18</c:f>
              <c:numCache>
                <c:formatCode>0.0</c:formatCode>
                <c:ptCount val="12"/>
                <c:pt idx="5">
                  <c:v>39.299999999999997</c:v>
                </c:pt>
                <c:pt idx="6">
                  <c:v>40.6</c:v>
                </c:pt>
                <c:pt idx="7">
                  <c:v>43.7</c:v>
                </c:pt>
                <c:pt idx="8">
                  <c:v>47</c:v>
                </c:pt>
                <c:pt idx="9">
                  <c:v>49</c:v>
                </c:pt>
                <c:pt idx="10">
                  <c:v>47.3</c:v>
                </c:pt>
                <c:pt idx="11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51-4443-9DB7-371640DF07D3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Оценки!$G$7:$G$18</c:f>
              <c:numCache>
                <c:formatCode>0.0</c:formatCode>
                <c:ptCount val="12"/>
                <c:pt idx="0">
                  <c:v>39.700000000000003</c:v>
                </c:pt>
                <c:pt idx="1">
                  <c:v>29.9</c:v>
                </c:pt>
                <c:pt idx="2">
                  <c:v>23.9</c:v>
                </c:pt>
                <c:pt idx="3">
                  <c:v>32</c:v>
                </c:pt>
                <c:pt idx="4">
                  <c:v>31</c:v>
                </c:pt>
                <c:pt idx="5">
                  <c:v>31.2</c:v>
                </c:pt>
                <c:pt idx="6">
                  <c:v>35.5</c:v>
                </c:pt>
                <c:pt idx="7">
                  <c:v>37.299999999999997</c:v>
                </c:pt>
                <c:pt idx="8">
                  <c:v>43.9</c:v>
                </c:pt>
                <c:pt idx="9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51-4443-9DB7-371640DF07D3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Оценки!$H$7:$H$18</c:f>
              <c:numCache>
                <c:formatCode>0.0</c:formatCode>
                <c:ptCount val="12"/>
                <c:pt idx="3">
                  <c:v>31.8</c:v>
                </c:pt>
                <c:pt idx="4">
                  <c:v>30.8</c:v>
                </c:pt>
                <c:pt idx="5">
                  <c:v>31</c:v>
                </c:pt>
                <c:pt idx="6">
                  <c:v>35.299999999999997</c:v>
                </c:pt>
                <c:pt idx="7">
                  <c:v>36.799999999999997</c:v>
                </c:pt>
                <c:pt idx="8">
                  <c:v>42.8</c:v>
                </c:pt>
                <c:pt idx="9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51-4443-9DB7-371640DF07D3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Оценки!$I$7:$I$18</c:f>
              <c:numCache>
                <c:formatCode>0.0</c:formatCode>
                <c:ptCount val="12"/>
                <c:pt idx="2">
                  <c:v>27.4</c:v>
                </c:pt>
                <c:pt idx="3">
                  <c:v>33.1</c:v>
                </c:pt>
                <c:pt idx="4">
                  <c:v>30</c:v>
                </c:pt>
                <c:pt idx="5">
                  <c:v>31.3</c:v>
                </c:pt>
                <c:pt idx="6">
                  <c:v>37.799999999999997</c:v>
                </c:pt>
                <c:pt idx="7">
                  <c:v>41.4</c:v>
                </c:pt>
                <c:pt idx="8">
                  <c:v>46.5</c:v>
                </c:pt>
                <c:pt idx="9">
                  <c:v>43.6</c:v>
                </c:pt>
                <c:pt idx="10">
                  <c:v>45.7</c:v>
                </c:pt>
                <c:pt idx="11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51-4443-9DB7-371640DF0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102632"/>
        <c:axId val="1131104600"/>
      </c:scatterChart>
      <c:valAx>
        <c:axId val="113110263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4600"/>
        <c:crosses val="autoZero"/>
        <c:crossBetween val="midCat"/>
        <c:majorUnit val="1"/>
      </c:valAx>
      <c:valAx>
        <c:axId val="11311046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2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Оценки!$J$7:$J$18</c:f>
              <c:numCache>
                <c:formatCode>0.0</c:formatCode>
                <c:ptCount val="12"/>
                <c:pt idx="5">
                  <c:v>35.299999999999997</c:v>
                </c:pt>
                <c:pt idx="6">
                  <c:v>29.2</c:v>
                </c:pt>
                <c:pt idx="7">
                  <c:v>32.1</c:v>
                </c:pt>
                <c:pt idx="8">
                  <c:v>23.1</c:v>
                </c:pt>
                <c:pt idx="9">
                  <c:v>24.1</c:v>
                </c:pt>
                <c:pt idx="10">
                  <c:v>25.2</c:v>
                </c:pt>
                <c:pt idx="11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C-4C18-84F3-A9E661E20BFC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Оценки!$K$7:$K$18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29.7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C-4C18-84F3-A9E661E20BFC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Оценки!$L$7:$L$18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40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C-4C18-84F3-A9E661E20BFC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Оценки!$M$7:$M$18</c:f>
              <c:numCache>
                <c:formatCode>0.0</c:formatCode>
                <c:ptCount val="12"/>
                <c:pt idx="0">
                  <c:v>42.6</c:v>
                </c:pt>
                <c:pt idx="1">
                  <c:v>39.200000000000003</c:v>
                </c:pt>
                <c:pt idx="2">
                  <c:v>47.1</c:v>
                </c:pt>
                <c:pt idx="3">
                  <c:v>53.9</c:v>
                </c:pt>
                <c:pt idx="4">
                  <c:v>41</c:v>
                </c:pt>
                <c:pt idx="5">
                  <c:v>37.1</c:v>
                </c:pt>
                <c:pt idx="6">
                  <c:v>29.8</c:v>
                </c:pt>
                <c:pt idx="7">
                  <c:v>38</c:v>
                </c:pt>
                <c:pt idx="8">
                  <c:v>22.5</c:v>
                </c:pt>
                <c:pt idx="9">
                  <c:v>21.7</c:v>
                </c:pt>
                <c:pt idx="10">
                  <c:v>22.9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C-4C18-84F3-A9E661E20BFC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Оценки!$N$7:$N$18</c:f>
              <c:numCache>
                <c:formatCode>0.0</c:formatCode>
                <c:ptCount val="12"/>
                <c:pt idx="5">
                  <c:v>45.4</c:v>
                </c:pt>
                <c:pt idx="6">
                  <c:v>39.799999999999997</c:v>
                </c:pt>
                <c:pt idx="7">
                  <c:v>38.799999999999997</c:v>
                </c:pt>
                <c:pt idx="8">
                  <c:v>29.1</c:v>
                </c:pt>
                <c:pt idx="9">
                  <c:v>27.6</c:v>
                </c:pt>
                <c:pt idx="10">
                  <c:v>28.7</c:v>
                </c:pt>
                <c:pt idx="11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C-4C18-84F3-A9E661E20BFC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Оценки!$O$7:$O$18</c:f>
              <c:numCache>
                <c:formatCode>0.0</c:formatCode>
                <c:ptCount val="12"/>
                <c:pt idx="0">
                  <c:v>35.4</c:v>
                </c:pt>
                <c:pt idx="1">
                  <c:v>33</c:v>
                </c:pt>
                <c:pt idx="2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C-4C18-84F3-A9E661E20BFC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Оценки!$P$7:$P$18</c:f>
              <c:numCache>
                <c:formatCode>0.0</c:formatCode>
                <c:ptCount val="12"/>
                <c:pt idx="2">
                  <c:v>27.4</c:v>
                </c:pt>
                <c:pt idx="3">
                  <c:v>39.9</c:v>
                </c:pt>
                <c:pt idx="4">
                  <c:v>65.5</c:v>
                </c:pt>
                <c:pt idx="5">
                  <c:v>79.5</c:v>
                </c:pt>
                <c:pt idx="6">
                  <c:v>40.4</c:v>
                </c:pt>
                <c:pt idx="7">
                  <c:v>55.3</c:v>
                </c:pt>
                <c:pt idx="8">
                  <c:v>22.3</c:v>
                </c:pt>
                <c:pt idx="9">
                  <c:v>23.1</c:v>
                </c:pt>
                <c:pt idx="10">
                  <c:v>23.3</c:v>
                </c:pt>
                <c:pt idx="11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3C-4C18-84F3-A9E661E20BFC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Оценки!$Q$7:$Q$18</c:f>
              <c:numCache>
                <c:formatCode>0.0</c:formatCode>
                <c:ptCount val="12"/>
                <c:pt idx="3">
                  <c:v>28.1</c:v>
                </c:pt>
                <c:pt idx="4">
                  <c:v>39.4</c:v>
                </c:pt>
                <c:pt idx="5">
                  <c:v>49.9</c:v>
                </c:pt>
                <c:pt idx="6">
                  <c:v>42.6</c:v>
                </c:pt>
                <c:pt idx="7">
                  <c:v>43</c:v>
                </c:pt>
                <c:pt idx="8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3C-4C18-84F3-A9E661E20BFC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Оценки!$R$7:$R$18</c:f>
              <c:numCache>
                <c:formatCode>0.0</c:formatCode>
                <c:ptCount val="12"/>
                <c:pt idx="3">
                  <c:v>30.2</c:v>
                </c:pt>
                <c:pt idx="4">
                  <c:v>64</c:v>
                </c:pt>
                <c:pt idx="5">
                  <c:v>56.1</c:v>
                </c:pt>
                <c:pt idx="6">
                  <c:v>41.4</c:v>
                </c:pt>
                <c:pt idx="7">
                  <c:v>47.1</c:v>
                </c:pt>
                <c:pt idx="8">
                  <c:v>28.7</c:v>
                </c:pt>
                <c:pt idx="9">
                  <c:v>22.4</c:v>
                </c:pt>
                <c:pt idx="10">
                  <c:v>23.8</c:v>
                </c:pt>
                <c:pt idx="11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3C-4C18-84F3-A9E661E2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322952"/>
        <c:axId val="1146323608"/>
      </c:scatterChart>
      <c:valAx>
        <c:axId val="114632295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3608"/>
        <c:crosses val="autoZero"/>
        <c:crossBetween val="midCat"/>
        <c:majorUnit val="1"/>
      </c:valAx>
      <c:valAx>
        <c:axId val="11463236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295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604836</xdr:colOff>
      <xdr:row>30</xdr:row>
      <xdr:rowOff>4761</xdr:rowOff>
    </xdr:from>
    <xdr:to>
      <xdr:col>16</xdr:col>
      <xdr:colOff>0</xdr:colOff>
      <xdr:row>67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403B76-D3DC-47B2-99D9-AA603F19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69</xdr:row>
      <xdr:rowOff>4761</xdr:rowOff>
    </xdr:from>
    <xdr:to>
      <xdr:col>16</xdr:col>
      <xdr:colOff>9525</xdr:colOff>
      <xdr:row>105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22B589-25EB-4E1B-84A1-2EE05BE12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R29"/>
  <sheetViews>
    <sheetView topLeftCell="A55" workbookViewId="0">
      <selection activeCell="R93" sqref="R93"/>
    </sheetView>
  </sheetViews>
  <sheetFormatPr defaultRowHeight="14.4" x14ac:dyDescent="0.55000000000000004"/>
  <sheetData>
    <row r="1" spans="1:18" ht="18.3" x14ac:dyDescent="0.7">
      <c r="A1" s="6" t="s">
        <v>17</v>
      </c>
    </row>
    <row r="5" spans="1:18" x14ac:dyDescent="0.55000000000000004">
      <c r="B5" s="19" t="s">
        <v>6</v>
      </c>
      <c r="C5" s="19"/>
      <c r="D5" s="19"/>
      <c r="E5" s="19"/>
      <c r="F5" s="19"/>
      <c r="G5" s="19"/>
      <c r="H5" s="19"/>
      <c r="I5" s="19"/>
      <c r="J5" s="20" t="s">
        <v>7</v>
      </c>
      <c r="K5" s="20"/>
      <c r="L5" s="20"/>
      <c r="M5" s="20"/>
      <c r="N5" s="20"/>
      <c r="O5" s="20"/>
      <c r="P5" s="20"/>
      <c r="Q5" s="20"/>
      <c r="R5" s="20"/>
    </row>
    <row r="6" spans="1:18" x14ac:dyDescent="0.55000000000000004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18" x14ac:dyDescent="0.55000000000000004">
      <c r="A7" s="7">
        <v>1915</v>
      </c>
      <c r="B7" s="1"/>
      <c r="C7" s="1">
        <v>35.9</v>
      </c>
      <c r="D7" s="1">
        <v>35.9</v>
      </c>
      <c r="E7" s="1">
        <v>37.4</v>
      </c>
      <c r="F7" s="1"/>
      <c r="G7" s="1">
        <v>39.700000000000003</v>
      </c>
      <c r="H7" s="1"/>
      <c r="I7" s="1"/>
      <c r="J7" s="1"/>
      <c r="K7" s="1">
        <v>28.8</v>
      </c>
      <c r="L7" s="1">
        <v>28.8</v>
      </c>
      <c r="M7" s="1">
        <v>42.6</v>
      </c>
      <c r="N7" s="1"/>
      <c r="O7" s="1">
        <v>35.4</v>
      </c>
      <c r="P7" s="1"/>
      <c r="Q7" s="1"/>
      <c r="R7" s="1"/>
    </row>
    <row r="8" spans="1:18" x14ac:dyDescent="0.55000000000000004">
      <c r="A8" s="7">
        <v>1916</v>
      </c>
      <c r="B8" s="1"/>
      <c r="C8" s="1">
        <v>27.1</v>
      </c>
      <c r="D8" s="1">
        <v>27.1</v>
      </c>
      <c r="E8" s="1">
        <v>32.5</v>
      </c>
      <c r="F8" s="1"/>
      <c r="G8" s="1">
        <v>29.9</v>
      </c>
      <c r="H8" s="1"/>
      <c r="I8" s="1"/>
      <c r="J8" s="1"/>
      <c r="K8" s="1">
        <v>25.4</v>
      </c>
      <c r="L8" s="1">
        <v>25.4</v>
      </c>
      <c r="M8" s="1">
        <v>39.200000000000003</v>
      </c>
      <c r="N8" s="1"/>
      <c r="O8" s="1">
        <v>33</v>
      </c>
      <c r="P8" s="1"/>
      <c r="Q8" s="1"/>
      <c r="R8" s="1"/>
    </row>
    <row r="9" spans="1:18" x14ac:dyDescent="0.55000000000000004">
      <c r="A9" s="7">
        <v>1917</v>
      </c>
      <c r="B9" s="1"/>
      <c r="C9" s="1">
        <v>26.3</v>
      </c>
      <c r="D9" s="1">
        <v>26.3</v>
      </c>
      <c r="E9" s="1">
        <v>28.8</v>
      </c>
      <c r="F9" s="1"/>
      <c r="G9" s="1">
        <v>23.9</v>
      </c>
      <c r="H9" s="1"/>
      <c r="I9" s="17">
        <v>27.4</v>
      </c>
      <c r="J9" s="1"/>
      <c r="K9" s="1">
        <v>29.1</v>
      </c>
      <c r="L9" s="1">
        <v>29.1</v>
      </c>
      <c r="M9" s="1">
        <v>47.1</v>
      </c>
      <c r="N9" s="1"/>
      <c r="O9" s="1">
        <v>28.2</v>
      </c>
      <c r="P9" s="17">
        <v>27.4</v>
      </c>
      <c r="Q9" s="17"/>
      <c r="R9" s="17"/>
    </row>
    <row r="10" spans="1:18" x14ac:dyDescent="0.55000000000000004">
      <c r="A10" s="7">
        <v>1918</v>
      </c>
      <c r="B10" s="1"/>
      <c r="C10" s="1">
        <v>34.700000000000003</v>
      </c>
      <c r="D10" s="1">
        <v>34.700000000000003</v>
      </c>
      <c r="E10" s="1">
        <v>32.4</v>
      </c>
      <c r="F10" s="1"/>
      <c r="G10" s="1">
        <v>32</v>
      </c>
      <c r="H10" s="1">
        <v>31.8</v>
      </c>
      <c r="I10" s="17">
        <v>33.1</v>
      </c>
      <c r="J10" s="1"/>
      <c r="K10" s="1">
        <v>44.2</v>
      </c>
      <c r="L10" s="1">
        <v>44.2</v>
      </c>
      <c r="M10" s="1">
        <v>53.9</v>
      </c>
      <c r="N10" s="1"/>
      <c r="O10" s="1"/>
      <c r="P10" s="17">
        <v>39.9</v>
      </c>
      <c r="Q10" s="1">
        <v>28.1</v>
      </c>
      <c r="R10" s="1">
        <v>30.2</v>
      </c>
    </row>
    <row r="11" spans="1:18" x14ac:dyDescent="0.55000000000000004">
      <c r="A11" s="7">
        <v>1919</v>
      </c>
      <c r="B11" s="1"/>
      <c r="C11" s="1">
        <v>31.7</v>
      </c>
      <c r="D11" s="1">
        <v>31.7</v>
      </c>
      <c r="E11" s="1">
        <v>30.6</v>
      </c>
      <c r="F11" s="1"/>
      <c r="G11" s="1">
        <v>31</v>
      </c>
      <c r="H11" s="1">
        <v>30.8</v>
      </c>
      <c r="I11" s="17">
        <v>30</v>
      </c>
      <c r="J11" s="1"/>
      <c r="K11" s="1">
        <v>46.7</v>
      </c>
      <c r="L11" s="1">
        <v>46.7</v>
      </c>
      <c r="M11" s="1">
        <v>41</v>
      </c>
      <c r="N11" s="1"/>
      <c r="O11" s="1"/>
      <c r="P11" s="17">
        <v>65.5</v>
      </c>
      <c r="Q11" s="1">
        <v>39.4</v>
      </c>
      <c r="R11" s="1">
        <v>64</v>
      </c>
    </row>
    <row r="12" spans="1:18" x14ac:dyDescent="0.55000000000000004">
      <c r="A12" s="7">
        <v>1920</v>
      </c>
      <c r="B12" s="1">
        <v>30.9</v>
      </c>
      <c r="C12" s="1">
        <v>32.200000000000003</v>
      </c>
      <c r="D12" s="1">
        <v>32.200000000000003</v>
      </c>
      <c r="E12" s="1">
        <v>31.7</v>
      </c>
      <c r="F12" s="1">
        <v>39.299999999999997</v>
      </c>
      <c r="G12" s="1">
        <v>31.2</v>
      </c>
      <c r="H12" s="1">
        <v>31</v>
      </c>
      <c r="I12" s="17">
        <v>31.3</v>
      </c>
      <c r="J12" s="1">
        <v>35.299999999999997</v>
      </c>
      <c r="K12" s="1">
        <v>43.3</v>
      </c>
      <c r="L12" s="1">
        <v>43.3</v>
      </c>
      <c r="M12" s="1">
        <v>37.1</v>
      </c>
      <c r="N12" s="1">
        <v>45.4</v>
      </c>
      <c r="O12" s="1"/>
      <c r="P12" s="17">
        <v>79.5</v>
      </c>
      <c r="Q12" s="1">
        <v>49.9</v>
      </c>
      <c r="R12" s="1">
        <v>56.1</v>
      </c>
    </row>
    <row r="13" spans="1:18" x14ac:dyDescent="0.55000000000000004">
      <c r="A13" s="7">
        <v>1921</v>
      </c>
      <c r="B13" s="1">
        <v>32.6</v>
      </c>
      <c r="C13" s="1">
        <v>37.299999999999997</v>
      </c>
      <c r="D13" s="1">
        <v>37.299999999999997</v>
      </c>
      <c r="E13" s="1">
        <v>35</v>
      </c>
      <c r="F13" s="1">
        <v>40.6</v>
      </c>
      <c r="G13" s="1">
        <v>35.5</v>
      </c>
      <c r="H13" s="1">
        <v>35.299999999999997</v>
      </c>
      <c r="I13" s="17">
        <v>37.799999999999997</v>
      </c>
      <c r="J13" s="1">
        <v>29.2</v>
      </c>
      <c r="K13" s="1">
        <v>29.7</v>
      </c>
      <c r="L13" s="1">
        <v>40</v>
      </c>
      <c r="M13" s="1">
        <v>29.8</v>
      </c>
      <c r="N13" s="1">
        <v>39.799999999999997</v>
      </c>
      <c r="O13" s="1"/>
      <c r="P13" s="17">
        <v>40.4</v>
      </c>
      <c r="Q13" s="1">
        <v>42.6</v>
      </c>
      <c r="R13" s="1">
        <v>41.4</v>
      </c>
    </row>
    <row r="14" spans="1:18" x14ac:dyDescent="0.55000000000000004">
      <c r="A14" s="7">
        <v>1922</v>
      </c>
      <c r="B14" s="1">
        <v>33.4</v>
      </c>
      <c r="C14" s="1">
        <v>38.200000000000003</v>
      </c>
      <c r="D14" s="1">
        <v>38.200000000000003</v>
      </c>
      <c r="E14" s="1">
        <v>36.200000000000003</v>
      </c>
      <c r="F14" s="1">
        <v>43.7</v>
      </c>
      <c r="G14" s="1">
        <v>37.299999999999997</v>
      </c>
      <c r="H14" s="1">
        <v>36.799999999999997</v>
      </c>
      <c r="I14" s="17">
        <v>41.4</v>
      </c>
      <c r="J14" s="1">
        <v>32.1</v>
      </c>
      <c r="K14" s="1">
        <v>29.6</v>
      </c>
      <c r="L14" s="1">
        <v>29.6</v>
      </c>
      <c r="M14" s="1">
        <v>38</v>
      </c>
      <c r="N14" s="1">
        <v>38.799999999999997</v>
      </c>
      <c r="O14" s="1"/>
      <c r="P14" s="17">
        <v>55.3</v>
      </c>
      <c r="Q14" s="1">
        <v>43</v>
      </c>
      <c r="R14" s="1">
        <v>47.1</v>
      </c>
    </row>
    <row r="15" spans="1:18" x14ac:dyDescent="0.55000000000000004">
      <c r="A15" s="7">
        <v>1923</v>
      </c>
      <c r="B15" s="1">
        <v>42.8</v>
      </c>
      <c r="C15" s="1">
        <v>45.5</v>
      </c>
      <c r="D15" s="1">
        <v>45.5</v>
      </c>
      <c r="E15" s="1">
        <v>44</v>
      </c>
      <c r="F15" s="1">
        <v>47</v>
      </c>
      <c r="G15" s="1">
        <v>43.9</v>
      </c>
      <c r="H15" s="1">
        <v>42.8</v>
      </c>
      <c r="I15" s="17">
        <v>46.5</v>
      </c>
      <c r="J15" s="1">
        <v>23.1</v>
      </c>
      <c r="K15" s="1">
        <v>25.5</v>
      </c>
      <c r="L15" s="1">
        <v>25.5</v>
      </c>
      <c r="M15" s="1">
        <v>22.5</v>
      </c>
      <c r="N15" s="1">
        <v>29.1</v>
      </c>
      <c r="O15" s="1"/>
      <c r="P15" s="17">
        <v>22.3</v>
      </c>
      <c r="Q15" s="1">
        <v>28.1</v>
      </c>
      <c r="R15" s="1">
        <v>28.7</v>
      </c>
    </row>
    <row r="16" spans="1:18" x14ac:dyDescent="0.55000000000000004">
      <c r="A16" s="7">
        <v>1924</v>
      </c>
      <c r="B16" s="1">
        <v>43.8</v>
      </c>
      <c r="C16" s="1">
        <v>42.2</v>
      </c>
      <c r="D16" s="1">
        <v>42.2</v>
      </c>
      <c r="E16" s="1">
        <v>42.3</v>
      </c>
      <c r="F16" s="1">
        <v>49</v>
      </c>
      <c r="G16" s="1">
        <v>42</v>
      </c>
      <c r="H16" s="1">
        <v>41</v>
      </c>
      <c r="I16" s="17">
        <v>43.6</v>
      </c>
      <c r="J16" s="1">
        <v>24.1</v>
      </c>
      <c r="K16" s="1">
        <v>23.5</v>
      </c>
      <c r="L16" s="1">
        <v>23.5</v>
      </c>
      <c r="M16" s="1">
        <v>21.7</v>
      </c>
      <c r="N16" s="1">
        <v>27.6</v>
      </c>
      <c r="O16" s="1"/>
      <c r="P16" s="17">
        <v>23.1</v>
      </c>
      <c r="Q16" s="1"/>
      <c r="R16" s="1">
        <v>22.4</v>
      </c>
    </row>
    <row r="17" spans="1:18" x14ac:dyDescent="0.55000000000000004">
      <c r="A17" s="7">
        <v>1925</v>
      </c>
      <c r="B17" s="1">
        <v>45.9</v>
      </c>
      <c r="C17" s="1">
        <v>43.9</v>
      </c>
      <c r="D17" s="1">
        <v>43.9</v>
      </c>
      <c r="E17" s="1">
        <v>43.8</v>
      </c>
      <c r="F17" s="1">
        <v>47.3</v>
      </c>
      <c r="G17" s="1"/>
      <c r="H17" s="1"/>
      <c r="I17" s="17">
        <v>45.7</v>
      </c>
      <c r="J17" s="1">
        <v>25.2</v>
      </c>
      <c r="K17" s="1">
        <v>24.5</v>
      </c>
      <c r="L17" s="1">
        <v>24.5</v>
      </c>
      <c r="M17" s="1">
        <v>22.9</v>
      </c>
      <c r="N17" s="1">
        <v>28.7</v>
      </c>
      <c r="O17" s="1"/>
      <c r="P17" s="17">
        <v>23.3</v>
      </c>
      <c r="Q17" s="17"/>
      <c r="R17" s="1">
        <v>23.8</v>
      </c>
    </row>
    <row r="18" spans="1:18" x14ac:dyDescent="0.55000000000000004">
      <c r="A18" s="7">
        <v>1926</v>
      </c>
      <c r="B18" s="1">
        <v>44.7</v>
      </c>
      <c r="C18" s="1">
        <v>42.5</v>
      </c>
      <c r="D18" s="1">
        <v>42.5</v>
      </c>
      <c r="E18" s="1">
        <v>42.3</v>
      </c>
      <c r="F18" s="1">
        <v>45.6</v>
      </c>
      <c r="G18" s="1"/>
      <c r="H18" s="1"/>
      <c r="I18" s="17">
        <v>42.6</v>
      </c>
      <c r="J18" s="1">
        <v>21.3</v>
      </c>
      <c r="K18" s="1">
        <v>21.5</v>
      </c>
      <c r="L18" s="1">
        <v>21.5</v>
      </c>
      <c r="M18" s="1">
        <v>20</v>
      </c>
      <c r="N18" s="1">
        <v>25.5</v>
      </c>
      <c r="O18" s="1"/>
      <c r="P18" s="17">
        <v>19.899999999999999</v>
      </c>
      <c r="Q18" s="17"/>
      <c r="R18" s="1">
        <v>22.7</v>
      </c>
    </row>
    <row r="20" spans="1:18" x14ac:dyDescent="0.55000000000000004">
      <c r="A20" t="s">
        <v>8</v>
      </c>
      <c r="B20" t="s">
        <v>18</v>
      </c>
    </row>
    <row r="21" spans="1:18" x14ac:dyDescent="0.55000000000000004">
      <c r="A21" t="s">
        <v>9</v>
      </c>
      <c r="B21" t="s">
        <v>19</v>
      </c>
    </row>
    <row r="22" spans="1:18" x14ac:dyDescent="0.55000000000000004">
      <c r="A22" t="s">
        <v>10</v>
      </c>
      <c r="B22" t="s">
        <v>20</v>
      </c>
    </row>
    <row r="23" spans="1:18" x14ac:dyDescent="0.55000000000000004">
      <c r="A23" t="s">
        <v>11</v>
      </c>
      <c r="B23" t="s">
        <v>0</v>
      </c>
    </row>
    <row r="24" spans="1:18" x14ac:dyDescent="0.55000000000000004">
      <c r="A24" t="s">
        <v>12</v>
      </c>
      <c r="B24" t="s">
        <v>21</v>
      </c>
    </row>
    <row r="25" spans="1:18" x14ac:dyDescent="0.55000000000000004">
      <c r="A25" t="s">
        <v>13</v>
      </c>
      <c r="B25" t="s">
        <v>22</v>
      </c>
    </row>
    <row r="26" spans="1:18" x14ac:dyDescent="0.55000000000000004">
      <c r="A26" t="s">
        <v>14</v>
      </c>
      <c r="B26" t="s">
        <v>23</v>
      </c>
    </row>
    <row r="27" spans="1:18" x14ac:dyDescent="0.55000000000000004">
      <c r="A27" t="s">
        <v>5</v>
      </c>
      <c r="B27" t="s">
        <v>24</v>
      </c>
    </row>
    <row r="28" spans="1:18" x14ac:dyDescent="0.55000000000000004">
      <c r="A28" t="s">
        <v>15</v>
      </c>
      <c r="B28" t="s">
        <v>25</v>
      </c>
    </row>
    <row r="29" spans="1:18" x14ac:dyDescent="0.55000000000000004">
      <c r="A29" t="s">
        <v>16</v>
      </c>
      <c r="B29" t="s">
        <v>25</v>
      </c>
    </row>
  </sheetData>
  <mergeCells count="2">
    <mergeCell ref="B5:I5"/>
    <mergeCell ref="J5:R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3:Q20"/>
  <sheetViews>
    <sheetView workbookViewId="0">
      <selection activeCell="F20" sqref="F20"/>
    </sheetView>
  </sheetViews>
  <sheetFormatPr defaultRowHeight="14.4" x14ac:dyDescent="0.55000000000000004"/>
  <cols>
    <col min="7" max="7" width="16" customWidth="1"/>
    <col min="8" max="9" width="11.578125" bestFit="1" customWidth="1"/>
  </cols>
  <sheetData>
    <row r="3" spans="1:17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55000000000000004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55000000000000004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55000000000000004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55000000000000004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55000000000000004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55000000000000004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55000000000000004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55000000000000004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55000000000000004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55000000000000004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55000000000000004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55000000000000004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55000000000000004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3:J20"/>
  <sheetViews>
    <sheetView workbookViewId="0">
      <selection activeCell="M4" sqref="M4"/>
    </sheetView>
  </sheetViews>
  <sheetFormatPr defaultRowHeight="14.4" x14ac:dyDescent="0.55000000000000004"/>
  <sheetData>
    <row r="3" spans="1:10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55000000000000004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55000000000000004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55000000000000004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55000000000000004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55000000000000004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55000000000000004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55000000000000004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55000000000000004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55000000000000004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55000000000000004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55000000000000004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55000000000000004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55000000000000004">
      <c r="A16">
        <v>1927</v>
      </c>
      <c r="F16" s="4">
        <f t="shared" si="5"/>
        <v>94768.024461170964</v>
      </c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3:J20"/>
  <sheetViews>
    <sheetView workbookViewId="0">
      <selection activeCell="J21" sqref="J21"/>
    </sheetView>
  </sheetViews>
  <sheetFormatPr defaultRowHeight="14.4" x14ac:dyDescent="0.55000000000000004"/>
  <sheetData>
    <row r="3" spans="1:10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55000000000000004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55000000000000004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55000000000000004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55000000000000004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55000000000000004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55000000000000004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55000000000000004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55000000000000004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55000000000000004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55000000000000004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55000000000000004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55000000000000004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55000000000000004">
      <c r="A16">
        <v>1927</v>
      </c>
      <c r="F16" s="4">
        <f t="shared" si="5"/>
        <v>91532.221688388454</v>
      </c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Q14" sqref="Q14"/>
    </sheetView>
  </sheetViews>
  <sheetFormatPr defaultRowHeight="14.4" x14ac:dyDescent="0.55000000000000004"/>
  <sheetData>
    <row r="1" spans="1:12" ht="18.3" x14ac:dyDescent="0.7">
      <c r="A1" s="6" t="s">
        <v>36</v>
      </c>
    </row>
    <row r="3" spans="1:12" x14ac:dyDescent="0.55000000000000004">
      <c r="A3" s="21" t="s">
        <v>3</v>
      </c>
      <c r="B3" s="19"/>
      <c r="C3" s="19"/>
      <c r="D3" s="19"/>
      <c r="E3" s="19"/>
      <c r="F3" s="20"/>
      <c r="G3" s="20"/>
      <c r="H3" s="20"/>
      <c r="I3" s="20"/>
      <c r="K3" s="22" t="s">
        <v>35</v>
      </c>
      <c r="L3" s="22"/>
    </row>
    <row r="4" spans="1:12" x14ac:dyDescent="0.55000000000000004">
      <c r="A4" s="21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55000000000000004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55000000000000004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55000000000000004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55000000000000004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55000000000000004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55000000000000004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55000000000000004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55000000000000004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55000000000000004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55000000000000004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55000000000000004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55000000000000004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55000000000000004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55000000000000004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55000000000000004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55000000000000004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55000000000000004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55000000000000004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55000000000000004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55000000000000004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55000000000000004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55000000000000004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55000000000000004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55000000000000004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55000000000000004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55000000000000004">
      <c r="A32">
        <v>1927</v>
      </c>
      <c r="F32" s="4">
        <f t="shared" si="7"/>
        <v>91068.722869060759</v>
      </c>
    </row>
    <row r="34" spans="1:6" x14ac:dyDescent="0.55000000000000004">
      <c r="A34" s="15" t="s">
        <v>31</v>
      </c>
      <c r="F34">
        <v>93604</v>
      </c>
    </row>
    <row r="35" spans="1:6" x14ac:dyDescent="0.55000000000000004">
      <c r="A35" s="15" t="s">
        <v>33</v>
      </c>
      <c r="F35">
        <v>200</v>
      </c>
    </row>
    <row r="36" spans="1:6" x14ac:dyDescent="0.55000000000000004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P18" sqref="P18"/>
    </sheetView>
  </sheetViews>
  <sheetFormatPr defaultRowHeight="14.4" x14ac:dyDescent="0.55000000000000004"/>
  <cols>
    <col min="14" max="14" width="14.83984375" customWidth="1"/>
  </cols>
  <sheetData>
    <row r="2" spans="1:17" x14ac:dyDescent="0.55000000000000004">
      <c r="L2" s="5" t="s">
        <v>37</v>
      </c>
      <c r="M2" s="5" t="s">
        <v>37</v>
      </c>
      <c r="N2" s="5" t="s">
        <v>37</v>
      </c>
      <c r="O2" s="5" t="s">
        <v>37</v>
      </c>
      <c r="P2" s="5" t="s">
        <v>37</v>
      </c>
      <c r="Q2" s="5"/>
    </row>
    <row r="3" spans="1:17" x14ac:dyDescent="0.55000000000000004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38</v>
      </c>
      <c r="N3" s="10" t="s">
        <v>39</v>
      </c>
      <c r="O3" s="10" t="s">
        <v>40</v>
      </c>
      <c r="P3" s="10" t="s">
        <v>41</v>
      </c>
      <c r="Q3" s="10" t="s">
        <v>2</v>
      </c>
    </row>
    <row r="4" spans="1:17" x14ac:dyDescent="0.55000000000000004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55000000000000004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55000000000000004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55000000000000004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55000000000000004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55000000000000004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55000000000000004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55000000000000004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55000000000000004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55000000000000004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55000000000000004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55000000000000004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2:N211"/>
  <sheetViews>
    <sheetView tabSelected="1" topLeftCell="A178" workbookViewId="0">
      <selection activeCell="Q182" sqref="Q182"/>
    </sheetView>
  </sheetViews>
  <sheetFormatPr defaultRowHeight="14.4" x14ac:dyDescent="0.55000000000000004"/>
  <cols>
    <col min="1" max="1" width="21.1015625" customWidth="1"/>
  </cols>
  <sheetData>
    <row r="2" spans="1:14" x14ac:dyDescent="0.55000000000000004">
      <c r="B2" s="24">
        <v>1912</v>
      </c>
      <c r="C2" s="24">
        <v>1913</v>
      </c>
      <c r="D2" s="24">
        <v>1914</v>
      </c>
      <c r="E2" s="24">
        <v>1915</v>
      </c>
      <c r="F2" s="24">
        <v>1916</v>
      </c>
      <c r="G2" s="24">
        <v>1917</v>
      </c>
      <c r="I2" s="24">
        <v>1912</v>
      </c>
      <c r="J2" s="24">
        <v>1913</v>
      </c>
      <c r="K2" s="24">
        <v>1914</v>
      </c>
      <c r="L2" s="24">
        <v>1915</v>
      </c>
      <c r="M2" s="24">
        <v>1916</v>
      </c>
      <c r="N2" s="24">
        <v>1917</v>
      </c>
    </row>
    <row r="3" spans="1:14" x14ac:dyDescent="0.55000000000000004">
      <c r="A3" s="25" t="s">
        <v>42</v>
      </c>
      <c r="B3" s="26">
        <v>3750</v>
      </c>
      <c r="C3" s="26">
        <v>3883</v>
      </c>
      <c r="D3" s="26">
        <v>3598</v>
      </c>
      <c r="E3" s="26">
        <v>2027</v>
      </c>
      <c r="F3" s="25"/>
    </row>
    <row r="4" spans="1:14" x14ac:dyDescent="0.55000000000000004">
      <c r="A4" s="25"/>
      <c r="B4" s="26">
        <v>20220</v>
      </c>
      <c r="C4" s="26">
        <v>20694</v>
      </c>
      <c r="D4" s="26">
        <v>20696</v>
      </c>
      <c r="E4" s="26">
        <v>18439</v>
      </c>
      <c r="F4" s="26">
        <v>15749</v>
      </c>
      <c r="I4" s="3">
        <f>B4-B5-B6</f>
        <v>0</v>
      </c>
      <c r="J4" s="3">
        <f t="shared" ref="J4:N4" si="0">C4-C5-C6</f>
        <v>0</v>
      </c>
      <c r="K4" s="3">
        <f t="shared" si="0"/>
        <v>0</v>
      </c>
      <c r="L4" s="3">
        <f t="shared" si="0"/>
        <v>0</v>
      </c>
      <c r="M4" s="3">
        <f t="shared" si="0"/>
        <v>0</v>
      </c>
      <c r="N4" s="3">
        <f t="shared" si="0"/>
        <v>0</v>
      </c>
    </row>
    <row r="5" spans="1:14" x14ac:dyDescent="0.55000000000000004">
      <c r="B5" s="3">
        <v>12003</v>
      </c>
      <c r="C5" s="3">
        <v>12272</v>
      </c>
      <c r="D5" s="3">
        <v>13587</v>
      </c>
      <c r="E5" s="3">
        <v>12709</v>
      </c>
      <c r="F5" s="3">
        <v>12694</v>
      </c>
    </row>
    <row r="6" spans="1:14" x14ac:dyDescent="0.55000000000000004">
      <c r="B6" s="3">
        <v>8217</v>
      </c>
      <c r="C6" s="3">
        <v>8422</v>
      </c>
      <c r="D6" s="3">
        <v>7109</v>
      </c>
      <c r="E6" s="3">
        <v>5730</v>
      </c>
      <c r="F6" s="3">
        <v>3055</v>
      </c>
    </row>
    <row r="7" spans="1:14" x14ac:dyDescent="0.55000000000000004">
      <c r="A7" t="s">
        <v>43</v>
      </c>
      <c r="B7" s="3">
        <v>8205</v>
      </c>
      <c r="C7" s="3">
        <v>9579</v>
      </c>
      <c r="D7" s="3">
        <v>8421</v>
      </c>
      <c r="F7" s="3"/>
    </row>
    <row r="8" spans="1:14" x14ac:dyDescent="0.55000000000000004">
      <c r="B8" s="3">
        <v>48755</v>
      </c>
      <c r="C8" s="3">
        <v>50086</v>
      </c>
      <c r="D8" s="3">
        <v>52352</v>
      </c>
      <c r="E8" s="3">
        <v>43931</v>
      </c>
      <c r="F8" s="3"/>
      <c r="I8" s="3">
        <f t="shared" ref="I8" si="1">B8-B9-B10</f>
        <v>0</v>
      </c>
      <c r="J8" s="3">
        <f t="shared" ref="J8" si="2">C8-C9-C10</f>
        <v>0</v>
      </c>
      <c r="K8" s="3">
        <f t="shared" ref="K8" si="3">D8-D9-D10</f>
        <v>0</v>
      </c>
      <c r="L8" s="3">
        <f t="shared" ref="L8" si="4">E8-E9-E10</f>
        <v>0</v>
      </c>
      <c r="M8" s="3">
        <f t="shared" ref="M8" si="5">F8-F9-F10</f>
        <v>0</v>
      </c>
      <c r="N8" s="3">
        <f t="shared" ref="N8" si="6">G8-G9-G10</f>
        <v>0</v>
      </c>
    </row>
    <row r="9" spans="1:14" x14ac:dyDescent="0.55000000000000004">
      <c r="B9" s="3">
        <v>28647</v>
      </c>
      <c r="C9" s="3">
        <v>30059</v>
      </c>
      <c r="D9" s="3">
        <v>29166</v>
      </c>
      <c r="E9" s="3">
        <v>33060</v>
      </c>
    </row>
    <row r="10" spans="1:14" x14ac:dyDescent="0.55000000000000004">
      <c r="B10" s="3">
        <v>20108</v>
      </c>
      <c r="C10" s="3">
        <v>20027</v>
      </c>
      <c r="D10" s="3">
        <v>23186</v>
      </c>
      <c r="E10" s="3">
        <v>10871</v>
      </c>
    </row>
    <row r="11" spans="1:14" x14ac:dyDescent="0.55000000000000004">
      <c r="A11" t="s">
        <v>44</v>
      </c>
      <c r="B11" s="3">
        <v>20918</v>
      </c>
      <c r="C11" s="3">
        <v>20069</v>
      </c>
      <c r="D11" s="3">
        <v>21110</v>
      </c>
      <c r="E11" s="3"/>
    </row>
    <row r="12" spans="1:14" x14ac:dyDescent="0.55000000000000004">
      <c r="B12" s="3">
        <v>102654</v>
      </c>
      <c r="C12" s="3">
        <v>102397</v>
      </c>
      <c r="D12" s="3">
        <v>100871</v>
      </c>
      <c r="E12" s="3"/>
      <c r="I12" s="3">
        <f t="shared" ref="I12" si="7">B12-B13-B14</f>
        <v>0</v>
      </c>
      <c r="J12" s="3">
        <f t="shared" ref="J12" si="8">C12-C13-C14</f>
        <v>0</v>
      </c>
      <c r="K12" s="3">
        <f t="shared" ref="K12" si="9">D12-D13-D14</f>
        <v>0</v>
      </c>
      <c r="L12" s="3">
        <f t="shared" ref="L12" si="10">E12-E13-E14</f>
        <v>0</v>
      </c>
      <c r="M12" s="3">
        <f t="shared" ref="M12" si="11">F12-F13-F14</f>
        <v>0</v>
      </c>
      <c r="N12" s="3">
        <f t="shared" ref="N12" si="12">G12-G13-G14</f>
        <v>0</v>
      </c>
    </row>
    <row r="13" spans="1:14" x14ac:dyDescent="0.55000000000000004">
      <c r="B13" s="3">
        <v>77431</v>
      </c>
      <c r="C13" s="3">
        <v>77745</v>
      </c>
      <c r="D13" s="3">
        <v>79202</v>
      </c>
    </row>
    <row r="14" spans="1:14" x14ac:dyDescent="0.55000000000000004">
      <c r="B14" s="3">
        <v>25223</v>
      </c>
      <c r="C14" s="3">
        <v>24652</v>
      </c>
      <c r="D14" s="3">
        <v>21669</v>
      </c>
    </row>
    <row r="15" spans="1:14" x14ac:dyDescent="0.55000000000000004">
      <c r="A15" t="s">
        <v>45</v>
      </c>
      <c r="B15" s="3">
        <v>11999</v>
      </c>
      <c r="C15" s="3">
        <v>12500</v>
      </c>
      <c r="D15" s="3">
        <v>12065</v>
      </c>
    </row>
    <row r="16" spans="1:14" x14ac:dyDescent="0.55000000000000004">
      <c r="B16" s="3">
        <v>62505</v>
      </c>
      <c r="C16" s="3">
        <v>57672</v>
      </c>
      <c r="D16" s="3">
        <v>60509</v>
      </c>
      <c r="I16" s="3">
        <f t="shared" ref="I16" si="13">B16-B17-B18</f>
        <v>0</v>
      </c>
      <c r="J16" s="3">
        <f t="shared" ref="J16" si="14">C16-C17-C18</f>
        <v>0</v>
      </c>
      <c r="K16" s="3">
        <f t="shared" ref="K16" si="15">D16-D17-D18</f>
        <v>0</v>
      </c>
      <c r="L16" s="3">
        <f t="shared" ref="L16" si="16">E16-E17-E18</f>
        <v>0</v>
      </c>
      <c r="M16" s="3">
        <f t="shared" ref="M16" si="17">F16-F17-F18</f>
        <v>0</v>
      </c>
      <c r="N16" s="3">
        <f t="shared" ref="N16" si="18">G16-G17-G18</f>
        <v>0</v>
      </c>
    </row>
    <row r="17" spans="1:14" x14ac:dyDescent="0.55000000000000004">
      <c r="B17" s="3">
        <v>34870</v>
      </c>
      <c r="C17" s="3">
        <v>33490</v>
      </c>
      <c r="D17" s="3">
        <v>34087</v>
      </c>
    </row>
    <row r="18" spans="1:14" x14ac:dyDescent="0.55000000000000004">
      <c r="B18" s="3">
        <v>27635</v>
      </c>
      <c r="C18" s="3">
        <v>24182</v>
      </c>
      <c r="D18" s="3">
        <v>26422</v>
      </c>
    </row>
    <row r="19" spans="1:14" x14ac:dyDescent="0.55000000000000004">
      <c r="A19" t="s">
        <v>46</v>
      </c>
      <c r="B19" s="3">
        <v>11915</v>
      </c>
      <c r="C19" s="3">
        <v>10256</v>
      </c>
      <c r="D19" s="3">
        <v>10068</v>
      </c>
      <c r="E19" s="3">
        <v>5235</v>
      </c>
      <c r="F19" s="3">
        <v>5082</v>
      </c>
      <c r="G19" s="3">
        <v>4998</v>
      </c>
    </row>
    <row r="20" spans="1:14" x14ac:dyDescent="0.55000000000000004">
      <c r="B20" s="3">
        <v>63281</v>
      </c>
      <c r="C20" s="3">
        <v>57334</v>
      </c>
      <c r="D20" s="3">
        <v>63639</v>
      </c>
      <c r="E20" s="3">
        <v>52005</v>
      </c>
      <c r="F20" s="3">
        <v>45340</v>
      </c>
      <c r="I20" s="3">
        <f t="shared" ref="I20" si="19">B20-B21-B22</f>
        <v>0</v>
      </c>
      <c r="J20" s="3">
        <f t="shared" ref="J20" si="20">C20-C21-C22</f>
        <v>0</v>
      </c>
      <c r="K20" s="3">
        <f t="shared" ref="K20" si="21">D20-D21-D22</f>
        <v>0</v>
      </c>
      <c r="L20" s="3">
        <f t="shared" ref="L20" si="22">E20-E21-E22</f>
        <v>0</v>
      </c>
      <c r="M20" s="3">
        <f t="shared" ref="M20" si="23">F20-F21-F22</f>
        <v>0</v>
      </c>
      <c r="N20" s="3">
        <f t="shared" ref="N20" si="24">G20-G21-G22</f>
        <v>0</v>
      </c>
    </row>
    <row r="21" spans="1:14" x14ac:dyDescent="0.55000000000000004">
      <c r="B21" s="3">
        <v>32981</v>
      </c>
      <c r="C21" s="3">
        <v>34425</v>
      </c>
      <c r="D21" s="3">
        <v>34049</v>
      </c>
      <c r="E21" s="3">
        <v>42016</v>
      </c>
      <c r="F21" s="3">
        <v>38073</v>
      </c>
    </row>
    <row r="22" spans="1:14" x14ac:dyDescent="0.55000000000000004">
      <c r="B22" s="3">
        <v>30300</v>
      </c>
      <c r="C22" s="3">
        <v>22909</v>
      </c>
      <c r="D22" s="3">
        <v>29590</v>
      </c>
      <c r="E22" s="3">
        <v>9989</v>
      </c>
      <c r="F22" s="3">
        <v>7267</v>
      </c>
    </row>
    <row r="23" spans="1:14" x14ac:dyDescent="0.55000000000000004">
      <c r="A23" t="s">
        <v>47</v>
      </c>
      <c r="B23" s="3">
        <v>13902</v>
      </c>
      <c r="C23" s="3">
        <v>15683</v>
      </c>
      <c r="D23" s="3">
        <v>11609</v>
      </c>
      <c r="E23" s="3">
        <v>3943</v>
      </c>
      <c r="F23" s="3">
        <v>3926</v>
      </c>
      <c r="G23" s="3">
        <v>4896</v>
      </c>
    </row>
    <row r="24" spans="1:14" x14ac:dyDescent="0.55000000000000004">
      <c r="B24" s="3">
        <v>84963</v>
      </c>
      <c r="C24" s="3">
        <v>90305</v>
      </c>
      <c r="D24" s="3">
        <v>89028</v>
      </c>
      <c r="E24" s="3">
        <v>79192</v>
      </c>
      <c r="F24" s="3">
        <v>59541</v>
      </c>
      <c r="G24" s="3">
        <v>37793</v>
      </c>
      <c r="I24" s="3">
        <f t="shared" ref="I24" si="25">B24-B25-B26</f>
        <v>0</v>
      </c>
      <c r="J24" s="3">
        <f t="shared" ref="J24" si="26">C24-C25-C26</f>
        <v>0</v>
      </c>
      <c r="K24" s="3">
        <f t="shared" ref="K24" si="27">D24-D25-D26</f>
        <v>0</v>
      </c>
      <c r="L24" s="3">
        <f t="shared" ref="L24" si="28">E24-E25-E26</f>
        <v>0</v>
      </c>
      <c r="M24" s="3">
        <f t="shared" ref="M24" si="29">F24-F25-F26</f>
        <v>0</v>
      </c>
      <c r="N24" s="3">
        <f t="shared" ref="N24" si="30">G24-G25-G26</f>
        <v>0</v>
      </c>
    </row>
    <row r="25" spans="1:14" x14ac:dyDescent="0.55000000000000004">
      <c r="B25" s="3">
        <v>57098</v>
      </c>
      <c r="C25" s="3">
        <v>60397</v>
      </c>
      <c r="D25" s="3">
        <v>53331</v>
      </c>
      <c r="E25" s="3">
        <v>52841</v>
      </c>
      <c r="F25" s="3">
        <v>48132</v>
      </c>
      <c r="G25" s="3">
        <v>41490</v>
      </c>
    </row>
    <row r="26" spans="1:14" x14ac:dyDescent="0.55000000000000004">
      <c r="B26" s="3">
        <v>27865</v>
      </c>
      <c r="C26" s="3">
        <v>29908</v>
      </c>
      <c r="D26" s="3">
        <v>35697</v>
      </c>
      <c r="E26" s="3">
        <v>26351</v>
      </c>
      <c r="F26" s="3">
        <v>11409</v>
      </c>
      <c r="G26" s="3">
        <v>-3697</v>
      </c>
    </row>
    <row r="27" spans="1:14" x14ac:dyDescent="0.55000000000000004">
      <c r="A27" t="s">
        <v>52</v>
      </c>
      <c r="B27" s="3">
        <v>13744</v>
      </c>
      <c r="C27" s="3">
        <v>15388</v>
      </c>
      <c r="D27" s="3">
        <v>12289</v>
      </c>
      <c r="E27" s="3">
        <v>5010</v>
      </c>
      <c r="F27" s="3"/>
    </row>
    <row r="28" spans="1:14" x14ac:dyDescent="0.55000000000000004">
      <c r="B28" s="3">
        <v>75606</v>
      </c>
      <c r="C28" s="3">
        <v>77732</v>
      </c>
      <c r="D28" s="3">
        <v>80204</v>
      </c>
      <c r="E28" s="3">
        <v>63389</v>
      </c>
      <c r="F28" s="3"/>
      <c r="I28" s="3">
        <f t="shared" ref="I28" si="31">B28-B29-B30</f>
        <v>0</v>
      </c>
      <c r="J28" s="3">
        <f t="shared" ref="J28" si="32">C28-C29-C30</f>
        <v>0</v>
      </c>
      <c r="K28" s="3">
        <f t="shared" ref="K28" si="33">D28-D29-D30</f>
        <v>0</v>
      </c>
      <c r="L28" s="3">
        <f t="shared" ref="L28" si="34">E28-E29-E30</f>
        <v>0</v>
      </c>
      <c r="M28" s="3">
        <f t="shared" ref="M28" si="35">F28-F29-F30</f>
        <v>0</v>
      </c>
      <c r="N28" s="3">
        <f t="shared" ref="N28" si="36">G28-G29-G30</f>
        <v>0</v>
      </c>
    </row>
    <row r="29" spans="1:14" x14ac:dyDescent="0.55000000000000004">
      <c r="B29" s="3">
        <v>51131</v>
      </c>
      <c r="C29" s="3">
        <v>52557</v>
      </c>
      <c r="D29" s="3">
        <v>49964</v>
      </c>
      <c r="E29" s="3">
        <v>45126</v>
      </c>
      <c r="F29" s="3"/>
    </row>
    <row r="30" spans="1:14" x14ac:dyDescent="0.55000000000000004">
      <c r="B30" s="3">
        <v>24475</v>
      </c>
      <c r="C30" s="3">
        <v>25175</v>
      </c>
      <c r="D30" s="3">
        <v>30240</v>
      </c>
      <c r="E30" s="3">
        <v>18263</v>
      </c>
      <c r="F30" s="3"/>
    </row>
    <row r="31" spans="1:14" x14ac:dyDescent="0.55000000000000004">
      <c r="A31" t="s">
        <v>48</v>
      </c>
      <c r="B31" s="3">
        <v>28948</v>
      </c>
      <c r="C31" s="3">
        <v>28599</v>
      </c>
      <c r="D31" s="3">
        <v>20300</v>
      </c>
      <c r="F31" s="3"/>
    </row>
    <row r="32" spans="1:14" x14ac:dyDescent="0.55000000000000004">
      <c r="B32" s="3">
        <v>154685</v>
      </c>
      <c r="C32" s="3">
        <v>145798</v>
      </c>
      <c r="D32" s="3">
        <v>142238</v>
      </c>
      <c r="E32" s="3">
        <v>100032</v>
      </c>
      <c r="F32" s="3"/>
      <c r="I32" s="3">
        <f t="shared" ref="I32" si="37">B32-B33-B34</f>
        <v>0</v>
      </c>
      <c r="J32" s="3">
        <f t="shared" ref="J32" si="38">C32-C33-C34</f>
        <v>2</v>
      </c>
      <c r="K32" s="3">
        <f t="shared" ref="K32" si="39">D32-D33-D34</f>
        <v>0</v>
      </c>
      <c r="L32" s="3">
        <f t="shared" ref="L32" si="40">E32-E33-E34</f>
        <v>0</v>
      </c>
      <c r="M32" s="3">
        <f t="shared" ref="M32" si="41">F32-F33-F34</f>
        <v>0</v>
      </c>
      <c r="N32" s="3">
        <f t="shared" ref="N32" si="42">G32-G33-G34</f>
        <v>0</v>
      </c>
    </row>
    <row r="33" spans="1:14" x14ac:dyDescent="0.55000000000000004">
      <c r="B33" s="3">
        <v>72287</v>
      </c>
      <c r="C33" s="3">
        <v>84511</v>
      </c>
      <c r="D33" s="3">
        <v>90733</v>
      </c>
      <c r="E33" s="3">
        <v>74702</v>
      </c>
      <c r="F33" s="3"/>
    </row>
    <row r="34" spans="1:14" x14ac:dyDescent="0.55000000000000004">
      <c r="B34" s="3">
        <v>82398</v>
      </c>
      <c r="C34" s="3">
        <v>61285</v>
      </c>
      <c r="D34" s="3">
        <v>51505</v>
      </c>
      <c r="E34" s="3">
        <v>25330</v>
      </c>
      <c r="F34" s="3"/>
    </row>
    <row r="35" spans="1:14" x14ac:dyDescent="0.55000000000000004">
      <c r="A35" t="s">
        <v>49</v>
      </c>
      <c r="B35" s="3">
        <v>27753</v>
      </c>
      <c r="C35" s="3">
        <v>31950</v>
      </c>
      <c r="D35" s="3">
        <v>23168</v>
      </c>
      <c r="E35" s="3">
        <v>10591</v>
      </c>
      <c r="F35" s="3">
        <v>13920</v>
      </c>
    </row>
    <row r="36" spans="1:14" x14ac:dyDescent="0.55000000000000004">
      <c r="B36" s="3">
        <v>176717</v>
      </c>
      <c r="C36" s="3">
        <v>175310</v>
      </c>
      <c r="D36" s="3">
        <v>179175</v>
      </c>
      <c r="E36" s="3">
        <v>153298</v>
      </c>
      <c r="F36" s="3">
        <v>116108</v>
      </c>
      <c r="I36" s="3">
        <f t="shared" ref="I36" si="43">B36-B37-B38</f>
        <v>0</v>
      </c>
      <c r="J36" s="3">
        <f t="shared" ref="J36" si="44">C36-C37-C38</f>
        <v>0</v>
      </c>
      <c r="K36" s="3">
        <f t="shared" ref="K36" si="45">D36-D37-D38</f>
        <v>0</v>
      </c>
      <c r="L36" s="3">
        <f t="shared" ref="L36" si="46">E36-E37-E38</f>
        <v>0</v>
      </c>
      <c r="M36" s="3">
        <f t="shared" ref="M36" si="47">F36-F37-F38</f>
        <v>0</v>
      </c>
      <c r="N36" s="3">
        <f t="shared" ref="N36" si="48">G36-G37-G38</f>
        <v>0</v>
      </c>
    </row>
    <row r="37" spans="1:14" x14ac:dyDescent="0.55000000000000004">
      <c r="B37" s="3">
        <v>96620</v>
      </c>
      <c r="C37" s="3">
        <v>109194</v>
      </c>
      <c r="D37" s="3">
        <v>110219</v>
      </c>
      <c r="E37" s="3">
        <v>102033</v>
      </c>
      <c r="F37" s="3">
        <v>87704</v>
      </c>
    </row>
    <row r="38" spans="1:14" x14ac:dyDescent="0.55000000000000004">
      <c r="B38" s="3">
        <v>80097</v>
      </c>
      <c r="C38" s="3">
        <v>66116</v>
      </c>
      <c r="D38" s="3">
        <v>68956</v>
      </c>
      <c r="E38" s="3">
        <v>51265</v>
      </c>
      <c r="F38" s="3">
        <v>28404</v>
      </c>
    </row>
    <row r="39" spans="1:14" x14ac:dyDescent="0.55000000000000004">
      <c r="A39" t="s">
        <v>50</v>
      </c>
      <c r="B39" s="3">
        <v>29387</v>
      </c>
      <c r="C39" s="3">
        <v>34827</v>
      </c>
      <c r="D39" s="3">
        <v>31300</v>
      </c>
      <c r="E39" s="3">
        <v>16814</v>
      </c>
      <c r="F39" s="3"/>
    </row>
    <row r="40" spans="1:14" x14ac:dyDescent="0.55000000000000004">
      <c r="B40" s="3">
        <v>188286</v>
      </c>
      <c r="C40" s="3">
        <v>188367</v>
      </c>
      <c r="D40" s="3">
        <v>190574</v>
      </c>
      <c r="E40" s="3">
        <v>160915</v>
      </c>
      <c r="F40" s="3"/>
      <c r="I40" s="3">
        <f t="shared" ref="I40" si="49">B40-B41-B42</f>
        <v>0</v>
      </c>
      <c r="J40" s="3">
        <f t="shared" ref="J40" si="50">C40-C41-C42</f>
        <v>0</v>
      </c>
      <c r="K40" s="3">
        <f t="shared" ref="K40" si="51">D40-D41-D42</f>
        <v>0</v>
      </c>
      <c r="L40" s="3">
        <f t="shared" ref="L40" si="52">E40-E41-E42</f>
        <v>0</v>
      </c>
      <c r="M40" s="3">
        <f t="shared" ref="M40" si="53">F40-F41-F42</f>
        <v>0</v>
      </c>
      <c r="N40" s="3">
        <f t="shared" ref="N40" si="54">G40-G41-G42</f>
        <v>0</v>
      </c>
    </row>
    <row r="41" spans="1:14" x14ac:dyDescent="0.55000000000000004">
      <c r="B41" s="3">
        <v>139451</v>
      </c>
      <c r="C41" s="3">
        <v>136613</v>
      </c>
      <c r="D41" s="3">
        <v>142545</v>
      </c>
      <c r="E41" s="3">
        <v>149781</v>
      </c>
      <c r="F41" s="3"/>
    </row>
    <row r="42" spans="1:14" x14ac:dyDescent="0.55000000000000004">
      <c r="B42" s="3">
        <v>48835</v>
      </c>
      <c r="C42" s="3">
        <v>51754</v>
      </c>
      <c r="D42" s="3">
        <v>48029</v>
      </c>
      <c r="E42" s="3">
        <v>11134</v>
      </c>
      <c r="F42" s="3"/>
    </row>
    <row r="43" spans="1:14" x14ac:dyDescent="0.55000000000000004">
      <c r="A43" t="s">
        <v>51</v>
      </c>
      <c r="B43" s="3">
        <v>12429</v>
      </c>
      <c r="C43" s="3">
        <v>13631</v>
      </c>
      <c r="D43" s="3">
        <v>13911</v>
      </c>
      <c r="E43" s="3"/>
      <c r="F43" s="3"/>
      <c r="G43" s="3"/>
      <c r="H43" s="23"/>
    </row>
    <row r="44" spans="1:14" x14ac:dyDescent="0.55000000000000004">
      <c r="B44" s="3">
        <v>63247</v>
      </c>
      <c r="C44" s="3">
        <v>60854</v>
      </c>
      <c r="D44" s="3">
        <v>62023</v>
      </c>
      <c r="E44" s="3"/>
      <c r="F44" s="3"/>
      <c r="G44" s="3"/>
      <c r="H44" s="23"/>
      <c r="I44" s="3">
        <f t="shared" ref="I44" si="55">B44-B45-B46</f>
        <v>0</v>
      </c>
      <c r="J44" s="3">
        <f t="shared" ref="J44" si="56">C44-C45-C46</f>
        <v>0</v>
      </c>
      <c r="K44" s="3">
        <f t="shared" ref="K44" si="57">D44-D45-D46</f>
        <v>0</v>
      </c>
      <c r="L44" s="3">
        <f t="shared" ref="L44" si="58">E44-E45-E46</f>
        <v>0</v>
      </c>
      <c r="M44" s="3">
        <f t="shared" ref="M44" si="59">F44-F45-F46</f>
        <v>0</v>
      </c>
      <c r="N44" s="3">
        <f t="shared" ref="N44" si="60">G44-G45-G46</f>
        <v>0</v>
      </c>
    </row>
    <row r="45" spans="1:14" x14ac:dyDescent="0.55000000000000004">
      <c r="B45" s="3">
        <v>26625</v>
      </c>
      <c r="C45" s="3">
        <v>36942</v>
      </c>
      <c r="D45" s="3">
        <v>35541</v>
      </c>
      <c r="E45" s="3"/>
      <c r="F45" s="3"/>
      <c r="G45" s="3"/>
      <c r="H45" s="23"/>
    </row>
    <row r="46" spans="1:14" x14ac:dyDescent="0.55000000000000004">
      <c r="B46" s="3">
        <v>36622</v>
      </c>
      <c r="C46" s="3">
        <v>23912</v>
      </c>
      <c r="D46" s="3">
        <v>26482</v>
      </c>
      <c r="E46" s="3"/>
      <c r="F46" s="3"/>
      <c r="G46" s="3"/>
      <c r="H46" s="23"/>
    </row>
    <row r="47" spans="1:14" x14ac:dyDescent="0.55000000000000004">
      <c r="A47" t="s">
        <v>53</v>
      </c>
      <c r="B47" s="3">
        <v>24527</v>
      </c>
      <c r="C47" s="3">
        <v>32391</v>
      </c>
      <c r="D47" s="3">
        <v>25923</v>
      </c>
      <c r="E47" s="3">
        <v>15632</v>
      </c>
      <c r="F47" s="3"/>
      <c r="G47" s="3"/>
      <c r="H47" s="23"/>
    </row>
    <row r="48" spans="1:14" x14ac:dyDescent="0.55000000000000004">
      <c r="B48" s="3">
        <v>174732</v>
      </c>
      <c r="C48" s="3">
        <v>172187</v>
      </c>
      <c r="D48" s="3">
        <v>174809</v>
      </c>
      <c r="E48" s="3">
        <v>154072</v>
      </c>
      <c r="F48" s="3">
        <v>104927</v>
      </c>
      <c r="G48" s="3"/>
      <c r="H48" s="23"/>
      <c r="I48" s="3">
        <f t="shared" ref="I48" si="61">B48-B49-B50</f>
        <v>0</v>
      </c>
      <c r="J48" s="3">
        <f t="shared" ref="J48" si="62">C48-C49-C50</f>
        <v>0</v>
      </c>
      <c r="K48" s="3">
        <f t="shared" ref="K48" si="63">D48-D49-D50</f>
        <v>0</v>
      </c>
      <c r="L48" s="3">
        <f t="shared" ref="L48" si="64">E48-E49-E50</f>
        <v>0</v>
      </c>
      <c r="M48" s="3">
        <f t="shared" ref="M48" si="65">F48-F49-F50</f>
        <v>0</v>
      </c>
      <c r="N48" s="3">
        <f t="shared" ref="N48" si="66">G48-G49-G50</f>
        <v>0</v>
      </c>
    </row>
    <row r="49" spans="1:14" x14ac:dyDescent="0.55000000000000004">
      <c r="B49" s="3">
        <v>87175</v>
      </c>
      <c r="C49" s="3">
        <v>99138</v>
      </c>
      <c r="D49" s="3">
        <v>102833</v>
      </c>
      <c r="E49" s="3">
        <v>101041</v>
      </c>
      <c r="F49" s="3">
        <v>89192</v>
      </c>
      <c r="G49" s="3"/>
      <c r="H49" s="23"/>
    </row>
    <row r="50" spans="1:14" x14ac:dyDescent="0.55000000000000004">
      <c r="B50" s="3">
        <v>87557</v>
      </c>
      <c r="C50" s="3">
        <v>73049</v>
      </c>
      <c r="D50" s="3">
        <v>71976</v>
      </c>
      <c r="E50" s="3">
        <v>53031</v>
      </c>
      <c r="F50" s="3">
        <v>15735</v>
      </c>
      <c r="G50" s="3"/>
      <c r="H50" s="23"/>
    </row>
    <row r="51" spans="1:14" x14ac:dyDescent="0.55000000000000004">
      <c r="A51" t="s">
        <v>54</v>
      </c>
      <c r="B51" s="3">
        <v>24638</v>
      </c>
      <c r="C51" s="3">
        <v>30299</v>
      </c>
      <c r="D51" s="3">
        <v>20399</v>
      </c>
      <c r="E51" s="3">
        <v>12114</v>
      </c>
      <c r="F51" s="3"/>
      <c r="G51" s="3"/>
      <c r="H51" s="23"/>
    </row>
    <row r="52" spans="1:14" x14ac:dyDescent="0.55000000000000004">
      <c r="B52" s="3">
        <v>159233</v>
      </c>
      <c r="C52" s="3">
        <v>100551</v>
      </c>
      <c r="D52" s="3">
        <v>103654</v>
      </c>
      <c r="E52" s="3">
        <v>137183</v>
      </c>
      <c r="F52" s="3"/>
      <c r="G52" s="3"/>
      <c r="H52" s="23"/>
      <c r="I52" s="3">
        <f t="shared" ref="I52" si="67">B52-B53-B54</f>
        <v>0</v>
      </c>
      <c r="J52" s="3">
        <f t="shared" ref="J52" si="68">C52-C53-C54</f>
        <v>-60000</v>
      </c>
      <c r="K52" s="3">
        <f t="shared" ref="K52" si="69">D52-D53-D54</f>
        <v>-60000</v>
      </c>
      <c r="L52" s="3">
        <f t="shared" ref="L52" si="70">E52-E53-E54</f>
        <v>-5</v>
      </c>
      <c r="M52" s="3">
        <f t="shared" ref="M52" si="71">F52-F53-F54</f>
        <v>0</v>
      </c>
      <c r="N52" s="3">
        <f t="shared" ref="N52" si="72">G52-G53-G54</f>
        <v>0</v>
      </c>
    </row>
    <row r="53" spans="1:14" x14ac:dyDescent="0.55000000000000004">
      <c r="B53" s="3">
        <v>72995</v>
      </c>
      <c r="C53" s="3">
        <v>78283</v>
      </c>
      <c r="D53" s="3">
        <v>76676</v>
      </c>
      <c r="E53" s="3">
        <v>89582</v>
      </c>
      <c r="F53" s="3"/>
      <c r="G53" s="3"/>
      <c r="H53" s="23"/>
    </row>
    <row r="54" spans="1:14" x14ac:dyDescent="0.55000000000000004">
      <c r="B54" s="3">
        <v>86238</v>
      </c>
      <c r="C54" s="3">
        <v>82268</v>
      </c>
      <c r="D54" s="3">
        <v>86978</v>
      </c>
      <c r="E54" s="3">
        <v>47606</v>
      </c>
      <c r="F54" s="3"/>
      <c r="G54" s="3"/>
      <c r="H54" s="23"/>
    </row>
    <row r="55" spans="1:14" x14ac:dyDescent="0.55000000000000004">
      <c r="A55" t="s">
        <v>55</v>
      </c>
      <c r="B55" s="3">
        <v>23923</v>
      </c>
      <c r="C55" s="3">
        <v>24366</v>
      </c>
      <c r="D55" s="3">
        <v>24220</v>
      </c>
      <c r="E55" s="3">
        <v>12568</v>
      </c>
      <c r="F55" s="3"/>
      <c r="G55" s="3"/>
      <c r="H55" s="23"/>
    </row>
    <row r="56" spans="1:14" x14ac:dyDescent="0.55000000000000004">
      <c r="B56" s="3">
        <v>123200</v>
      </c>
      <c r="C56" s="3">
        <v>125067</v>
      </c>
      <c r="D56" s="3">
        <v>120363</v>
      </c>
      <c r="E56" s="3">
        <v>108493</v>
      </c>
      <c r="F56" s="3"/>
      <c r="G56" s="3"/>
      <c r="H56" s="23"/>
      <c r="I56" s="3">
        <f t="shared" ref="I56" si="73">B56-B57-B58</f>
        <v>0</v>
      </c>
      <c r="J56" s="3">
        <f t="shared" ref="J56" si="74">C56-C57-C58</f>
        <v>0</v>
      </c>
      <c r="K56" s="3">
        <f t="shared" ref="K56" si="75">D56-D57-D58</f>
        <v>-6000</v>
      </c>
      <c r="L56" s="3">
        <f t="shared" ref="L56" si="76">E56-E57-E58</f>
        <v>0</v>
      </c>
      <c r="M56" s="3">
        <f t="shared" ref="M56" si="77">F56-F57-F58</f>
        <v>0</v>
      </c>
      <c r="N56" s="3">
        <f t="shared" ref="N56" si="78">G56-G57-G58</f>
        <v>0</v>
      </c>
    </row>
    <row r="57" spans="1:14" x14ac:dyDescent="0.55000000000000004">
      <c r="B57" s="3">
        <v>84070</v>
      </c>
      <c r="C57" s="3">
        <v>85265</v>
      </c>
      <c r="D57" s="3">
        <v>86173</v>
      </c>
      <c r="E57" s="3">
        <v>84471</v>
      </c>
      <c r="F57" s="3"/>
      <c r="G57" s="3"/>
      <c r="H57" s="23"/>
    </row>
    <row r="58" spans="1:14" x14ac:dyDescent="0.55000000000000004">
      <c r="B58" s="3">
        <v>39130</v>
      </c>
      <c r="C58" s="3">
        <v>39802</v>
      </c>
      <c r="D58" s="3">
        <v>40190</v>
      </c>
      <c r="E58" s="3">
        <v>24022</v>
      </c>
      <c r="F58" s="3"/>
      <c r="G58" s="3"/>
      <c r="H58" s="23"/>
    </row>
    <row r="59" spans="1:14" x14ac:dyDescent="0.55000000000000004">
      <c r="A59" t="s">
        <v>56</v>
      </c>
      <c r="B59" s="3">
        <v>12591</v>
      </c>
      <c r="C59" s="3">
        <v>18089</v>
      </c>
      <c r="D59" s="3">
        <v>9840</v>
      </c>
      <c r="E59" s="3">
        <v>4814</v>
      </c>
      <c r="F59" s="3">
        <v>4719</v>
      </c>
      <c r="G59" s="3">
        <v>6290</v>
      </c>
      <c r="H59" s="23"/>
    </row>
    <row r="60" spans="1:14" x14ac:dyDescent="0.55000000000000004">
      <c r="B60" s="3">
        <v>69276</v>
      </c>
      <c r="C60" s="3">
        <v>68354</v>
      </c>
      <c r="D60" s="3">
        <v>69704</v>
      </c>
      <c r="E60" s="3">
        <v>61575</v>
      </c>
      <c r="F60" s="3">
        <v>42218</v>
      </c>
      <c r="G60" s="3">
        <v>30446</v>
      </c>
      <c r="H60" s="23"/>
      <c r="I60" s="3">
        <f t="shared" ref="I60" si="79">B60-B61-B62</f>
        <v>0</v>
      </c>
      <c r="J60" s="3">
        <f t="shared" ref="J60" si="80">C60-C61-C62</f>
        <v>6000</v>
      </c>
      <c r="K60" s="3">
        <f t="shared" ref="K60" si="81">D60-D61-D62</f>
        <v>0</v>
      </c>
      <c r="L60" s="3">
        <f t="shared" ref="L60" si="82">E60-E61-E62</f>
        <v>0</v>
      </c>
      <c r="M60" s="3">
        <f t="shared" ref="M60" si="83">F60-F61-F62</f>
        <v>0</v>
      </c>
      <c r="N60" s="3">
        <f t="shared" ref="N60" si="84">G60-G61-G62</f>
        <v>0</v>
      </c>
    </row>
    <row r="61" spans="1:14" x14ac:dyDescent="0.55000000000000004">
      <c r="B61" s="3">
        <v>44029</v>
      </c>
      <c r="C61" s="3">
        <v>40090</v>
      </c>
      <c r="D61" s="3">
        <v>48265</v>
      </c>
      <c r="E61" s="3">
        <v>44333</v>
      </c>
      <c r="F61" s="3">
        <v>36782</v>
      </c>
      <c r="G61" s="3">
        <v>34136</v>
      </c>
      <c r="H61" s="23"/>
    </row>
    <row r="62" spans="1:14" x14ac:dyDescent="0.55000000000000004">
      <c r="B62" s="3">
        <v>25247</v>
      </c>
      <c r="C62" s="3">
        <v>22264</v>
      </c>
      <c r="D62" s="3">
        <v>21439</v>
      </c>
      <c r="E62" s="3">
        <v>17242</v>
      </c>
      <c r="F62" s="3">
        <v>5436</v>
      </c>
      <c r="G62" s="3">
        <v>-3690</v>
      </c>
      <c r="H62" s="23"/>
    </row>
    <row r="63" spans="1:14" x14ac:dyDescent="0.55000000000000004">
      <c r="A63" t="s">
        <v>57</v>
      </c>
      <c r="B63" s="3">
        <v>35767</v>
      </c>
      <c r="C63" s="3">
        <v>37535</v>
      </c>
      <c r="D63" s="3">
        <v>29496</v>
      </c>
      <c r="E63" s="3"/>
      <c r="F63" s="3"/>
      <c r="G63" s="3"/>
      <c r="H63" s="23"/>
    </row>
    <row r="64" spans="1:14" x14ac:dyDescent="0.55000000000000004">
      <c r="B64" s="3">
        <v>182024</v>
      </c>
      <c r="C64" s="3">
        <v>175110</v>
      </c>
      <c r="D64" s="3">
        <v>183123</v>
      </c>
      <c r="E64" s="3">
        <v>152405</v>
      </c>
      <c r="F64" s="3"/>
      <c r="G64" s="3"/>
      <c r="H64" s="23"/>
      <c r="I64" s="3">
        <f t="shared" ref="I64" si="85">B64-B65-B66</f>
        <v>0</v>
      </c>
      <c r="J64" s="3">
        <f t="shared" ref="J64" si="86">C64-C65-C66</f>
        <v>0</v>
      </c>
      <c r="K64" s="3">
        <f t="shared" ref="K64" si="87">D64-D65-D66</f>
        <v>0</v>
      </c>
      <c r="L64" s="3">
        <f t="shared" ref="L64" si="88">E64-E65-E66</f>
        <v>0</v>
      </c>
      <c r="M64" s="3">
        <f t="shared" ref="M64" si="89">F64-F65-F66</f>
        <v>0</v>
      </c>
      <c r="N64" s="3">
        <f t="shared" ref="N64" si="90">G64-G65-G66</f>
        <v>0</v>
      </c>
    </row>
    <row r="65" spans="1:14" x14ac:dyDescent="0.55000000000000004">
      <c r="B65" s="3">
        <v>92109</v>
      </c>
      <c r="C65" s="3">
        <v>104327</v>
      </c>
      <c r="D65" s="3">
        <v>107838</v>
      </c>
      <c r="E65" s="3">
        <v>116408</v>
      </c>
      <c r="F65" s="3"/>
      <c r="G65" s="3"/>
      <c r="H65" s="23"/>
    </row>
    <row r="66" spans="1:14" x14ac:dyDescent="0.55000000000000004">
      <c r="B66" s="3">
        <v>89915</v>
      </c>
      <c r="C66" s="3">
        <v>70783</v>
      </c>
      <c r="D66" s="3">
        <v>75285</v>
      </c>
      <c r="E66" s="3">
        <v>35997</v>
      </c>
      <c r="F66" s="3"/>
      <c r="G66" s="3"/>
      <c r="H66" s="23"/>
    </row>
    <row r="67" spans="1:14" x14ac:dyDescent="0.55000000000000004">
      <c r="A67" t="s">
        <v>58</v>
      </c>
      <c r="B67" s="3">
        <v>9220</v>
      </c>
      <c r="C67" s="3">
        <v>9393</v>
      </c>
      <c r="D67" s="3">
        <v>9110</v>
      </c>
      <c r="E67" s="3"/>
      <c r="F67" s="3"/>
      <c r="G67" s="3"/>
      <c r="H67" s="23"/>
    </row>
    <row r="68" spans="1:14" x14ac:dyDescent="0.55000000000000004">
      <c r="B68" s="3">
        <v>49780</v>
      </c>
      <c r="C68" s="3">
        <v>50344</v>
      </c>
      <c r="D68" s="3">
        <v>51346</v>
      </c>
      <c r="E68" s="3"/>
      <c r="F68" s="3"/>
      <c r="G68" s="3"/>
      <c r="H68" s="23"/>
      <c r="I68" s="3">
        <f t="shared" ref="I68" si="91">B68-B69-B70</f>
        <v>0</v>
      </c>
      <c r="J68" s="3">
        <f t="shared" ref="J68" si="92">C68-C69-C70</f>
        <v>0</v>
      </c>
      <c r="K68" s="3">
        <f t="shared" ref="K68" si="93">D68-D69-D70</f>
        <v>0</v>
      </c>
      <c r="L68" s="3">
        <f t="shared" ref="L68" si="94">E68-E69-E70</f>
        <v>0</v>
      </c>
      <c r="M68" s="3">
        <f t="shared" ref="M68" si="95">F68-F69-F70</f>
        <v>0</v>
      </c>
      <c r="N68" s="3">
        <f t="shared" ref="N68" si="96">G68-G69-G70</f>
        <v>0</v>
      </c>
    </row>
    <row r="69" spans="1:14" x14ac:dyDescent="0.55000000000000004">
      <c r="B69" s="3">
        <v>30322</v>
      </c>
      <c r="C69" s="3">
        <v>30733</v>
      </c>
      <c r="D69" s="3">
        <v>31414</v>
      </c>
      <c r="E69" s="3"/>
      <c r="F69" s="3"/>
      <c r="G69" s="3"/>
      <c r="H69" s="23"/>
    </row>
    <row r="70" spans="1:14" x14ac:dyDescent="0.55000000000000004">
      <c r="B70" s="3">
        <v>19458</v>
      </c>
      <c r="C70" s="3">
        <v>19611</v>
      </c>
      <c r="D70" s="3">
        <v>19932</v>
      </c>
      <c r="E70" s="3"/>
      <c r="F70" s="3"/>
      <c r="G70" s="3"/>
      <c r="H70" s="23"/>
    </row>
    <row r="71" spans="1:14" x14ac:dyDescent="0.55000000000000004">
      <c r="A71" t="s">
        <v>59</v>
      </c>
      <c r="B71" s="3">
        <v>13290</v>
      </c>
      <c r="C71" s="3">
        <v>16116</v>
      </c>
      <c r="D71" s="3">
        <v>13655</v>
      </c>
      <c r="E71" s="3">
        <v>5705</v>
      </c>
      <c r="F71" s="3"/>
      <c r="G71" s="3"/>
      <c r="H71" s="23"/>
    </row>
    <row r="72" spans="1:14" x14ac:dyDescent="0.55000000000000004">
      <c r="B72" s="3">
        <v>76670</v>
      </c>
      <c r="C72" s="3">
        <v>80394</v>
      </c>
      <c r="D72" s="3">
        <v>84144</v>
      </c>
      <c r="E72" s="3">
        <v>70008</v>
      </c>
      <c r="F72" s="3"/>
      <c r="G72" s="3"/>
      <c r="H72" s="23"/>
      <c r="I72" s="3">
        <f t="shared" ref="I72" si="97">B72-B73-B74</f>
        <v>0</v>
      </c>
      <c r="J72" s="3">
        <f t="shared" ref="J72" si="98">C72-C73-C74</f>
        <v>0</v>
      </c>
      <c r="K72" s="3">
        <f t="shared" ref="K72" si="99">D72-D73-D74</f>
        <v>0</v>
      </c>
      <c r="L72" s="3">
        <f t="shared" ref="L72" si="100">E72-E73-E74</f>
        <v>0</v>
      </c>
      <c r="M72" s="3">
        <f t="shared" ref="M72" si="101">F72-F73-F74</f>
        <v>0</v>
      </c>
      <c r="N72" s="3">
        <f t="shared" ref="N72" si="102">G72-G73-G74</f>
        <v>0</v>
      </c>
    </row>
    <row r="73" spans="1:14" x14ac:dyDescent="0.55000000000000004">
      <c r="B73" s="3">
        <v>53047</v>
      </c>
      <c r="C73" s="3">
        <v>54758</v>
      </c>
      <c r="D73" s="3">
        <v>50241</v>
      </c>
      <c r="E73" s="3">
        <v>47501</v>
      </c>
      <c r="F73" s="3"/>
      <c r="G73" s="3"/>
      <c r="H73" s="23"/>
    </row>
    <row r="74" spans="1:14" x14ac:dyDescent="0.55000000000000004">
      <c r="B74" s="3">
        <v>23623</v>
      </c>
      <c r="C74" s="3">
        <v>25636</v>
      </c>
      <c r="D74" s="3">
        <v>33903</v>
      </c>
      <c r="E74" s="3">
        <v>22507</v>
      </c>
      <c r="F74" s="3"/>
      <c r="G74" s="3"/>
      <c r="H74" s="23"/>
    </row>
    <row r="75" spans="1:14" x14ac:dyDescent="0.55000000000000004">
      <c r="A75" t="s">
        <v>60</v>
      </c>
      <c r="B75" s="3">
        <v>4183</v>
      </c>
      <c r="C75" s="3">
        <v>4531</v>
      </c>
      <c r="D75" s="3">
        <v>4612</v>
      </c>
      <c r="E75" s="3"/>
      <c r="F75" s="3"/>
      <c r="G75" s="3"/>
      <c r="H75" s="23"/>
    </row>
    <row r="76" spans="1:14" x14ac:dyDescent="0.55000000000000004">
      <c r="B76" s="3">
        <v>14467</v>
      </c>
      <c r="C76" s="3">
        <v>14629</v>
      </c>
      <c r="D76" s="3">
        <v>14341</v>
      </c>
      <c r="E76" s="3"/>
      <c r="F76" s="3"/>
      <c r="G76" s="3"/>
      <c r="H76" s="23"/>
      <c r="I76" s="3">
        <f t="shared" ref="I76" si="103">B76-B77-B78</f>
        <v>0</v>
      </c>
      <c r="J76" s="3">
        <f t="shared" ref="J76" si="104">C76-C77-C78</f>
        <v>0</v>
      </c>
      <c r="K76" s="3">
        <f t="shared" ref="K76" si="105">D76-D77-D78</f>
        <v>0</v>
      </c>
      <c r="L76" s="3">
        <f t="shared" ref="L76" si="106">E76-E77-E78</f>
        <v>0</v>
      </c>
      <c r="M76" s="3">
        <f t="shared" ref="M76" si="107">F76-F77-F78</f>
        <v>0</v>
      </c>
      <c r="N76" s="3">
        <f t="shared" ref="N76" si="108">G76-G77-G78</f>
        <v>0</v>
      </c>
    </row>
    <row r="77" spans="1:14" x14ac:dyDescent="0.55000000000000004">
      <c r="B77" s="3">
        <v>10830</v>
      </c>
      <c r="C77" s="3">
        <v>11848</v>
      </c>
      <c r="D77" s="3">
        <v>11957</v>
      </c>
      <c r="E77" s="3"/>
      <c r="F77" s="3"/>
      <c r="G77" s="3"/>
      <c r="H77" s="23"/>
    </row>
    <row r="78" spans="1:14" x14ac:dyDescent="0.55000000000000004">
      <c r="B78" s="3">
        <v>3637</v>
      </c>
      <c r="C78" s="3">
        <v>2781</v>
      </c>
      <c r="D78" s="3">
        <v>2384</v>
      </c>
      <c r="E78" s="3"/>
      <c r="F78" s="3"/>
      <c r="G78" s="3"/>
      <c r="H78" s="23"/>
    </row>
    <row r="79" spans="1:14" x14ac:dyDescent="0.55000000000000004">
      <c r="A79" t="s">
        <v>61</v>
      </c>
      <c r="B79" s="3">
        <v>23708</v>
      </c>
      <c r="C79" s="3">
        <v>23574</v>
      </c>
      <c r="D79" s="3">
        <v>18207</v>
      </c>
      <c r="E79" s="3">
        <v>11585</v>
      </c>
      <c r="F79" s="3"/>
      <c r="G79" s="3"/>
      <c r="H79" s="23"/>
    </row>
    <row r="80" spans="1:14" x14ac:dyDescent="0.55000000000000004">
      <c r="B80" s="3">
        <v>145050</v>
      </c>
      <c r="C80" s="3">
        <v>144236</v>
      </c>
      <c r="D80" s="3">
        <v>138985</v>
      </c>
      <c r="E80" s="3">
        <v>125864</v>
      </c>
      <c r="F80" s="3"/>
      <c r="G80" s="3"/>
      <c r="H80" s="23"/>
      <c r="I80" s="3">
        <f t="shared" ref="I80" si="109">B80-B81-B82</f>
        <v>0</v>
      </c>
      <c r="J80" s="3">
        <f t="shared" ref="J80" si="110">C80-C81-C82</f>
        <v>0</v>
      </c>
      <c r="K80" s="3">
        <f t="shared" ref="K80" si="111">D80-D81-D82</f>
        <v>20</v>
      </c>
      <c r="L80" s="3">
        <f t="shared" ref="L80" si="112">E80-E81-E82</f>
        <v>0</v>
      </c>
      <c r="M80" s="3">
        <f t="shared" ref="M80" si="113">F80-F81-F82</f>
        <v>0</v>
      </c>
      <c r="N80" s="3">
        <f t="shared" ref="N80" si="114">G80-G81-G82</f>
        <v>0</v>
      </c>
    </row>
    <row r="81" spans="1:14" x14ac:dyDescent="0.55000000000000004">
      <c r="B81" s="3">
        <v>88041</v>
      </c>
      <c r="C81" s="3">
        <v>87667</v>
      </c>
      <c r="D81" s="3">
        <v>81912</v>
      </c>
      <c r="E81" s="3">
        <v>81346</v>
      </c>
      <c r="F81" s="3"/>
      <c r="G81" s="3"/>
      <c r="H81" s="23"/>
    </row>
    <row r="82" spans="1:14" x14ac:dyDescent="0.55000000000000004">
      <c r="B82" s="3">
        <v>57009</v>
      </c>
      <c r="C82" s="3">
        <v>56569</v>
      </c>
      <c r="D82" s="3">
        <v>57053</v>
      </c>
      <c r="E82" s="3">
        <v>44518</v>
      </c>
      <c r="F82" s="3"/>
      <c r="G82" s="3"/>
      <c r="H82" s="23"/>
    </row>
    <row r="83" spans="1:14" x14ac:dyDescent="0.55000000000000004">
      <c r="A83" t="s">
        <v>62</v>
      </c>
      <c r="B83" s="3">
        <v>11031</v>
      </c>
      <c r="C83" s="3">
        <v>11196</v>
      </c>
      <c r="D83" s="3">
        <v>9615</v>
      </c>
      <c r="E83" s="3"/>
      <c r="F83" s="3"/>
      <c r="G83" s="3"/>
      <c r="H83" s="23"/>
    </row>
    <row r="84" spans="1:14" x14ac:dyDescent="0.55000000000000004">
      <c r="B84" s="3">
        <v>34481</v>
      </c>
      <c r="C84" s="3">
        <v>34803</v>
      </c>
      <c r="D84" s="3">
        <v>31160</v>
      </c>
      <c r="E84" s="3">
        <v>22197</v>
      </c>
      <c r="F84" s="3"/>
      <c r="G84" s="3"/>
      <c r="H84" s="23"/>
      <c r="I84" s="3">
        <f t="shared" ref="I84" si="115">B84-B85-B86</f>
        <v>6000</v>
      </c>
      <c r="J84" s="3">
        <f t="shared" ref="J84" si="116">C84-C85-C86</f>
        <v>0</v>
      </c>
      <c r="K84" s="3">
        <f t="shared" ref="K84" si="117">D84-D85-D86</f>
        <v>0</v>
      </c>
      <c r="L84" s="3">
        <f t="shared" ref="L84" si="118">E84-E85-E86</f>
        <v>0</v>
      </c>
      <c r="M84" s="3">
        <f t="shared" ref="M84" si="119">F84-F85-F86</f>
        <v>0</v>
      </c>
      <c r="N84" s="3">
        <f t="shared" ref="N84" si="120">G84-G85-G86</f>
        <v>0</v>
      </c>
    </row>
    <row r="85" spans="1:14" x14ac:dyDescent="0.55000000000000004">
      <c r="B85" s="3">
        <v>20888</v>
      </c>
      <c r="C85" s="3">
        <v>27110</v>
      </c>
      <c r="D85" s="3">
        <v>25155</v>
      </c>
      <c r="E85" s="3">
        <v>25256</v>
      </c>
      <c r="F85" s="3"/>
      <c r="G85" s="3"/>
      <c r="H85" s="23"/>
    </row>
    <row r="86" spans="1:14" x14ac:dyDescent="0.55000000000000004">
      <c r="B86" s="3">
        <v>7593</v>
      </c>
      <c r="C86" s="3">
        <v>7693</v>
      </c>
      <c r="D86" s="3">
        <v>6005</v>
      </c>
      <c r="E86" s="3">
        <v>-3059</v>
      </c>
      <c r="F86" s="3"/>
      <c r="G86" s="3"/>
      <c r="H86" s="23"/>
    </row>
    <row r="87" spans="1:14" x14ac:dyDescent="0.55000000000000004">
      <c r="A87" t="s">
        <v>63</v>
      </c>
      <c r="B87" s="3">
        <v>20563</v>
      </c>
      <c r="C87" s="3">
        <v>22316</v>
      </c>
      <c r="D87" s="3">
        <v>16003</v>
      </c>
      <c r="E87" s="3"/>
      <c r="F87" s="3"/>
      <c r="G87" s="3"/>
      <c r="H87" s="23"/>
    </row>
    <row r="88" spans="1:14" x14ac:dyDescent="0.55000000000000004">
      <c r="B88" s="3">
        <v>112310</v>
      </c>
      <c r="C88" s="3">
        <v>109690</v>
      </c>
      <c r="D88" s="3">
        <v>110416</v>
      </c>
      <c r="E88" s="3">
        <v>89808</v>
      </c>
      <c r="F88" s="3"/>
      <c r="G88" s="3"/>
      <c r="H88" s="23"/>
      <c r="I88" s="3">
        <f t="shared" ref="I88" si="121">B88-B89-B90</f>
        <v>0</v>
      </c>
      <c r="J88" s="3">
        <f t="shared" ref="J88" si="122">C88-C89-C90</f>
        <v>0</v>
      </c>
      <c r="K88" s="3">
        <f t="shared" ref="K88" si="123">D88-D89-D90</f>
        <v>0</v>
      </c>
      <c r="L88" s="3">
        <f t="shared" ref="L88" si="124">E88-E89-E90</f>
        <v>0</v>
      </c>
      <c r="M88" s="3">
        <f t="shared" ref="M88" si="125">F88-F89-F90</f>
        <v>0</v>
      </c>
      <c r="N88" s="3">
        <f t="shared" ref="N88" si="126">G88-G89-G90</f>
        <v>0</v>
      </c>
    </row>
    <row r="89" spans="1:14" x14ac:dyDescent="0.55000000000000004">
      <c r="B89" s="3">
        <v>52331</v>
      </c>
      <c r="C89" s="3">
        <v>55376</v>
      </c>
      <c r="D89" s="3">
        <v>60057</v>
      </c>
      <c r="E89" s="3">
        <v>69862</v>
      </c>
      <c r="F89" s="3"/>
      <c r="G89" s="3"/>
      <c r="H89" s="23"/>
    </row>
    <row r="90" spans="1:14" x14ac:dyDescent="0.55000000000000004">
      <c r="B90" s="3">
        <v>59979</v>
      </c>
      <c r="C90" s="3">
        <v>54314</v>
      </c>
      <c r="D90" s="3">
        <v>50359</v>
      </c>
      <c r="E90" s="3">
        <v>19946</v>
      </c>
      <c r="F90" s="3"/>
      <c r="G90" s="3"/>
      <c r="H90" s="23"/>
    </row>
    <row r="91" spans="1:14" x14ac:dyDescent="0.55000000000000004">
      <c r="A91" t="s">
        <v>64</v>
      </c>
      <c r="B91" s="3">
        <v>15670</v>
      </c>
      <c r="C91" s="3">
        <v>18841</v>
      </c>
      <c r="D91" s="3">
        <v>17910</v>
      </c>
      <c r="E91" s="3"/>
      <c r="F91" s="3"/>
      <c r="G91" s="3"/>
      <c r="H91" s="23"/>
    </row>
    <row r="92" spans="1:14" x14ac:dyDescent="0.55000000000000004">
      <c r="B92" s="3">
        <v>86251</v>
      </c>
      <c r="C92" s="3">
        <v>86679</v>
      </c>
      <c r="D92" s="3">
        <v>88095</v>
      </c>
      <c r="E92" s="3">
        <v>87608</v>
      </c>
      <c r="F92" s="3"/>
      <c r="G92" s="3"/>
      <c r="H92" s="23"/>
      <c r="I92" s="3">
        <f t="shared" ref="I92" si="127">B92-B93-B94</f>
        <v>0</v>
      </c>
      <c r="J92" s="3">
        <f t="shared" ref="J92" si="128">C92-C93-C94</f>
        <v>0</v>
      </c>
      <c r="K92" s="3">
        <f t="shared" ref="K92" si="129">D92-D93-D94</f>
        <v>0</v>
      </c>
      <c r="L92" s="3">
        <f t="shared" ref="L92" si="130">E92-E93-E94</f>
        <v>0</v>
      </c>
      <c r="M92" s="3">
        <f t="shared" ref="M92" si="131">F92-F93-F94</f>
        <v>0</v>
      </c>
      <c r="N92" s="3">
        <f t="shared" ref="N92" si="132">G92-G93-G94</f>
        <v>0</v>
      </c>
    </row>
    <row r="93" spans="1:14" x14ac:dyDescent="0.55000000000000004">
      <c r="B93" s="3">
        <v>41627</v>
      </c>
      <c r="C93" s="3">
        <v>44621</v>
      </c>
      <c r="D93" s="3">
        <v>46781</v>
      </c>
      <c r="E93" s="3">
        <v>46164</v>
      </c>
      <c r="F93" s="3"/>
      <c r="G93" s="3"/>
      <c r="H93" s="23"/>
    </row>
    <row r="94" spans="1:14" x14ac:dyDescent="0.55000000000000004">
      <c r="B94" s="3">
        <v>44624</v>
      </c>
      <c r="C94" s="3">
        <v>42058</v>
      </c>
      <c r="D94" s="3">
        <v>41314</v>
      </c>
      <c r="E94" s="3">
        <v>41444</v>
      </c>
      <c r="F94" s="3"/>
      <c r="G94" s="3"/>
      <c r="H94" s="23"/>
    </row>
    <row r="95" spans="1:14" x14ac:dyDescent="0.55000000000000004">
      <c r="A95" t="s">
        <v>65</v>
      </c>
      <c r="B95" s="3">
        <v>12403</v>
      </c>
      <c r="C95" s="3">
        <v>13432</v>
      </c>
      <c r="D95" s="3">
        <v>10194</v>
      </c>
      <c r="E95" s="3">
        <v>4036</v>
      </c>
      <c r="F95" s="3">
        <v>4193</v>
      </c>
      <c r="G95" s="3"/>
      <c r="H95" s="23"/>
    </row>
    <row r="96" spans="1:14" x14ac:dyDescent="0.55000000000000004">
      <c r="B96" s="3">
        <v>81101</v>
      </c>
      <c r="C96" s="3">
        <v>79333</v>
      </c>
      <c r="D96" s="3">
        <v>81710</v>
      </c>
      <c r="E96" s="3">
        <v>69324</v>
      </c>
      <c r="F96" s="3">
        <v>55901</v>
      </c>
      <c r="G96" s="3"/>
      <c r="H96" s="23"/>
      <c r="I96" s="3">
        <f t="shared" ref="I96" si="133">B96-B97-B98</f>
        <v>0</v>
      </c>
      <c r="J96" s="3">
        <f t="shared" ref="J96" si="134">C96-C97-C98</f>
        <v>0</v>
      </c>
      <c r="K96" s="3">
        <f t="shared" ref="K96" si="135">D96-D97-D98</f>
        <v>0</v>
      </c>
      <c r="L96" s="3">
        <f t="shared" ref="L96" si="136">E96-E97-E98</f>
        <v>0</v>
      </c>
      <c r="M96" s="3">
        <f t="shared" ref="M96" si="137">F96-F97-F98</f>
        <v>0</v>
      </c>
      <c r="N96" s="3">
        <f t="shared" ref="N96" si="138">G96-G97-G98</f>
        <v>0</v>
      </c>
    </row>
    <row r="97" spans="1:14" x14ac:dyDescent="0.55000000000000004">
      <c r="B97" s="3">
        <v>53911</v>
      </c>
      <c r="C97" s="3">
        <v>57392</v>
      </c>
      <c r="D97" s="3">
        <v>54159</v>
      </c>
      <c r="E97" s="3">
        <v>50067</v>
      </c>
      <c r="F97" s="3">
        <v>45451</v>
      </c>
      <c r="G97" s="3"/>
      <c r="H97" s="23"/>
    </row>
    <row r="98" spans="1:14" x14ac:dyDescent="0.55000000000000004">
      <c r="B98" s="3">
        <v>27190</v>
      </c>
      <c r="C98" s="3">
        <v>21941</v>
      </c>
      <c r="D98" s="3">
        <v>27551</v>
      </c>
      <c r="E98" s="3">
        <v>19257</v>
      </c>
      <c r="F98" s="3">
        <v>10450</v>
      </c>
      <c r="G98" s="3"/>
      <c r="H98" s="23"/>
    </row>
    <row r="99" spans="1:14" x14ac:dyDescent="0.55000000000000004">
      <c r="A99" t="s">
        <v>66</v>
      </c>
      <c r="B99" s="3">
        <v>9564</v>
      </c>
      <c r="C99" s="3">
        <v>10093</v>
      </c>
      <c r="D99" s="3">
        <v>9679</v>
      </c>
      <c r="E99" s="3">
        <v>7478</v>
      </c>
      <c r="F99" s="3">
        <v>7623</v>
      </c>
      <c r="G99" s="3">
        <v>9900</v>
      </c>
      <c r="H99" s="23"/>
    </row>
    <row r="100" spans="1:14" x14ac:dyDescent="0.55000000000000004">
      <c r="B100" s="3">
        <v>54831</v>
      </c>
      <c r="C100" s="3">
        <v>54649</v>
      </c>
      <c r="D100" s="3">
        <v>54373</v>
      </c>
      <c r="E100" s="3">
        <v>49738</v>
      </c>
      <c r="F100" s="3">
        <v>37375</v>
      </c>
      <c r="G100" s="3">
        <v>36284</v>
      </c>
      <c r="H100" s="23"/>
      <c r="I100" s="3">
        <f t="shared" ref="I100" si="139">B100-B101-B102</f>
        <v>0</v>
      </c>
      <c r="J100" s="3">
        <f t="shared" ref="J100" si="140">C100-C101-C102</f>
        <v>0</v>
      </c>
      <c r="K100" s="3">
        <f t="shared" ref="K100" si="141">D100-D101-D102</f>
        <v>0</v>
      </c>
      <c r="L100" s="3">
        <f t="shared" ref="L100" si="142">E100-E101-E102</f>
        <v>0</v>
      </c>
      <c r="M100" s="3">
        <f t="shared" ref="M100" si="143">F100-F101-F102</f>
        <v>0</v>
      </c>
      <c r="N100" s="3">
        <f t="shared" ref="N100" si="144">G100-G101-G102</f>
        <v>0</v>
      </c>
    </row>
    <row r="101" spans="1:14" x14ac:dyDescent="0.55000000000000004">
      <c r="B101" s="3">
        <v>39881</v>
      </c>
      <c r="C101" s="3">
        <v>41940</v>
      </c>
      <c r="D101" s="3">
        <v>42198</v>
      </c>
      <c r="E101" s="3">
        <v>52710</v>
      </c>
      <c r="F101" s="3">
        <v>49714</v>
      </c>
      <c r="G101" s="3">
        <v>44542</v>
      </c>
      <c r="H101" s="23"/>
    </row>
    <row r="102" spans="1:14" x14ac:dyDescent="0.55000000000000004">
      <c r="B102" s="3">
        <v>14950</v>
      </c>
      <c r="C102" s="3">
        <v>12709</v>
      </c>
      <c r="D102" s="3">
        <v>12175</v>
      </c>
      <c r="E102" s="3">
        <v>-2972</v>
      </c>
      <c r="F102" s="3">
        <v>-12339</v>
      </c>
      <c r="G102" s="3">
        <v>-8258</v>
      </c>
      <c r="H102" s="23"/>
    </row>
    <row r="103" spans="1:14" x14ac:dyDescent="0.55000000000000004">
      <c r="A103" t="s">
        <v>67</v>
      </c>
      <c r="B103" s="3">
        <v>14713</v>
      </c>
      <c r="C103" s="3">
        <v>16625</v>
      </c>
      <c r="D103" s="3">
        <v>12607</v>
      </c>
      <c r="E103" s="3">
        <v>5715</v>
      </c>
      <c r="F103" s="3"/>
      <c r="G103" s="3"/>
      <c r="H103" s="23"/>
    </row>
    <row r="104" spans="1:14" x14ac:dyDescent="0.55000000000000004">
      <c r="B104" s="3">
        <v>95763</v>
      </c>
      <c r="C104" s="3">
        <v>94474</v>
      </c>
      <c r="D104" s="3">
        <v>96923</v>
      </c>
      <c r="E104" s="3">
        <v>80210</v>
      </c>
      <c r="F104" s="3">
        <v>56918</v>
      </c>
      <c r="G104" s="3">
        <v>34144</v>
      </c>
      <c r="H104" s="23"/>
      <c r="I104" s="3">
        <f t="shared" ref="I104" si="145">B104-B105-B106</f>
        <v>0</v>
      </c>
      <c r="J104" s="3">
        <f t="shared" ref="J104" si="146">C104-C105-C106</f>
        <v>0</v>
      </c>
      <c r="K104" s="3">
        <f t="shared" ref="K104" si="147">D104-D105-D106</f>
        <v>6000</v>
      </c>
      <c r="L104" s="3">
        <f t="shared" ref="L104" si="148">E104-E105-E106</f>
        <v>0</v>
      </c>
      <c r="M104" s="3">
        <f t="shared" ref="M104" si="149">F104-F105-F106</f>
        <v>0</v>
      </c>
      <c r="N104" s="3">
        <f t="shared" ref="N104" si="150">G104-G105-G106</f>
        <v>0</v>
      </c>
    </row>
    <row r="105" spans="1:14" x14ac:dyDescent="0.55000000000000004">
      <c r="B105" s="3">
        <v>60734</v>
      </c>
      <c r="C105" s="3">
        <v>66366</v>
      </c>
      <c r="D105" s="3">
        <v>60172</v>
      </c>
      <c r="E105" s="3">
        <v>57175</v>
      </c>
      <c r="F105" s="3">
        <v>44672</v>
      </c>
      <c r="G105" s="3">
        <v>36168</v>
      </c>
      <c r="H105" s="23"/>
    </row>
    <row r="106" spans="1:14" x14ac:dyDescent="0.55000000000000004">
      <c r="B106" s="3">
        <v>35029</v>
      </c>
      <c r="C106" s="3">
        <v>28108</v>
      </c>
      <c r="D106" s="3">
        <v>30751</v>
      </c>
      <c r="E106" s="3">
        <v>23035</v>
      </c>
      <c r="F106" s="3">
        <v>12246</v>
      </c>
      <c r="G106" s="3">
        <v>-2024</v>
      </c>
      <c r="H106" s="23"/>
    </row>
    <row r="107" spans="1:14" x14ac:dyDescent="0.55000000000000004">
      <c r="A107" t="s">
        <v>68</v>
      </c>
      <c r="B107" s="3">
        <v>11911</v>
      </c>
      <c r="C107" s="3">
        <v>14932</v>
      </c>
      <c r="D107" s="3">
        <v>11806</v>
      </c>
      <c r="E107" s="3">
        <v>4791</v>
      </c>
      <c r="F107" s="3"/>
      <c r="G107" s="3"/>
      <c r="H107" s="23"/>
    </row>
    <row r="108" spans="1:14" x14ac:dyDescent="0.55000000000000004">
      <c r="B108" s="3">
        <v>68794</v>
      </c>
      <c r="C108" s="3">
        <v>70780</v>
      </c>
      <c r="D108" s="3">
        <v>74673</v>
      </c>
      <c r="E108" s="3">
        <v>61757</v>
      </c>
      <c r="F108" s="3">
        <v>49022</v>
      </c>
      <c r="G108" s="3"/>
      <c r="H108" s="23"/>
      <c r="I108" s="3">
        <f t="shared" ref="I108" si="151">B108-B109-B110</f>
        <v>0</v>
      </c>
      <c r="J108" s="3">
        <f t="shared" ref="J108" si="152">C108-C109-C110</f>
        <v>0</v>
      </c>
      <c r="K108" s="3">
        <f t="shared" ref="K108" si="153">D108-D109-D110</f>
        <v>0</v>
      </c>
      <c r="L108" s="3">
        <f t="shared" ref="L108" si="154">E108-E109-E110</f>
        <v>0</v>
      </c>
      <c r="M108" s="3">
        <f t="shared" ref="M108" si="155">F108-F109-F110</f>
        <v>0</v>
      </c>
      <c r="N108" s="3">
        <f t="shared" ref="N108" si="156">G108-G109-G110</f>
        <v>0</v>
      </c>
    </row>
    <row r="109" spans="1:14" x14ac:dyDescent="0.55000000000000004">
      <c r="B109" s="3">
        <v>46661</v>
      </c>
      <c r="C109" s="3">
        <v>48320</v>
      </c>
      <c r="D109" s="3">
        <v>43554</v>
      </c>
      <c r="E109" s="3">
        <v>43517</v>
      </c>
      <c r="F109" s="3">
        <v>42109</v>
      </c>
      <c r="G109" s="3"/>
      <c r="H109" s="23"/>
    </row>
    <row r="110" spans="1:14" x14ac:dyDescent="0.55000000000000004">
      <c r="B110" s="3">
        <v>22133</v>
      </c>
      <c r="C110" s="3">
        <v>22460</v>
      </c>
      <c r="D110" s="3">
        <v>31119</v>
      </c>
      <c r="E110" s="3">
        <v>18240</v>
      </c>
      <c r="F110" s="3">
        <v>6913</v>
      </c>
      <c r="G110" s="3"/>
      <c r="H110" s="23"/>
    </row>
    <row r="111" spans="1:14" x14ac:dyDescent="0.55000000000000004">
      <c r="A111" t="s">
        <v>69</v>
      </c>
      <c r="B111" s="3">
        <v>3889</v>
      </c>
      <c r="C111" s="3">
        <v>4205</v>
      </c>
      <c r="D111" s="3">
        <v>3514</v>
      </c>
      <c r="E111" s="3"/>
      <c r="F111" s="3"/>
      <c r="G111" s="3"/>
      <c r="H111" s="23"/>
    </row>
    <row r="112" spans="1:14" x14ac:dyDescent="0.55000000000000004">
      <c r="B112" s="3">
        <v>20725</v>
      </c>
      <c r="C112" s="3">
        <v>20638</v>
      </c>
      <c r="D112" s="3">
        <v>22794</v>
      </c>
      <c r="E112" s="3">
        <v>18049</v>
      </c>
      <c r="F112" s="3"/>
      <c r="G112" s="3"/>
      <c r="H112" s="23"/>
      <c r="I112" s="3">
        <f t="shared" ref="I112" si="157">B112-B113-B114</f>
        <v>0</v>
      </c>
      <c r="J112" s="3">
        <f t="shared" ref="J112" si="158">C112-C113-C114</f>
        <v>0</v>
      </c>
      <c r="K112" s="3">
        <f t="shared" ref="K112" si="159">D112-D113-D114</f>
        <v>-11</v>
      </c>
      <c r="L112" s="3">
        <f t="shared" ref="L112" si="160">E112-E113-E114</f>
        <v>0</v>
      </c>
      <c r="M112" s="3">
        <f t="shared" ref="M112" si="161">F112-F113-F114</f>
        <v>0</v>
      </c>
      <c r="N112" s="3">
        <f t="shared" ref="N112" si="162">G112-G113-G114</f>
        <v>0</v>
      </c>
    </row>
    <row r="113" spans="1:14" x14ac:dyDescent="0.55000000000000004">
      <c r="B113" s="3">
        <v>15446</v>
      </c>
      <c r="C113" s="3">
        <v>16927</v>
      </c>
      <c r="D113" s="3">
        <v>14625</v>
      </c>
      <c r="E113" s="3">
        <v>13788</v>
      </c>
      <c r="F113" s="3"/>
      <c r="G113" s="3"/>
      <c r="H113" s="23"/>
    </row>
    <row r="114" spans="1:14" x14ac:dyDescent="0.55000000000000004">
      <c r="B114" s="3">
        <v>5279</v>
      </c>
      <c r="C114" s="3">
        <v>3711</v>
      </c>
      <c r="D114" s="3">
        <v>8180</v>
      </c>
      <c r="E114" s="3">
        <v>4261</v>
      </c>
      <c r="F114" s="3"/>
      <c r="G114" s="3"/>
      <c r="H114" s="23"/>
    </row>
    <row r="115" spans="1:14" x14ac:dyDescent="0.55000000000000004">
      <c r="A115" t="s">
        <v>70</v>
      </c>
      <c r="B115" s="3">
        <v>19538</v>
      </c>
      <c r="C115" s="3">
        <v>21093</v>
      </c>
      <c r="D115" s="3">
        <v>19890</v>
      </c>
      <c r="E115" s="3"/>
      <c r="F115" s="3"/>
      <c r="G115" s="3"/>
      <c r="H115" s="23"/>
    </row>
    <row r="116" spans="1:14" x14ac:dyDescent="0.55000000000000004">
      <c r="B116" s="3">
        <v>113025</v>
      </c>
      <c r="C116" s="3">
        <v>120509</v>
      </c>
      <c r="D116" s="3">
        <v>119297</v>
      </c>
      <c r="E116" s="3"/>
      <c r="F116" s="3"/>
      <c r="G116" s="3"/>
      <c r="H116" s="23"/>
      <c r="I116" s="3">
        <f t="shared" ref="I116" si="163">B116-B117-B118</f>
        <v>0</v>
      </c>
      <c r="J116" s="3">
        <f t="shared" ref="J116" si="164">C116-C117-C118</f>
        <v>0</v>
      </c>
      <c r="K116" s="3">
        <f t="shared" ref="K116" si="165">D116-D117-D118</f>
        <v>0</v>
      </c>
      <c r="L116" s="3">
        <f t="shared" ref="L116" si="166">E116-E117-E118</f>
        <v>0</v>
      </c>
      <c r="M116" s="3">
        <f t="shared" ref="M116" si="167">F116-F117-F118</f>
        <v>0</v>
      </c>
      <c r="N116" s="3">
        <f t="shared" ref="N116" si="168">G116-G117-G118</f>
        <v>0</v>
      </c>
    </row>
    <row r="117" spans="1:14" x14ac:dyDescent="0.55000000000000004">
      <c r="B117" s="3">
        <v>84277</v>
      </c>
      <c r="C117" s="3">
        <v>81318</v>
      </c>
      <c r="D117" s="3">
        <v>68502</v>
      </c>
      <c r="E117" s="3"/>
      <c r="F117" s="3"/>
      <c r="G117" s="3"/>
      <c r="H117" s="23"/>
    </row>
    <row r="118" spans="1:14" x14ac:dyDescent="0.55000000000000004">
      <c r="B118" s="3">
        <v>28748</v>
      </c>
      <c r="C118" s="3">
        <v>39191</v>
      </c>
      <c r="D118" s="3">
        <v>50795</v>
      </c>
      <c r="E118" s="3"/>
      <c r="F118" s="3"/>
      <c r="G118" s="3"/>
      <c r="H118" s="23"/>
    </row>
    <row r="119" spans="1:14" x14ac:dyDescent="0.55000000000000004">
      <c r="A119" t="s">
        <v>71</v>
      </c>
      <c r="B119" s="3">
        <v>20231</v>
      </c>
      <c r="C119" s="3">
        <v>21321</v>
      </c>
      <c r="D119" s="3">
        <v>13984</v>
      </c>
      <c r="E119" s="3">
        <v>7417</v>
      </c>
      <c r="F119" s="3">
        <v>7963</v>
      </c>
      <c r="G119" s="3"/>
      <c r="H119" s="23"/>
    </row>
    <row r="120" spans="1:14" x14ac:dyDescent="0.55000000000000004">
      <c r="B120" s="3">
        <v>121201</v>
      </c>
      <c r="C120" s="3">
        <v>119071</v>
      </c>
      <c r="D120" s="3">
        <v>114874</v>
      </c>
      <c r="E120" s="3">
        <v>97515</v>
      </c>
      <c r="F120" s="3">
        <v>75411</v>
      </c>
      <c r="G120" s="3"/>
      <c r="H120" s="23"/>
      <c r="I120" s="3">
        <f t="shared" ref="I120" si="169">B120-B121-B122</f>
        <v>-90</v>
      </c>
      <c r="J120" s="3">
        <f t="shared" ref="J120" si="170">C120-C121-C122</f>
        <v>0</v>
      </c>
      <c r="K120" s="3">
        <f t="shared" ref="K120" si="171">D120-D121-D122</f>
        <v>0</v>
      </c>
      <c r="L120" s="3">
        <f t="shared" ref="L120" si="172">E120-E121-E122</f>
        <v>0</v>
      </c>
      <c r="M120" s="3">
        <f t="shared" ref="M120" si="173">F120-F121-F122</f>
        <v>75411</v>
      </c>
      <c r="N120" s="3">
        <f t="shared" ref="N120" si="174">G120-G121-G122</f>
        <v>0</v>
      </c>
    </row>
    <row r="121" spans="1:14" x14ac:dyDescent="0.55000000000000004">
      <c r="B121" s="3">
        <v>76162</v>
      </c>
      <c r="C121" s="3">
        <v>73443</v>
      </c>
      <c r="D121" s="3">
        <v>74196</v>
      </c>
      <c r="E121" s="3">
        <v>74155</v>
      </c>
      <c r="F121" s="3"/>
      <c r="G121" s="3"/>
      <c r="H121" s="23"/>
    </row>
    <row r="122" spans="1:14" x14ac:dyDescent="0.55000000000000004">
      <c r="B122" s="3">
        <v>45129</v>
      </c>
      <c r="C122" s="3">
        <v>45628</v>
      </c>
      <c r="D122" s="3">
        <v>40678</v>
      </c>
      <c r="E122" s="3">
        <v>23360</v>
      </c>
      <c r="F122" s="3"/>
      <c r="G122" s="3"/>
      <c r="H122" s="23"/>
    </row>
    <row r="123" spans="1:14" x14ac:dyDescent="0.55000000000000004">
      <c r="A123" t="s">
        <v>72</v>
      </c>
      <c r="B123" s="3">
        <v>14913</v>
      </c>
      <c r="C123" s="3">
        <v>16441</v>
      </c>
      <c r="D123" s="3">
        <v>11166</v>
      </c>
      <c r="E123" s="3"/>
      <c r="F123" s="3"/>
      <c r="G123" s="3"/>
      <c r="H123" s="23"/>
    </row>
    <row r="124" spans="1:14" x14ac:dyDescent="0.55000000000000004">
      <c r="B124" s="3">
        <v>96963</v>
      </c>
      <c r="C124" s="3">
        <v>96895</v>
      </c>
      <c r="D124" s="3">
        <v>93657</v>
      </c>
      <c r="E124" s="3">
        <v>81039</v>
      </c>
      <c r="F124" s="3"/>
      <c r="G124" s="3"/>
      <c r="H124" s="23"/>
      <c r="I124" s="3">
        <f t="shared" ref="I124" si="175">B124-B125-B126</f>
        <v>0</v>
      </c>
      <c r="J124" s="3">
        <f t="shared" ref="J124" si="176">C124-C125-C126</f>
        <v>0</v>
      </c>
      <c r="K124" s="3">
        <f t="shared" ref="K124" si="177">D124-D125-D126</f>
        <v>100</v>
      </c>
      <c r="L124" s="3">
        <f t="shared" ref="L124" si="178">E124-E125-E126</f>
        <v>0</v>
      </c>
      <c r="M124" s="3">
        <f t="shared" ref="M124" si="179">F124-F125-F126</f>
        <v>0</v>
      </c>
      <c r="N124" s="3">
        <f t="shared" ref="N124" si="180">G124-G125-G126</f>
        <v>0</v>
      </c>
    </row>
    <row r="125" spans="1:14" x14ac:dyDescent="0.55000000000000004">
      <c r="B125" s="3">
        <v>60431</v>
      </c>
      <c r="C125" s="3">
        <v>64251</v>
      </c>
      <c r="D125" s="3">
        <v>57353</v>
      </c>
      <c r="E125" s="3">
        <v>61725</v>
      </c>
      <c r="F125" s="3"/>
      <c r="G125" s="3"/>
      <c r="H125" s="23"/>
    </row>
    <row r="126" spans="1:14" x14ac:dyDescent="0.55000000000000004">
      <c r="B126" s="3">
        <v>36532</v>
      </c>
      <c r="C126" s="3">
        <v>32644</v>
      </c>
      <c r="D126" s="3">
        <v>36204</v>
      </c>
      <c r="E126" s="3">
        <v>19314</v>
      </c>
      <c r="F126" s="3"/>
      <c r="G126" s="3"/>
      <c r="H126" s="23"/>
    </row>
    <row r="127" spans="1:14" x14ac:dyDescent="0.55000000000000004">
      <c r="A127" t="s">
        <v>73</v>
      </c>
      <c r="B127" s="3">
        <v>29037</v>
      </c>
      <c r="C127" s="3">
        <v>30440</v>
      </c>
      <c r="D127" s="3">
        <v>28408</v>
      </c>
      <c r="E127" s="3">
        <v>18543</v>
      </c>
      <c r="F127" s="3"/>
      <c r="G127" s="3"/>
      <c r="H127" s="23"/>
    </row>
    <row r="128" spans="1:14" x14ac:dyDescent="0.55000000000000004">
      <c r="B128" s="3">
        <v>205475</v>
      </c>
      <c r="C128" s="3">
        <v>199434</v>
      </c>
      <c r="D128" s="3">
        <v>202078</v>
      </c>
      <c r="E128" s="3">
        <v>188876</v>
      </c>
      <c r="F128" s="3"/>
      <c r="G128" s="3"/>
      <c r="H128" s="23"/>
      <c r="I128" s="3">
        <f t="shared" ref="I128" si="181">B128-B129-B130</f>
        <v>0</v>
      </c>
      <c r="J128" s="3">
        <f t="shared" ref="J128" si="182">C128-C129-C130</f>
        <v>0</v>
      </c>
      <c r="K128" s="3">
        <f t="shared" ref="K128" si="183">D128-D129-D130</f>
        <v>9000</v>
      </c>
      <c r="L128" s="3">
        <f t="shared" ref="L128" si="184">E128-E129-E130</f>
        <v>0</v>
      </c>
      <c r="M128" s="3">
        <f t="shared" ref="M128" si="185">F128-F129-F130</f>
        <v>0</v>
      </c>
      <c r="N128" s="3">
        <f t="shared" ref="N128" si="186">G128-G129-G130</f>
        <v>0</v>
      </c>
    </row>
    <row r="129" spans="1:14" x14ac:dyDescent="0.55000000000000004">
      <c r="B129" s="3">
        <v>165471</v>
      </c>
      <c r="C129" s="3">
        <v>153457</v>
      </c>
      <c r="D129" s="3">
        <v>140547</v>
      </c>
      <c r="E129" s="3">
        <v>163115</v>
      </c>
      <c r="F129" s="3"/>
      <c r="G129" s="3"/>
      <c r="H129" s="23"/>
    </row>
    <row r="130" spans="1:14" x14ac:dyDescent="0.55000000000000004">
      <c r="B130" s="3">
        <v>40004</v>
      </c>
      <c r="C130" s="3">
        <v>45977</v>
      </c>
      <c r="D130" s="3">
        <v>52531</v>
      </c>
      <c r="E130" s="3">
        <v>25761</v>
      </c>
      <c r="F130" s="3"/>
      <c r="G130" s="3"/>
      <c r="H130" s="23"/>
    </row>
    <row r="131" spans="1:14" x14ac:dyDescent="0.55000000000000004">
      <c r="A131" t="s">
        <v>76</v>
      </c>
      <c r="B131" s="3">
        <v>7061</v>
      </c>
      <c r="C131" s="3">
        <v>7937</v>
      </c>
      <c r="D131" s="3">
        <v>6061</v>
      </c>
      <c r="E131" s="3"/>
      <c r="F131" s="3"/>
      <c r="G131" s="3"/>
    </row>
    <row r="132" spans="1:14" x14ac:dyDescent="0.55000000000000004">
      <c r="B132" s="3">
        <v>36906</v>
      </c>
      <c r="C132" s="3">
        <v>37354</v>
      </c>
      <c r="D132" s="3">
        <v>35638</v>
      </c>
      <c r="E132" s="3"/>
      <c r="F132" s="3"/>
      <c r="G132" s="3"/>
      <c r="I132" s="3">
        <f t="shared" ref="I132" si="187">B132-B133-B134</f>
        <v>0</v>
      </c>
      <c r="J132" s="3">
        <f t="shared" ref="J132" si="188">C132-C133-C134</f>
        <v>6000</v>
      </c>
      <c r="K132" s="3">
        <f t="shared" ref="K132" si="189">D132-D133-D134</f>
        <v>0</v>
      </c>
      <c r="L132" s="3">
        <f t="shared" ref="L132" si="190">E132-E133-E134</f>
        <v>0</v>
      </c>
      <c r="M132" s="3">
        <f t="shared" ref="M132" si="191">F132-F133-F134</f>
        <v>0</v>
      </c>
      <c r="N132" s="3">
        <f t="shared" ref="N132" si="192">G132-G133-G134</f>
        <v>0</v>
      </c>
    </row>
    <row r="133" spans="1:14" x14ac:dyDescent="0.55000000000000004">
      <c r="B133" s="3">
        <v>27927</v>
      </c>
      <c r="C133" s="3">
        <v>20517</v>
      </c>
      <c r="D133" s="3">
        <v>25149</v>
      </c>
      <c r="E133" s="3"/>
      <c r="F133" s="3"/>
      <c r="G133" s="3"/>
    </row>
    <row r="134" spans="1:14" x14ac:dyDescent="0.55000000000000004">
      <c r="B134" s="3">
        <v>8979</v>
      </c>
      <c r="C134" s="3">
        <v>10837</v>
      </c>
      <c r="D134" s="3">
        <v>10489</v>
      </c>
      <c r="E134" s="3"/>
      <c r="F134" s="3"/>
      <c r="G134" s="3"/>
    </row>
    <row r="135" spans="1:14" x14ac:dyDescent="0.55000000000000004">
      <c r="A135" t="s">
        <v>77</v>
      </c>
      <c r="B135" s="3">
        <v>13192</v>
      </c>
      <c r="C135" s="3">
        <v>13403</v>
      </c>
      <c r="D135" s="3">
        <v>13202</v>
      </c>
      <c r="E135" s="3">
        <v>11569</v>
      </c>
      <c r="F135" s="3">
        <v>11299</v>
      </c>
      <c r="G135" s="3">
        <v>20559</v>
      </c>
    </row>
    <row r="136" spans="1:14" x14ac:dyDescent="0.55000000000000004">
      <c r="B136" s="3">
        <v>50099</v>
      </c>
      <c r="C136" s="3">
        <v>56155</v>
      </c>
      <c r="D136" s="3">
        <v>55460</v>
      </c>
      <c r="E136" s="3">
        <v>51956</v>
      </c>
      <c r="F136" s="3">
        <v>46188</v>
      </c>
      <c r="G136" s="3">
        <v>43109</v>
      </c>
      <c r="I136" s="3">
        <f t="shared" ref="I136" si="193">B136-B137-B138</f>
        <v>-6000</v>
      </c>
      <c r="J136" s="3">
        <f t="shared" ref="J136" si="194">C136-C137-C138</f>
        <v>0</v>
      </c>
      <c r="K136" s="3">
        <f t="shared" ref="K136" si="195">D136-D137-D138</f>
        <v>0</v>
      </c>
      <c r="L136" s="3">
        <f t="shared" ref="L136" si="196">E136-E137-E138</f>
        <v>0</v>
      </c>
      <c r="M136" s="3">
        <f t="shared" ref="M136" si="197">F136-F137-F138</f>
        <v>0</v>
      </c>
      <c r="N136" s="3">
        <f t="shared" ref="N136" si="198">G136-G137-G138</f>
        <v>0</v>
      </c>
    </row>
    <row r="137" spans="1:14" x14ac:dyDescent="0.55000000000000004">
      <c r="B137" s="3">
        <v>45957</v>
      </c>
      <c r="C137" s="3">
        <v>45446</v>
      </c>
      <c r="D137" s="3">
        <v>47597</v>
      </c>
      <c r="E137" s="3">
        <v>52866</v>
      </c>
      <c r="F137" s="3">
        <v>55980</v>
      </c>
      <c r="G137" s="3">
        <v>61000</v>
      </c>
    </row>
    <row r="138" spans="1:14" x14ac:dyDescent="0.55000000000000004">
      <c r="B138" s="3">
        <v>10142</v>
      </c>
      <c r="C138" s="3">
        <v>10709</v>
      </c>
      <c r="D138" s="3">
        <v>7863</v>
      </c>
      <c r="E138" s="3">
        <v>-910</v>
      </c>
      <c r="F138" s="3">
        <v>-9792</v>
      </c>
      <c r="G138" s="3">
        <v>-17891</v>
      </c>
    </row>
    <row r="139" spans="1:14" x14ac:dyDescent="0.55000000000000004">
      <c r="A139" t="s">
        <v>78</v>
      </c>
      <c r="B139" s="3">
        <v>30161</v>
      </c>
      <c r="C139" s="3">
        <v>30066</v>
      </c>
      <c r="D139" s="3">
        <v>30053</v>
      </c>
      <c r="E139" s="3"/>
      <c r="F139" s="3"/>
      <c r="G139" s="3"/>
    </row>
    <row r="140" spans="1:14" x14ac:dyDescent="0.55000000000000004">
      <c r="B140" s="3">
        <v>145401</v>
      </c>
      <c r="C140" s="3">
        <v>136054</v>
      </c>
      <c r="D140" s="3">
        <v>142692</v>
      </c>
      <c r="E140" s="3"/>
      <c r="F140" s="3"/>
      <c r="G140" s="3"/>
      <c r="I140" s="3">
        <f t="shared" ref="I140" si="199">B140-B141-B142</f>
        <v>0</v>
      </c>
      <c r="J140" s="3">
        <f t="shared" ref="J140" si="200">C140-C141-C142</f>
        <v>0</v>
      </c>
      <c r="K140" s="3">
        <f t="shared" ref="K140" si="201">D140-D141-D142</f>
        <v>0</v>
      </c>
      <c r="L140" s="3">
        <f t="shared" ref="L140" si="202">E140-E141-E142</f>
        <v>0</v>
      </c>
      <c r="M140" s="3">
        <f t="shared" ref="M140" si="203">F140-F141-F142</f>
        <v>0</v>
      </c>
      <c r="N140" s="3">
        <f t="shared" ref="N140" si="204">G140-G141-G142</f>
        <v>0</v>
      </c>
    </row>
    <row r="141" spans="1:14" x14ac:dyDescent="0.55000000000000004">
      <c r="B141" s="3">
        <v>73254</v>
      </c>
      <c r="C141" s="3">
        <v>87272</v>
      </c>
      <c r="D141" s="3">
        <v>82123</v>
      </c>
      <c r="E141" s="3"/>
      <c r="F141" s="3"/>
      <c r="G141" s="3"/>
    </row>
    <row r="142" spans="1:14" x14ac:dyDescent="0.55000000000000004">
      <c r="B142" s="3">
        <v>72147</v>
      </c>
      <c r="C142" s="3">
        <v>48782</v>
      </c>
      <c r="D142" s="3">
        <v>60569</v>
      </c>
      <c r="E142" s="3"/>
      <c r="F142" s="3"/>
      <c r="G142" s="3"/>
    </row>
    <row r="143" spans="1:14" x14ac:dyDescent="0.55000000000000004">
      <c r="A143" t="s">
        <v>79</v>
      </c>
      <c r="B143" s="3">
        <v>24859</v>
      </c>
      <c r="C143" s="3">
        <v>28450</v>
      </c>
      <c r="D143" s="3">
        <v>22228</v>
      </c>
      <c r="F143" s="3"/>
      <c r="G143" s="3"/>
    </row>
    <row r="144" spans="1:14" x14ac:dyDescent="0.55000000000000004">
      <c r="B144" s="3">
        <v>136951</v>
      </c>
      <c r="C144" s="3">
        <v>131704</v>
      </c>
      <c r="D144" s="3">
        <v>135195</v>
      </c>
      <c r="E144" s="3">
        <v>110912</v>
      </c>
      <c r="F144" s="3"/>
      <c r="G144" s="3"/>
      <c r="I144" s="3">
        <f t="shared" ref="I144" si="205">B144-B145-B146</f>
        <v>0</v>
      </c>
      <c r="J144" s="3">
        <f t="shared" ref="J144" si="206">C144-C145-C146</f>
        <v>0</v>
      </c>
      <c r="K144" s="3">
        <f t="shared" ref="K144" si="207">D144-D145-D146</f>
        <v>0</v>
      </c>
      <c r="L144" s="3">
        <f t="shared" ref="L144" si="208">E144-E145-E146</f>
        <v>0</v>
      </c>
      <c r="M144" s="3">
        <f t="shared" ref="M144" si="209">F144-F145-F146</f>
        <v>0</v>
      </c>
      <c r="N144" s="3">
        <f t="shared" ref="N144" si="210">G144-G145-G146</f>
        <v>0</v>
      </c>
    </row>
    <row r="145" spans="1:14" x14ac:dyDescent="0.55000000000000004">
      <c r="B145" s="3">
        <v>64801</v>
      </c>
      <c r="C145" s="3">
        <v>72148</v>
      </c>
      <c r="D145" s="3">
        <v>70064</v>
      </c>
      <c r="E145" s="3">
        <v>74190</v>
      </c>
      <c r="F145" s="3"/>
      <c r="G145" s="3"/>
    </row>
    <row r="146" spans="1:14" x14ac:dyDescent="0.55000000000000004">
      <c r="B146" s="3">
        <v>72150</v>
      </c>
      <c r="C146" s="3">
        <v>59556</v>
      </c>
      <c r="D146" s="3">
        <v>65131</v>
      </c>
      <c r="E146" s="3">
        <v>36722</v>
      </c>
      <c r="F146" s="3"/>
      <c r="G146" s="3"/>
    </row>
    <row r="147" spans="1:14" x14ac:dyDescent="0.55000000000000004">
      <c r="A147" t="s">
        <v>80</v>
      </c>
      <c r="B147" s="3">
        <v>9797</v>
      </c>
      <c r="C147" s="3">
        <v>10549</v>
      </c>
      <c r="D147" s="3">
        <v>10275</v>
      </c>
      <c r="E147" s="3"/>
      <c r="F147" s="3"/>
      <c r="G147" s="3"/>
    </row>
    <row r="148" spans="1:14" x14ac:dyDescent="0.55000000000000004">
      <c r="B148" s="3">
        <v>56272</v>
      </c>
      <c r="C148" s="3">
        <v>56921</v>
      </c>
      <c r="D148" s="3">
        <v>57976</v>
      </c>
      <c r="E148" s="3">
        <v>48441</v>
      </c>
      <c r="F148" s="3">
        <v>40697</v>
      </c>
      <c r="G148" s="3"/>
      <c r="I148" s="3">
        <f t="shared" ref="I148" si="211">B148-B149-B150</f>
        <v>0</v>
      </c>
      <c r="J148" s="3">
        <f t="shared" ref="J148" si="212">C148-C149-C150</f>
        <v>0</v>
      </c>
      <c r="K148" s="3">
        <f t="shared" ref="K148" si="213">D148-D149-D150</f>
        <v>0</v>
      </c>
      <c r="L148" s="3">
        <f t="shared" ref="L148" si="214">E148-E149-E150</f>
        <v>0</v>
      </c>
      <c r="M148" s="3">
        <f t="shared" ref="M148" si="215">F148-F149-F150</f>
        <v>0</v>
      </c>
      <c r="N148" s="3">
        <f t="shared" ref="N148" si="216">G148-G149-G150</f>
        <v>0</v>
      </c>
    </row>
    <row r="149" spans="1:14" x14ac:dyDescent="0.55000000000000004">
      <c r="B149" s="3">
        <v>34585</v>
      </c>
      <c r="C149" s="3">
        <v>35044</v>
      </c>
      <c r="D149" s="3">
        <v>35971</v>
      </c>
      <c r="E149" s="3">
        <v>34657</v>
      </c>
      <c r="F149" s="3">
        <v>32893</v>
      </c>
      <c r="G149" s="3"/>
    </row>
    <row r="150" spans="1:14" x14ac:dyDescent="0.55000000000000004">
      <c r="B150" s="3">
        <v>21687</v>
      </c>
      <c r="C150" s="3">
        <v>21877</v>
      </c>
      <c r="D150" s="3">
        <v>22005</v>
      </c>
      <c r="E150" s="3">
        <v>13784</v>
      </c>
      <c r="F150" s="3">
        <v>7804</v>
      </c>
      <c r="G150" s="3"/>
    </row>
    <row r="151" spans="1:14" x14ac:dyDescent="0.55000000000000004">
      <c r="A151" t="s">
        <v>81</v>
      </c>
      <c r="B151" s="3">
        <v>17120</v>
      </c>
      <c r="C151" s="3">
        <v>17786</v>
      </c>
      <c r="D151" s="3">
        <v>16981</v>
      </c>
      <c r="E151" s="3"/>
      <c r="F151" s="3"/>
      <c r="G151" s="3"/>
    </row>
    <row r="152" spans="1:14" x14ac:dyDescent="0.55000000000000004">
      <c r="B152" s="3">
        <v>106229</v>
      </c>
      <c r="C152" s="3">
        <v>109780</v>
      </c>
      <c r="D152" s="3">
        <v>110140</v>
      </c>
      <c r="E152" s="3">
        <v>92004</v>
      </c>
      <c r="F152" s="3">
        <v>69039</v>
      </c>
      <c r="G152" s="3"/>
      <c r="I152" s="3">
        <f t="shared" ref="I152" si="217">B152-B153-B154</f>
        <v>0</v>
      </c>
      <c r="J152" s="3">
        <f t="shared" ref="J152" si="218">C152-C153-C154</f>
        <v>0</v>
      </c>
      <c r="K152" s="3">
        <f t="shared" ref="K152" si="219">D152-D153-D154</f>
        <v>0</v>
      </c>
      <c r="L152" s="3">
        <f t="shared" ref="L152" si="220">E152-E153-E154</f>
        <v>0</v>
      </c>
      <c r="M152" s="3">
        <f t="shared" ref="M152" si="221">F152-F153-F154</f>
        <v>0</v>
      </c>
      <c r="N152" s="3">
        <f t="shared" ref="N152" si="222">G152-G153-G154</f>
        <v>0</v>
      </c>
    </row>
    <row r="153" spans="1:14" x14ac:dyDescent="0.55000000000000004">
      <c r="B153" s="3">
        <v>59079</v>
      </c>
      <c r="C153" s="3">
        <v>61011</v>
      </c>
      <c r="D153" s="3">
        <v>61877</v>
      </c>
      <c r="E153" s="3">
        <v>61328</v>
      </c>
      <c r="F153" s="3">
        <v>53449</v>
      </c>
      <c r="G153" s="3"/>
    </row>
    <row r="154" spans="1:14" x14ac:dyDescent="0.55000000000000004">
      <c r="B154" s="3">
        <v>47150</v>
      </c>
      <c r="C154" s="3">
        <v>48769</v>
      </c>
      <c r="D154" s="3">
        <v>48263</v>
      </c>
      <c r="E154" s="3">
        <v>30676</v>
      </c>
      <c r="F154" s="3">
        <v>15590</v>
      </c>
      <c r="G154" s="3"/>
    </row>
    <row r="155" spans="1:14" x14ac:dyDescent="0.55000000000000004">
      <c r="A155" t="s">
        <v>82</v>
      </c>
      <c r="B155" s="3">
        <v>34075</v>
      </c>
      <c r="C155" s="3">
        <v>34932</v>
      </c>
      <c r="D155" s="3">
        <v>30819</v>
      </c>
      <c r="E155" s="3">
        <v>16016</v>
      </c>
      <c r="F155" s="3">
        <v>15836</v>
      </c>
      <c r="G155" s="3"/>
    </row>
    <row r="156" spans="1:14" x14ac:dyDescent="0.55000000000000004">
      <c r="B156" s="3">
        <v>197355</v>
      </c>
      <c r="C156" s="3">
        <v>203545</v>
      </c>
      <c r="D156" s="3">
        <v>213734</v>
      </c>
      <c r="E156" s="3">
        <v>183292</v>
      </c>
      <c r="F156" s="3">
        <v>115876</v>
      </c>
      <c r="G156" s="3"/>
      <c r="I156" s="3">
        <f t="shared" ref="I156" si="223">B156-B157-B158</f>
        <v>0</v>
      </c>
      <c r="J156" s="3">
        <f t="shared" ref="J156" si="224">C156-C157-C158</f>
        <v>0</v>
      </c>
      <c r="K156" s="3">
        <f t="shared" ref="K156" si="225">D156-D157-D158</f>
        <v>600</v>
      </c>
      <c r="L156" s="3">
        <f t="shared" ref="L156" si="226">E156-E157-E158</f>
        <v>0</v>
      </c>
      <c r="M156" s="3">
        <f t="shared" ref="M156" si="227">F156-F157-F158</f>
        <v>115876</v>
      </c>
      <c r="N156" s="3">
        <f t="shared" ref="N156" si="228">G156-G157-G158</f>
        <v>0</v>
      </c>
    </row>
    <row r="157" spans="1:14" x14ac:dyDescent="0.55000000000000004">
      <c r="B157" s="3">
        <v>131248</v>
      </c>
      <c r="C157" s="3">
        <v>117661</v>
      </c>
      <c r="D157" s="3">
        <v>124076</v>
      </c>
      <c r="E157" s="3">
        <v>159291</v>
      </c>
      <c r="F157" s="3"/>
      <c r="G157" s="3"/>
    </row>
    <row r="158" spans="1:14" x14ac:dyDescent="0.55000000000000004">
      <c r="B158" s="3">
        <v>66107</v>
      </c>
      <c r="C158" s="3">
        <v>85884</v>
      </c>
      <c r="D158" s="3">
        <v>89058</v>
      </c>
      <c r="E158" s="3">
        <v>24001</v>
      </c>
      <c r="F158" s="3"/>
      <c r="G158" s="3"/>
    </row>
    <row r="159" spans="1:14" x14ac:dyDescent="0.55000000000000004">
      <c r="A159" t="s">
        <v>83</v>
      </c>
      <c r="B159" s="3">
        <v>25186</v>
      </c>
      <c r="C159" s="3">
        <v>26025</v>
      </c>
      <c r="D159" s="3">
        <v>22061</v>
      </c>
      <c r="E159" s="3">
        <v>11399</v>
      </c>
      <c r="F159" s="3">
        <v>11868</v>
      </c>
      <c r="G159" s="3">
        <v>19124</v>
      </c>
    </row>
    <row r="160" spans="1:14" x14ac:dyDescent="0.55000000000000004">
      <c r="B160" s="3">
        <v>150477</v>
      </c>
      <c r="C160" s="3">
        <v>151661</v>
      </c>
      <c r="D160" s="3">
        <v>156818</v>
      </c>
      <c r="E160" s="3">
        <v>139176</v>
      </c>
      <c r="F160" s="3">
        <v>90943</v>
      </c>
      <c r="G160" s="3">
        <v>62306</v>
      </c>
      <c r="I160" s="3">
        <f t="shared" ref="I160" si="229">B160-B161-B162</f>
        <v>60</v>
      </c>
      <c r="J160" s="3">
        <f t="shared" ref="J160" si="230">C160-C161-C162</f>
        <v>0</v>
      </c>
      <c r="K160" s="3">
        <f t="shared" ref="K160" si="231">D160-D161-D162</f>
        <v>0</v>
      </c>
      <c r="L160" s="3">
        <f t="shared" ref="L160" si="232">E160-E161-E162</f>
        <v>0</v>
      </c>
      <c r="M160" s="3">
        <f t="shared" ref="M160" si="233">F160-F161-F162</f>
        <v>90943</v>
      </c>
      <c r="N160" s="3">
        <f t="shared" ref="N160" si="234">G160-G161-G162</f>
        <v>62306</v>
      </c>
    </row>
    <row r="161" spans="1:14" x14ac:dyDescent="0.55000000000000004">
      <c r="B161" s="3">
        <v>99208</v>
      </c>
      <c r="C161" s="3">
        <v>93825</v>
      </c>
      <c r="D161" s="3">
        <v>95470</v>
      </c>
      <c r="E161" s="3">
        <v>108505</v>
      </c>
      <c r="F161" s="3"/>
      <c r="G161" s="3"/>
    </row>
    <row r="162" spans="1:14" x14ac:dyDescent="0.55000000000000004">
      <c r="B162" s="3">
        <v>51209</v>
      </c>
      <c r="C162" s="3">
        <v>57836</v>
      </c>
      <c r="D162" s="3">
        <v>61348</v>
      </c>
      <c r="E162" s="3">
        <v>30671</v>
      </c>
      <c r="F162" s="3"/>
      <c r="G162" s="3"/>
    </row>
    <row r="163" spans="1:14" x14ac:dyDescent="0.55000000000000004">
      <c r="A163" t="s">
        <v>84</v>
      </c>
      <c r="B163" s="3">
        <v>15616</v>
      </c>
      <c r="C163" s="3">
        <v>18960</v>
      </c>
      <c r="D163" s="3">
        <v>14420</v>
      </c>
      <c r="E163" s="3"/>
      <c r="F163" s="3"/>
      <c r="G163" s="3"/>
    </row>
    <row r="164" spans="1:14" x14ac:dyDescent="0.55000000000000004">
      <c r="B164" s="3">
        <v>94605</v>
      </c>
      <c r="C164" s="3">
        <v>100861</v>
      </c>
      <c r="D164" s="3">
        <v>98843</v>
      </c>
      <c r="E164" s="3">
        <v>84276</v>
      </c>
      <c r="F164" s="3"/>
      <c r="G164" s="3"/>
      <c r="I164" s="3">
        <f t="shared" ref="I164" si="235">B164-B165-B166</f>
        <v>0</v>
      </c>
      <c r="J164" s="3">
        <f t="shared" ref="J164" si="236">C164-C165-C166</f>
        <v>0</v>
      </c>
      <c r="K164" s="3">
        <f t="shared" ref="K164" si="237">D164-D165-D166</f>
        <v>0</v>
      </c>
      <c r="L164" s="3">
        <f t="shared" ref="L164" si="238">E164-E165-E166</f>
        <v>0</v>
      </c>
      <c r="M164" s="3">
        <f t="shared" ref="M164" si="239">F164-F165-F166</f>
        <v>0</v>
      </c>
      <c r="N164" s="3">
        <f t="shared" ref="N164" si="240">G164-G165-G166</f>
        <v>0</v>
      </c>
    </row>
    <row r="165" spans="1:14" x14ac:dyDescent="0.55000000000000004">
      <c r="B165" s="3">
        <v>64693</v>
      </c>
      <c r="C165" s="3">
        <v>64187</v>
      </c>
      <c r="D165" s="3">
        <v>60247</v>
      </c>
      <c r="E165" s="3">
        <v>62248</v>
      </c>
      <c r="F165" s="3"/>
      <c r="G165" s="3"/>
    </row>
    <row r="166" spans="1:14" x14ac:dyDescent="0.55000000000000004">
      <c r="B166" s="3">
        <v>29912</v>
      </c>
      <c r="C166" s="3">
        <v>36674</v>
      </c>
      <c r="D166" s="3">
        <v>38596</v>
      </c>
      <c r="E166" s="3">
        <v>22028</v>
      </c>
      <c r="F166" s="3"/>
      <c r="G166" s="3"/>
    </row>
    <row r="167" spans="1:14" x14ac:dyDescent="0.55000000000000004">
      <c r="A167" t="s">
        <v>85</v>
      </c>
      <c r="B167" s="3">
        <v>17370</v>
      </c>
      <c r="C167" s="3">
        <v>19472</v>
      </c>
      <c r="D167" s="3">
        <v>18873</v>
      </c>
      <c r="E167" s="3"/>
      <c r="F167" s="3"/>
      <c r="G167" s="3"/>
    </row>
    <row r="168" spans="1:14" x14ac:dyDescent="0.55000000000000004">
      <c r="B168" s="3">
        <v>91056</v>
      </c>
      <c r="C168" s="3">
        <v>96601</v>
      </c>
      <c r="D168" s="3">
        <v>95631</v>
      </c>
      <c r="E168" s="3"/>
      <c r="F168" s="3"/>
      <c r="G168" s="3"/>
      <c r="I168" s="3">
        <f t="shared" ref="I168" si="241">B168-B169-B170</f>
        <v>0</v>
      </c>
      <c r="J168" s="3">
        <f t="shared" ref="J168" si="242">C168-C169-C170</f>
        <v>900</v>
      </c>
      <c r="K168" s="3">
        <f t="shared" ref="K168" si="243">D168-D169-D170</f>
        <v>0</v>
      </c>
      <c r="L168" s="3">
        <f t="shared" ref="L168" si="244">E168-E169-E170</f>
        <v>0</v>
      </c>
      <c r="M168" s="3">
        <f t="shared" ref="M168" si="245">F168-F169-F170</f>
        <v>0</v>
      </c>
      <c r="N168" s="3">
        <f t="shared" ref="N168" si="246">G168-G169-G170</f>
        <v>0</v>
      </c>
    </row>
    <row r="169" spans="1:14" x14ac:dyDescent="0.55000000000000004">
      <c r="B169" s="3">
        <v>55555</v>
      </c>
      <c r="C169" s="3">
        <v>59038</v>
      </c>
      <c r="D169" s="3">
        <v>61180</v>
      </c>
      <c r="E169" s="3"/>
      <c r="F169" s="3"/>
      <c r="G169" s="3"/>
    </row>
    <row r="170" spans="1:14" x14ac:dyDescent="0.55000000000000004">
      <c r="B170" s="3">
        <v>35501</v>
      </c>
      <c r="C170" s="3">
        <v>36663</v>
      </c>
      <c r="D170" s="3">
        <v>34451</v>
      </c>
      <c r="E170" s="3"/>
      <c r="F170" s="3"/>
      <c r="G170" s="3"/>
    </row>
    <row r="171" spans="1:14" x14ac:dyDescent="0.55000000000000004">
      <c r="A171" t="s">
        <v>86</v>
      </c>
      <c r="B171" s="3">
        <v>13604</v>
      </c>
      <c r="C171" s="3">
        <v>17194</v>
      </c>
      <c r="D171" s="3">
        <v>11015</v>
      </c>
      <c r="E171" s="3">
        <v>6393</v>
      </c>
      <c r="F171" s="3"/>
      <c r="G171" s="3"/>
    </row>
    <row r="172" spans="1:14" x14ac:dyDescent="0.55000000000000004">
      <c r="B172" s="3">
        <v>85913</v>
      </c>
      <c r="C172" s="3">
        <v>87591</v>
      </c>
      <c r="D172" s="3">
        <v>85729</v>
      </c>
      <c r="E172" s="3">
        <v>69701</v>
      </c>
      <c r="F172" s="3"/>
      <c r="G172" s="3"/>
      <c r="I172" s="3">
        <f t="shared" ref="I172" si="247">B172-B173-B174</f>
        <v>0</v>
      </c>
      <c r="J172" s="3">
        <f t="shared" ref="J172" si="248">C172-C173-C174</f>
        <v>10554</v>
      </c>
      <c r="K172" s="3">
        <f t="shared" ref="K172" si="249">D172-D173-D174</f>
        <v>0</v>
      </c>
      <c r="L172" s="3">
        <f t="shared" ref="L172" si="250">E172-E173-E174</f>
        <v>-60</v>
      </c>
      <c r="M172" s="3">
        <f t="shared" ref="M172" si="251">F172-F173-F174</f>
        <v>0</v>
      </c>
      <c r="N172" s="3">
        <f t="shared" ref="N172" si="252">G172-G173-G174</f>
        <v>0</v>
      </c>
    </row>
    <row r="173" spans="1:14" x14ac:dyDescent="0.55000000000000004">
      <c r="B173" s="3">
        <v>44080</v>
      </c>
      <c r="C173" s="3">
        <v>46828</v>
      </c>
      <c r="D173" s="3">
        <v>46327</v>
      </c>
      <c r="E173" s="3">
        <v>44084</v>
      </c>
      <c r="F173" s="3"/>
      <c r="G173" s="3"/>
    </row>
    <row r="174" spans="1:14" x14ac:dyDescent="0.55000000000000004">
      <c r="B174" s="3">
        <v>41833</v>
      </c>
      <c r="C174" s="3">
        <v>30209</v>
      </c>
      <c r="D174" s="3">
        <v>39402</v>
      </c>
      <c r="E174" s="3">
        <v>25677</v>
      </c>
      <c r="F174" s="3"/>
      <c r="G174" s="3"/>
    </row>
    <row r="175" spans="1:14" x14ac:dyDescent="0.55000000000000004">
      <c r="A175" t="s">
        <v>74</v>
      </c>
      <c r="B175" s="3">
        <v>37101</v>
      </c>
      <c r="C175" s="3">
        <v>37479</v>
      </c>
      <c r="D175" s="3">
        <v>20048</v>
      </c>
      <c r="E175" s="3">
        <v>9625</v>
      </c>
      <c r="F175" s="3"/>
      <c r="G175" s="3"/>
    </row>
    <row r="176" spans="1:14" x14ac:dyDescent="0.55000000000000004">
      <c r="B176" s="3">
        <v>169439</v>
      </c>
      <c r="C176" s="3">
        <v>170846</v>
      </c>
      <c r="D176" s="3">
        <v>172847</v>
      </c>
      <c r="E176" s="3">
        <v>141295</v>
      </c>
      <c r="F176" s="3"/>
      <c r="G176" s="3"/>
      <c r="I176" s="3">
        <f t="shared" ref="I176" si="253">B176-B177-B178</f>
        <v>0</v>
      </c>
      <c r="J176" s="3">
        <f t="shared" ref="J176" si="254">C176-C177-C178</f>
        <v>0</v>
      </c>
      <c r="K176" s="3">
        <f t="shared" ref="K176" si="255">D176-D177-D178</f>
        <v>0</v>
      </c>
      <c r="L176" s="3">
        <f t="shared" ref="L176" si="256">E176-E177-E178</f>
        <v>0</v>
      </c>
      <c r="M176" s="3">
        <f t="shared" ref="M176" si="257">F176-F177-F178</f>
        <v>0</v>
      </c>
      <c r="N176" s="3">
        <f t="shared" ref="N176" si="258">G176-G177-G178</f>
        <v>0</v>
      </c>
    </row>
    <row r="177" spans="1:14" x14ac:dyDescent="0.55000000000000004">
      <c r="B177" s="3">
        <v>104358</v>
      </c>
      <c r="C177" s="3">
        <v>105183</v>
      </c>
      <c r="D177" s="3">
        <v>106199</v>
      </c>
      <c r="E177" s="3">
        <v>101655</v>
      </c>
      <c r="F177" s="3"/>
      <c r="G177" s="3"/>
    </row>
    <row r="178" spans="1:14" x14ac:dyDescent="0.55000000000000004">
      <c r="B178" s="3">
        <v>65081</v>
      </c>
      <c r="C178" s="3">
        <v>65663</v>
      </c>
      <c r="D178" s="3">
        <v>66648</v>
      </c>
      <c r="E178" s="3">
        <v>39640</v>
      </c>
      <c r="F178" s="3"/>
      <c r="G178" s="3"/>
    </row>
    <row r="179" spans="1:14" x14ac:dyDescent="0.55000000000000004">
      <c r="A179" t="s">
        <v>75</v>
      </c>
      <c r="B179" s="3">
        <v>14364</v>
      </c>
      <c r="C179" s="3">
        <v>19058</v>
      </c>
      <c r="D179" s="3">
        <v>15464</v>
      </c>
      <c r="E179" s="3">
        <v>5595</v>
      </c>
      <c r="F179" s="3">
        <v>3869</v>
      </c>
      <c r="G179" s="3">
        <v>6341</v>
      </c>
    </row>
    <row r="180" spans="1:14" x14ac:dyDescent="0.55000000000000004">
      <c r="B180" s="27">
        <v>84196</v>
      </c>
      <c r="C180" s="3">
        <v>93589</v>
      </c>
      <c r="D180" s="3">
        <v>98337</v>
      </c>
      <c r="E180" s="3">
        <v>77407</v>
      </c>
      <c r="F180" s="3">
        <v>70384</v>
      </c>
      <c r="G180" s="3">
        <v>53998</v>
      </c>
      <c r="I180" s="3">
        <f t="shared" ref="I180" si="259">B180-B181-B182</f>
        <v>0</v>
      </c>
      <c r="J180" s="3">
        <f t="shared" ref="J180" si="260">C180-C181-C182</f>
        <v>6000</v>
      </c>
      <c r="K180" s="3">
        <f t="shared" ref="K180" si="261">D180-D181-D182</f>
        <v>0</v>
      </c>
      <c r="L180" s="3">
        <f t="shared" ref="L180" si="262">E180-E181-E182</f>
        <v>0</v>
      </c>
      <c r="M180" s="3">
        <f t="shared" ref="M180" si="263">F180-F181-F182</f>
        <v>0</v>
      </c>
      <c r="N180" s="3">
        <f t="shared" ref="N180" si="264">G180-G181-G182</f>
        <v>0</v>
      </c>
    </row>
    <row r="181" spans="1:14" x14ac:dyDescent="0.55000000000000004">
      <c r="B181" s="3">
        <v>55147</v>
      </c>
      <c r="C181" s="3">
        <v>66673</v>
      </c>
      <c r="D181" s="3">
        <v>61633</v>
      </c>
      <c r="E181" s="3">
        <v>59190</v>
      </c>
      <c r="F181" s="3">
        <v>64968</v>
      </c>
      <c r="G181" s="3">
        <v>54399</v>
      </c>
    </row>
    <row r="182" spans="1:14" x14ac:dyDescent="0.55000000000000004">
      <c r="B182" s="3">
        <v>29049</v>
      </c>
      <c r="C182" s="3">
        <v>20916</v>
      </c>
      <c r="D182" s="3">
        <v>36704</v>
      </c>
      <c r="E182" s="3">
        <v>18217</v>
      </c>
      <c r="F182" s="3">
        <v>5416</v>
      </c>
      <c r="G182" s="3">
        <v>-401</v>
      </c>
    </row>
    <row r="183" spans="1:14" x14ac:dyDescent="0.55000000000000004">
      <c r="A183" t="s">
        <v>87</v>
      </c>
      <c r="B183" s="3">
        <v>11286</v>
      </c>
      <c r="C183" s="3">
        <v>12796</v>
      </c>
      <c r="D183" s="3">
        <v>9281</v>
      </c>
      <c r="E183" s="3">
        <v>4245</v>
      </c>
      <c r="F183" s="3"/>
      <c r="G183" s="3"/>
    </row>
    <row r="184" spans="1:14" x14ac:dyDescent="0.55000000000000004">
      <c r="B184" s="3">
        <v>84147</v>
      </c>
      <c r="C184" s="3">
        <v>82474</v>
      </c>
      <c r="D184" s="3">
        <v>83940</v>
      </c>
      <c r="E184" s="3">
        <v>70571</v>
      </c>
      <c r="F184" s="3">
        <v>71381</v>
      </c>
      <c r="G184" s="3">
        <v>72192</v>
      </c>
      <c r="I184" s="3">
        <f t="shared" ref="I184" si="265">B184-B185-B186</f>
        <v>0</v>
      </c>
      <c r="J184" s="3">
        <f t="shared" ref="J184" si="266">C184-C185-C186</f>
        <v>0</v>
      </c>
      <c r="K184" s="3">
        <f t="shared" ref="K184" si="267">D184-D185-D186</f>
        <v>-9</v>
      </c>
      <c r="L184" s="3">
        <f t="shared" ref="L184" si="268">E184-E185-E186</f>
        <v>0</v>
      </c>
      <c r="M184" s="3">
        <f t="shared" ref="M184" si="269">F184-F185-F186</f>
        <v>0</v>
      </c>
      <c r="N184" s="3">
        <f t="shared" ref="N184" si="270">G184-G185-G186</f>
        <v>0</v>
      </c>
    </row>
    <row r="185" spans="1:14" x14ac:dyDescent="0.55000000000000004">
      <c r="B185" s="3">
        <v>55908</v>
      </c>
      <c r="C185" s="3">
        <v>61754</v>
      </c>
      <c r="D185" s="3">
        <v>57711</v>
      </c>
      <c r="E185" s="3">
        <v>48114</v>
      </c>
      <c r="F185" s="3">
        <v>52095</v>
      </c>
      <c r="G185" s="3">
        <v>56077</v>
      </c>
    </row>
    <row r="186" spans="1:14" x14ac:dyDescent="0.55000000000000004">
      <c r="B186" s="3">
        <v>28239</v>
      </c>
      <c r="C186" s="3">
        <v>20720</v>
      </c>
      <c r="D186" s="3">
        <v>26238</v>
      </c>
      <c r="E186" s="3">
        <v>22457</v>
      </c>
      <c r="F186" s="3">
        <v>19286</v>
      </c>
      <c r="G186" s="3">
        <v>16115</v>
      </c>
    </row>
    <row r="187" spans="1:14" x14ac:dyDescent="0.55000000000000004">
      <c r="A187" t="s">
        <v>88</v>
      </c>
      <c r="B187" s="3">
        <v>30105</v>
      </c>
      <c r="C187" s="3">
        <v>31323</v>
      </c>
      <c r="D187" s="3">
        <v>27262</v>
      </c>
      <c r="F187" s="3"/>
      <c r="G187" s="3"/>
    </row>
    <row r="188" spans="1:14" x14ac:dyDescent="0.55000000000000004">
      <c r="B188" s="3">
        <v>137674</v>
      </c>
      <c r="C188" s="3">
        <v>147275</v>
      </c>
      <c r="D188" s="3">
        <v>147697</v>
      </c>
      <c r="E188" s="3">
        <v>121461</v>
      </c>
      <c r="F188" s="3"/>
      <c r="G188" s="3"/>
      <c r="I188" s="3">
        <f t="shared" ref="I188" si="271">B188-B189-B190</f>
        <v>6000</v>
      </c>
      <c r="J188" s="3">
        <f t="shared" ref="J188" si="272">C188-C189-C190</f>
        <v>0</v>
      </c>
      <c r="K188" s="3">
        <f t="shared" ref="K188" si="273">D188-D189-D190</f>
        <v>0</v>
      </c>
      <c r="L188" s="3">
        <f t="shared" ref="L188" si="274">E188-E189-E190</f>
        <v>0</v>
      </c>
      <c r="M188" s="3">
        <f t="shared" ref="M188" si="275">F188-F189-F190</f>
        <v>0</v>
      </c>
      <c r="N188" s="3">
        <f t="shared" ref="N188" si="276">G188-G189-G190</f>
        <v>0</v>
      </c>
    </row>
    <row r="189" spans="1:14" x14ac:dyDescent="0.55000000000000004">
      <c r="B189" s="3">
        <v>91418</v>
      </c>
      <c r="C189" s="3">
        <v>92785</v>
      </c>
      <c r="D189" s="3">
        <v>84641</v>
      </c>
      <c r="E189" s="3">
        <v>90546</v>
      </c>
      <c r="F189" s="3"/>
      <c r="G189" s="3"/>
    </row>
    <row r="190" spans="1:14" x14ac:dyDescent="0.55000000000000004">
      <c r="B190" s="3">
        <v>40256</v>
      </c>
      <c r="C190" s="3">
        <v>54490</v>
      </c>
      <c r="D190" s="3">
        <v>63056</v>
      </c>
      <c r="E190" s="3">
        <v>30915</v>
      </c>
      <c r="F190" s="3"/>
      <c r="G190" s="3"/>
    </row>
    <row r="191" spans="1:14" x14ac:dyDescent="0.55000000000000004">
      <c r="A191" t="s">
        <v>89</v>
      </c>
      <c r="B191" s="3">
        <v>28095</v>
      </c>
      <c r="C191" s="3">
        <v>31725</v>
      </c>
      <c r="D191" s="3">
        <v>25481</v>
      </c>
      <c r="E191" s="3">
        <v>12298</v>
      </c>
      <c r="F191" s="3"/>
      <c r="G191" s="3"/>
    </row>
    <row r="192" spans="1:14" x14ac:dyDescent="0.55000000000000004">
      <c r="B192" s="3">
        <v>151064</v>
      </c>
      <c r="C192" s="3">
        <v>151958</v>
      </c>
      <c r="D192" s="3">
        <v>150710</v>
      </c>
      <c r="E192" s="3">
        <v>153117</v>
      </c>
      <c r="F192" s="3"/>
      <c r="G192" s="3"/>
      <c r="I192" s="3">
        <f t="shared" ref="I192" si="277">B192-B193-B194</f>
        <v>0</v>
      </c>
      <c r="J192" s="3">
        <f t="shared" ref="J192" si="278">C192-C193-C194</f>
        <v>0</v>
      </c>
      <c r="K192" s="3">
        <f t="shared" ref="K192" si="279">D192-D193-D194</f>
        <v>0</v>
      </c>
      <c r="L192" s="3">
        <f t="shared" ref="L192" si="280">E192-E193-E194</f>
        <v>0</v>
      </c>
      <c r="M192" s="3">
        <f t="shared" ref="M192" si="281">F192-F193-F194</f>
        <v>0</v>
      </c>
      <c r="N192" s="3">
        <f t="shared" ref="N192" si="282">G192-G193-G194</f>
        <v>0</v>
      </c>
    </row>
    <row r="193" spans="1:14" x14ac:dyDescent="0.55000000000000004">
      <c r="B193" s="3">
        <v>73349</v>
      </c>
      <c r="C193" s="3">
        <v>85419</v>
      </c>
      <c r="D193" s="3">
        <v>80364</v>
      </c>
      <c r="E193" s="3">
        <v>82072</v>
      </c>
      <c r="F193" s="3"/>
      <c r="G193" s="3"/>
    </row>
    <row r="194" spans="1:14" x14ac:dyDescent="0.55000000000000004">
      <c r="B194" s="3">
        <v>77715</v>
      </c>
      <c r="C194" s="3">
        <v>66539</v>
      </c>
      <c r="D194" s="3">
        <v>70346</v>
      </c>
      <c r="E194" s="3">
        <v>71045</v>
      </c>
      <c r="F194" s="3"/>
      <c r="G194" s="3"/>
    </row>
    <row r="195" spans="1:14" x14ac:dyDescent="0.55000000000000004">
      <c r="A195" t="s">
        <v>90</v>
      </c>
      <c r="B195" s="3">
        <v>24337</v>
      </c>
      <c r="C195" s="3">
        <v>24965</v>
      </c>
      <c r="D195" s="3">
        <v>15970</v>
      </c>
      <c r="E195" s="3">
        <v>7752</v>
      </c>
      <c r="F195" s="3"/>
      <c r="G195" s="3"/>
    </row>
    <row r="196" spans="1:14" x14ac:dyDescent="0.55000000000000004">
      <c r="B196" s="3">
        <v>130344</v>
      </c>
      <c r="C196" s="3">
        <v>126623</v>
      </c>
      <c r="D196" s="3">
        <v>128170</v>
      </c>
      <c r="E196" s="3">
        <v>106517</v>
      </c>
      <c r="F196" s="3">
        <v>82004</v>
      </c>
      <c r="G196" s="3"/>
      <c r="I196" s="3">
        <f t="shared" ref="I196" si="283">B196-B197-B198</f>
        <v>0</v>
      </c>
      <c r="J196" s="3">
        <f t="shared" ref="J196" si="284">C196-C197-C198</f>
        <v>40000</v>
      </c>
      <c r="K196" s="3">
        <f t="shared" ref="K196" si="285">D196-D197-D198</f>
        <v>0</v>
      </c>
      <c r="L196" s="3">
        <f t="shared" ref="L196" si="286">E196-E197-E198</f>
        <v>0</v>
      </c>
      <c r="M196" s="3">
        <f t="shared" ref="M196" si="287">F196-F197-F198</f>
        <v>82004</v>
      </c>
      <c r="N196" s="3">
        <f t="shared" ref="N196" si="288">G196-G197-G198</f>
        <v>0</v>
      </c>
    </row>
    <row r="197" spans="1:14" x14ac:dyDescent="0.55000000000000004">
      <c r="B197" s="3">
        <v>60257</v>
      </c>
      <c r="C197" s="3">
        <v>32117</v>
      </c>
      <c r="D197" s="3">
        <v>68866</v>
      </c>
      <c r="E197" s="3">
        <v>82072</v>
      </c>
      <c r="F197" s="3"/>
      <c r="G197" s="3"/>
    </row>
    <row r="198" spans="1:14" x14ac:dyDescent="0.55000000000000004">
      <c r="B198" s="3">
        <v>70087</v>
      </c>
      <c r="C198" s="3">
        <v>54506</v>
      </c>
      <c r="D198" s="3">
        <v>59304</v>
      </c>
      <c r="E198" s="3">
        <v>24445</v>
      </c>
      <c r="F198" s="3"/>
      <c r="G198" s="3"/>
    </row>
    <row r="199" spans="1:14" x14ac:dyDescent="0.55000000000000004">
      <c r="A199" t="s">
        <v>91</v>
      </c>
      <c r="B199" s="3">
        <v>23338</v>
      </c>
      <c r="C199" s="3">
        <v>24583</v>
      </c>
      <c r="D199" s="3">
        <v>19040</v>
      </c>
      <c r="F199" s="3"/>
      <c r="G199" s="3"/>
    </row>
    <row r="200" spans="1:14" x14ac:dyDescent="0.55000000000000004">
      <c r="B200" s="3">
        <v>116411</v>
      </c>
      <c r="C200" s="3">
        <v>110948</v>
      </c>
      <c r="D200" s="3">
        <v>114546</v>
      </c>
      <c r="E200" s="3">
        <v>97141</v>
      </c>
      <c r="F200" s="3"/>
      <c r="G200" s="3"/>
      <c r="I200" s="3">
        <f t="shared" ref="I200" si="289">B200-B201-B202</f>
        <v>300</v>
      </c>
      <c r="J200" s="3">
        <f t="shared" ref="J200" si="290">C200-C201-C202</f>
        <v>0</v>
      </c>
      <c r="K200" s="3">
        <f t="shared" ref="K200" si="291">D200-D201-D202</f>
        <v>0</v>
      </c>
      <c r="L200" s="3">
        <f t="shared" ref="L200" si="292">E200-E201-E202</f>
        <v>0</v>
      </c>
      <c r="M200" s="3">
        <f t="shared" ref="M200" si="293">F200-F201-F202</f>
        <v>0</v>
      </c>
      <c r="N200" s="3">
        <f t="shared" ref="N200" si="294">G200-G201-G202</f>
        <v>0</v>
      </c>
    </row>
    <row r="201" spans="1:14" x14ac:dyDescent="0.55000000000000004">
      <c r="B201" s="3">
        <v>59972</v>
      </c>
      <c r="C201" s="3">
        <v>61706</v>
      </c>
      <c r="D201" s="3">
        <v>65334</v>
      </c>
      <c r="E201" s="3">
        <v>69130</v>
      </c>
      <c r="F201" s="3"/>
      <c r="G201" s="3"/>
    </row>
    <row r="202" spans="1:14" x14ac:dyDescent="0.55000000000000004">
      <c r="B202" s="3">
        <v>56139</v>
      </c>
      <c r="C202" s="3">
        <v>49242</v>
      </c>
      <c r="D202" s="3">
        <v>49212</v>
      </c>
      <c r="E202" s="3">
        <v>28011</v>
      </c>
      <c r="F202" s="3"/>
      <c r="G202" s="3"/>
    </row>
    <row r="203" spans="1:14" x14ac:dyDescent="0.55000000000000004">
      <c r="A203" t="s">
        <v>92</v>
      </c>
      <c r="B203" s="3">
        <v>3407</v>
      </c>
      <c r="C203" s="3">
        <v>3546</v>
      </c>
      <c r="D203" s="3">
        <v>3151</v>
      </c>
      <c r="E203" s="3">
        <v>2483</v>
      </c>
      <c r="F203" s="3"/>
      <c r="G203" s="3"/>
    </row>
    <row r="204" spans="1:14" x14ac:dyDescent="0.55000000000000004">
      <c r="B204" s="3">
        <v>11900</v>
      </c>
      <c r="C204" s="3">
        <v>11653</v>
      </c>
      <c r="D204" s="3">
        <v>11854</v>
      </c>
      <c r="E204" s="3">
        <v>10239</v>
      </c>
      <c r="F204" s="3"/>
      <c r="G204" s="3"/>
      <c r="I204" s="3">
        <f t="shared" ref="I204" si="295">B204-B205-B206</f>
        <v>0</v>
      </c>
      <c r="J204" s="3">
        <f t="shared" ref="J204" si="296">C204-C205-C206</f>
        <v>0</v>
      </c>
      <c r="K204" s="3">
        <f t="shared" ref="K204" si="297">D204-D205-D206</f>
        <v>0</v>
      </c>
      <c r="L204" s="3">
        <f t="shared" ref="L204" si="298">E204-E205-E206</f>
        <v>0</v>
      </c>
      <c r="M204" s="3">
        <f t="shared" ref="M204" si="299">F204-F205-F206</f>
        <v>0</v>
      </c>
      <c r="N204" s="3">
        <f t="shared" ref="N204" si="300">G204-G205-G206</f>
        <v>0</v>
      </c>
    </row>
    <row r="205" spans="1:14" x14ac:dyDescent="0.55000000000000004">
      <c r="B205" s="3">
        <v>8431</v>
      </c>
      <c r="C205" s="3">
        <v>9089</v>
      </c>
      <c r="D205" s="3">
        <v>9212</v>
      </c>
      <c r="E205" s="3">
        <v>8780</v>
      </c>
      <c r="F205" s="3"/>
      <c r="G205" s="3"/>
    </row>
    <row r="206" spans="1:14" x14ac:dyDescent="0.55000000000000004">
      <c r="B206" s="3">
        <v>3469</v>
      </c>
      <c r="C206" s="3">
        <v>2564</v>
      </c>
      <c r="D206" s="3">
        <v>2642</v>
      </c>
      <c r="E206" s="3">
        <v>1459</v>
      </c>
      <c r="F206" s="3"/>
      <c r="G206" s="3"/>
    </row>
    <row r="207" spans="1:14" x14ac:dyDescent="0.55000000000000004">
      <c r="A207" t="s">
        <v>93</v>
      </c>
      <c r="B207" s="3">
        <v>9036</v>
      </c>
      <c r="C207" s="3">
        <v>10799</v>
      </c>
      <c r="D207" s="3">
        <v>9063</v>
      </c>
      <c r="E207" s="3">
        <v>3967</v>
      </c>
      <c r="F207" s="3">
        <v>3205</v>
      </c>
      <c r="G207" s="3">
        <v>4579</v>
      </c>
    </row>
    <row r="208" spans="1:14" x14ac:dyDescent="0.55000000000000004">
      <c r="B208" s="3">
        <v>49543</v>
      </c>
      <c r="C208" s="3">
        <v>51145</v>
      </c>
      <c r="D208" s="3">
        <v>53325</v>
      </c>
      <c r="E208" s="3">
        <v>45608</v>
      </c>
      <c r="F208" s="3">
        <v>36626</v>
      </c>
      <c r="G208" s="3">
        <v>30097</v>
      </c>
      <c r="I208" s="3">
        <f t="shared" ref="I208" si="301">B208-B209-B210</f>
        <v>-1</v>
      </c>
      <c r="J208" s="3">
        <f t="shared" ref="J208" si="302">C208-C209-C210</f>
        <v>0</v>
      </c>
      <c r="K208" s="3">
        <f t="shared" ref="K208" si="303">D208-D209-D210</f>
        <v>0</v>
      </c>
      <c r="L208" s="3">
        <f t="shared" ref="L208" si="304">E208-E209-E210</f>
        <v>0</v>
      </c>
      <c r="M208" s="3">
        <f t="shared" ref="M208" si="305">F208-F209-F210</f>
        <v>0</v>
      </c>
      <c r="N208" s="3">
        <f t="shared" ref="N208" si="306">G208-G209-G210</f>
        <v>0</v>
      </c>
    </row>
    <row r="209" spans="2:7" x14ac:dyDescent="0.55000000000000004">
      <c r="B209" s="3">
        <v>34775</v>
      </c>
      <c r="C209" s="3">
        <v>38094</v>
      </c>
      <c r="D209" s="3">
        <v>34493</v>
      </c>
      <c r="E209" s="3">
        <v>31018</v>
      </c>
      <c r="F209" s="3">
        <v>32417</v>
      </c>
      <c r="G209" s="3">
        <v>36754</v>
      </c>
    </row>
    <row r="210" spans="2:7" x14ac:dyDescent="0.55000000000000004">
      <c r="B210" s="3">
        <v>14769</v>
      </c>
      <c r="C210" s="3">
        <v>13051</v>
      </c>
      <c r="D210" s="3">
        <v>18832</v>
      </c>
      <c r="E210" s="3">
        <v>14590</v>
      </c>
      <c r="F210" s="3">
        <v>4209</v>
      </c>
      <c r="G210" s="3">
        <v>-6657</v>
      </c>
    </row>
    <row r="211" spans="2:7" x14ac:dyDescent="0.55000000000000004">
      <c r="B211" s="23"/>
      <c r="C211" s="23"/>
      <c r="D211" s="23"/>
      <c r="E211" s="23"/>
      <c r="F211" s="23"/>
      <c r="G211" s="23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Оценки</vt:lpstr>
      <vt:lpstr>Боярский</vt:lpstr>
      <vt:lpstr>Максудов</vt:lpstr>
      <vt:lpstr>Бирабен</vt:lpstr>
      <vt:lpstr>смесь-1</vt:lpstr>
      <vt:lpstr>поля конверта</vt:lpstr>
      <vt:lpstr>Новосельский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Oboguev, Sergey</cp:lastModifiedBy>
  <dcterms:created xsi:type="dcterms:W3CDTF">2026-05-31T23:49:13Z</dcterms:created>
  <dcterms:modified xsi:type="dcterms:W3CDTF">2026-06-18T22:09:57Z</dcterms:modified>
</cp:coreProperties>
</file>