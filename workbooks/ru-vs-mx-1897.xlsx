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EA049CB6-64FD-46B8-A22C-C90FB21087D8}" xr6:coauthVersionLast="45" xr6:coauthVersionMax="45" xr10:uidLastSave="{00000000-0000-0000-0000-000000000000}"/>
  <bookViews>
    <workbookView xWindow="510" yWindow="1710" windowWidth="17820" windowHeight="21015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" i="2" l="1"/>
  <c r="H4" i="2"/>
  <c r="I11" i="2"/>
  <c r="I10" i="2"/>
  <c r="I9" i="2"/>
  <c r="I8" i="2"/>
  <c r="I7" i="2"/>
  <c r="I6" i="2"/>
  <c r="I5" i="2"/>
  <c r="H11" i="2"/>
  <c r="H10" i="2"/>
  <c r="H9" i="2"/>
  <c r="H8" i="2"/>
  <c r="H7" i="2"/>
  <c r="H6" i="2"/>
  <c r="H5" i="2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T116" i="10"/>
  <c r="S116" i="10"/>
  <c r="Q116" i="10"/>
  <c r="P116" i="10"/>
  <c r="N116" i="10"/>
  <c r="M116" i="10"/>
  <c r="T114" i="10"/>
  <c r="S114" i="10"/>
  <c r="T113" i="10"/>
  <c r="S113" i="10"/>
  <c r="T112" i="10"/>
  <c r="S112" i="10"/>
  <c r="T111" i="10"/>
  <c r="S111" i="10"/>
  <c r="T110" i="10"/>
  <c r="S110" i="10"/>
  <c r="T109" i="10"/>
  <c r="S109" i="10"/>
  <c r="T108" i="10"/>
  <c r="S108" i="10"/>
  <c r="T107" i="10"/>
  <c r="S107" i="10"/>
  <c r="T106" i="10"/>
  <c r="S106" i="10"/>
  <c r="T105" i="10"/>
  <c r="S105" i="10"/>
  <c r="T104" i="10"/>
  <c r="S104" i="10"/>
  <c r="T103" i="10"/>
  <c r="S103" i="10"/>
  <c r="T102" i="10"/>
  <c r="S102" i="10"/>
  <c r="T101" i="10"/>
  <c r="S101" i="10"/>
  <c r="T100" i="10"/>
  <c r="S100" i="10"/>
  <c r="T99" i="10"/>
  <c r="S99" i="10"/>
  <c r="T98" i="10"/>
  <c r="S98" i="10"/>
  <c r="T97" i="10"/>
  <c r="S97" i="10"/>
  <c r="T96" i="10"/>
  <c r="S96" i="10"/>
  <c r="T95" i="10"/>
  <c r="S95" i="10"/>
  <c r="T94" i="10"/>
  <c r="S94" i="10"/>
  <c r="T93" i="10"/>
  <c r="S93" i="10"/>
  <c r="T92" i="10"/>
  <c r="S92" i="10"/>
  <c r="T91" i="10"/>
  <c r="S91" i="10"/>
  <c r="T90" i="10"/>
  <c r="S90" i="10"/>
  <c r="T89" i="10"/>
  <c r="S89" i="10"/>
  <c r="T88" i="10"/>
  <c r="S88" i="10"/>
  <c r="T87" i="10"/>
  <c r="S87" i="10"/>
  <c r="T86" i="10"/>
  <c r="S86" i="10"/>
  <c r="T85" i="10"/>
  <c r="S85" i="10"/>
  <c r="T84" i="10"/>
  <c r="S84" i="10"/>
  <c r="T83" i="10"/>
  <c r="S83" i="10"/>
  <c r="T82" i="10"/>
  <c r="S82" i="10"/>
  <c r="T81" i="10"/>
  <c r="S81" i="10"/>
  <c r="T80" i="10"/>
  <c r="S80" i="10"/>
  <c r="T79" i="10"/>
  <c r="S79" i="10"/>
  <c r="T78" i="10"/>
  <c r="S78" i="10"/>
  <c r="T77" i="10"/>
  <c r="S77" i="10"/>
  <c r="T76" i="10"/>
  <c r="S76" i="10"/>
  <c r="T75" i="10"/>
  <c r="S75" i="10"/>
  <c r="T74" i="10"/>
  <c r="S74" i="10"/>
  <c r="T73" i="10"/>
  <c r="S73" i="10"/>
  <c r="T72" i="10"/>
  <c r="S72" i="10"/>
  <c r="T71" i="10"/>
  <c r="S71" i="10"/>
  <c r="T70" i="10"/>
  <c r="S70" i="10"/>
  <c r="T69" i="10"/>
  <c r="S69" i="10"/>
  <c r="T68" i="10"/>
  <c r="S68" i="10"/>
  <c r="T67" i="10"/>
  <c r="S67" i="10"/>
  <c r="T66" i="10"/>
  <c r="S66" i="10"/>
  <c r="T65" i="10"/>
  <c r="S65" i="10"/>
  <c r="T64" i="10"/>
  <c r="S64" i="10"/>
  <c r="T63" i="10"/>
  <c r="S63" i="10"/>
  <c r="T62" i="10"/>
  <c r="S62" i="10"/>
  <c r="T61" i="10"/>
  <c r="S61" i="10"/>
  <c r="T60" i="10"/>
  <c r="S60" i="10"/>
  <c r="T59" i="10"/>
  <c r="S59" i="10"/>
  <c r="T58" i="10"/>
  <c r="S58" i="10"/>
  <c r="T57" i="10"/>
  <c r="S57" i="10"/>
  <c r="T56" i="10"/>
  <c r="S56" i="10"/>
  <c r="T55" i="10"/>
  <c r="S55" i="10"/>
  <c r="T54" i="10"/>
  <c r="S54" i="10"/>
  <c r="T53" i="10"/>
  <c r="S53" i="10"/>
  <c r="T52" i="10"/>
  <c r="S52" i="10"/>
  <c r="T51" i="10"/>
  <c r="S51" i="10"/>
  <c r="T50" i="10"/>
  <c r="S50" i="10"/>
  <c r="T49" i="10"/>
  <c r="S49" i="10"/>
  <c r="T48" i="10"/>
  <c r="S48" i="10"/>
  <c r="T47" i="10"/>
  <c r="S47" i="10"/>
  <c r="T46" i="10"/>
  <c r="S46" i="10"/>
  <c r="T45" i="10"/>
  <c r="S45" i="10"/>
  <c r="T44" i="10"/>
  <c r="S44" i="10"/>
  <c r="T43" i="10"/>
  <c r="S43" i="10"/>
  <c r="T42" i="10"/>
  <c r="S42" i="10"/>
  <c r="T41" i="10"/>
  <c r="S41" i="10"/>
  <c r="T40" i="10"/>
  <c r="S40" i="10"/>
  <c r="T39" i="10"/>
  <c r="S39" i="10"/>
  <c r="T38" i="10"/>
  <c r="S38" i="10"/>
  <c r="T37" i="10"/>
  <c r="S37" i="10"/>
  <c r="T36" i="10"/>
  <c r="S36" i="10"/>
  <c r="T35" i="10"/>
  <c r="S35" i="10"/>
  <c r="T34" i="10"/>
  <c r="S34" i="10"/>
  <c r="T33" i="10"/>
  <c r="S33" i="10"/>
  <c r="T32" i="10"/>
  <c r="S32" i="10"/>
  <c r="T31" i="10"/>
  <c r="S31" i="10"/>
  <c r="T30" i="10"/>
  <c r="S30" i="10"/>
  <c r="T29" i="10"/>
  <c r="S29" i="10"/>
  <c r="T28" i="10"/>
  <c r="S28" i="10"/>
  <c r="T27" i="10"/>
  <c r="S27" i="10"/>
  <c r="T26" i="10"/>
  <c r="S26" i="10"/>
  <c r="T25" i="10"/>
  <c r="S25" i="10"/>
  <c r="T24" i="10"/>
  <c r="S24" i="10"/>
  <c r="T23" i="10"/>
  <c r="S23" i="10"/>
  <c r="T22" i="10"/>
  <c r="S22" i="10"/>
  <c r="T21" i="10"/>
  <c r="S21" i="10"/>
  <c r="T20" i="10"/>
  <c r="S20" i="10"/>
  <c r="T19" i="10"/>
  <c r="S19" i="10"/>
  <c r="T18" i="10"/>
  <c r="S18" i="10"/>
  <c r="T17" i="10"/>
  <c r="S17" i="10"/>
  <c r="T16" i="10"/>
  <c r="S16" i="10"/>
  <c r="T15" i="10"/>
  <c r="S15" i="10"/>
  <c r="T14" i="10"/>
  <c r="S14" i="10"/>
  <c r="T13" i="10"/>
  <c r="S13" i="10"/>
  <c r="T12" i="10"/>
  <c r="S12" i="10"/>
  <c r="T11" i="10"/>
  <c r="S11" i="10"/>
  <c r="T10" i="10"/>
  <c r="S10" i="10"/>
  <c r="T9" i="10"/>
  <c r="S9" i="10"/>
  <c r="T8" i="10"/>
  <c r="S8" i="10"/>
  <c r="T7" i="10"/>
  <c r="S7" i="10"/>
  <c r="T6" i="10"/>
  <c r="S6" i="10"/>
  <c r="Q114" i="10"/>
  <c r="P114" i="10"/>
  <c r="Q113" i="10"/>
  <c r="P113" i="10"/>
  <c r="Q112" i="10"/>
  <c r="P112" i="10"/>
  <c r="Q111" i="10"/>
  <c r="P111" i="10"/>
  <c r="Q110" i="10"/>
  <c r="P110" i="10"/>
  <c r="Q109" i="10"/>
  <c r="P109" i="10"/>
  <c r="Q108" i="10"/>
  <c r="P108" i="10"/>
  <c r="Q107" i="10"/>
  <c r="P107" i="10"/>
  <c r="Q106" i="10"/>
  <c r="P106" i="10"/>
  <c r="Q105" i="10"/>
  <c r="P105" i="10"/>
  <c r="Q104" i="10"/>
  <c r="P104" i="10"/>
  <c r="Q103" i="10"/>
  <c r="P103" i="10"/>
  <c r="Q102" i="10"/>
  <c r="P102" i="10"/>
  <c r="Q101" i="10"/>
  <c r="P101" i="10"/>
  <c r="Q100" i="10"/>
  <c r="P100" i="10"/>
  <c r="Q99" i="10"/>
  <c r="P99" i="10"/>
  <c r="Q98" i="10"/>
  <c r="P98" i="10"/>
  <c r="Q97" i="10"/>
  <c r="P97" i="10"/>
  <c r="Q96" i="10"/>
  <c r="P96" i="10"/>
  <c r="Q95" i="10"/>
  <c r="P95" i="10"/>
  <c r="Q94" i="10"/>
  <c r="P94" i="10"/>
  <c r="Q93" i="10"/>
  <c r="P93" i="10"/>
  <c r="Q92" i="10"/>
  <c r="P92" i="10"/>
  <c r="Q91" i="10"/>
  <c r="P91" i="10"/>
  <c r="Q90" i="10"/>
  <c r="P90" i="10"/>
  <c r="Q89" i="10"/>
  <c r="P89" i="10"/>
  <c r="Q88" i="10"/>
  <c r="P88" i="10"/>
  <c r="Q87" i="10"/>
  <c r="P87" i="10"/>
  <c r="Q86" i="10"/>
  <c r="P86" i="10"/>
  <c r="Q85" i="10"/>
  <c r="P85" i="10"/>
  <c r="Q84" i="10"/>
  <c r="P84" i="10"/>
  <c r="Q83" i="10"/>
  <c r="P83" i="10"/>
  <c r="Q82" i="10"/>
  <c r="P82" i="10"/>
  <c r="Q81" i="10"/>
  <c r="P81" i="10"/>
  <c r="Q80" i="10"/>
  <c r="P80" i="10"/>
  <c r="Q79" i="10"/>
  <c r="P79" i="10"/>
  <c r="Q78" i="10"/>
  <c r="P78" i="10"/>
  <c r="Q77" i="10"/>
  <c r="P77" i="10"/>
  <c r="Q76" i="10"/>
  <c r="P76" i="10"/>
  <c r="Q75" i="10"/>
  <c r="P75" i="10"/>
  <c r="Q74" i="10"/>
  <c r="P74" i="10"/>
  <c r="Q73" i="10"/>
  <c r="P73" i="10"/>
  <c r="Q72" i="10"/>
  <c r="P72" i="10"/>
  <c r="Q71" i="10"/>
  <c r="P71" i="10"/>
  <c r="Q70" i="10"/>
  <c r="P70" i="10"/>
  <c r="Q69" i="10"/>
  <c r="P69" i="10"/>
  <c r="Q68" i="10"/>
  <c r="P68" i="10"/>
  <c r="Q67" i="10"/>
  <c r="P67" i="10"/>
  <c r="Q66" i="10"/>
  <c r="P66" i="10"/>
  <c r="Q65" i="10"/>
  <c r="P65" i="10"/>
  <c r="Q64" i="10"/>
  <c r="P64" i="10"/>
  <c r="Q63" i="10"/>
  <c r="P63" i="10"/>
  <c r="Q62" i="10"/>
  <c r="P62" i="10"/>
  <c r="Q61" i="10"/>
  <c r="P61" i="10"/>
  <c r="Q60" i="10"/>
  <c r="P60" i="10"/>
  <c r="Q59" i="10"/>
  <c r="P59" i="10"/>
  <c r="Q58" i="10"/>
  <c r="P58" i="10"/>
  <c r="Q57" i="10"/>
  <c r="P57" i="10"/>
  <c r="Q56" i="10"/>
  <c r="P56" i="10"/>
  <c r="Q55" i="10"/>
  <c r="P55" i="10"/>
  <c r="Q54" i="10"/>
  <c r="P54" i="10"/>
  <c r="Q53" i="10"/>
  <c r="P53" i="10"/>
  <c r="Q52" i="10"/>
  <c r="P52" i="10"/>
  <c r="Q51" i="10"/>
  <c r="P51" i="10"/>
  <c r="Q50" i="10"/>
  <c r="P50" i="10"/>
  <c r="Q49" i="10"/>
  <c r="P49" i="10"/>
  <c r="Q48" i="10"/>
  <c r="P48" i="10"/>
  <c r="Q47" i="10"/>
  <c r="P47" i="10"/>
  <c r="Q46" i="10"/>
  <c r="P46" i="10"/>
  <c r="Q45" i="10"/>
  <c r="P45" i="10"/>
  <c r="Q44" i="10"/>
  <c r="P44" i="10"/>
  <c r="Q43" i="10"/>
  <c r="P43" i="10"/>
  <c r="Q42" i="10"/>
  <c r="P42" i="10"/>
  <c r="Q41" i="10"/>
  <c r="P41" i="10"/>
  <c r="Q40" i="10"/>
  <c r="P40" i="10"/>
  <c r="Q39" i="10"/>
  <c r="P39" i="10"/>
  <c r="Q38" i="10"/>
  <c r="P38" i="10"/>
  <c r="Q37" i="10"/>
  <c r="P37" i="10"/>
  <c r="Q36" i="10"/>
  <c r="P36" i="10"/>
  <c r="Q35" i="10"/>
  <c r="P35" i="10"/>
  <c r="Q34" i="10"/>
  <c r="P34" i="10"/>
  <c r="Q33" i="10"/>
  <c r="P33" i="10"/>
  <c r="Q32" i="10"/>
  <c r="P32" i="10"/>
  <c r="Q31" i="10"/>
  <c r="P31" i="10"/>
  <c r="Q30" i="10"/>
  <c r="P30" i="10"/>
  <c r="Q29" i="10"/>
  <c r="P29" i="10"/>
  <c r="Q28" i="10"/>
  <c r="P28" i="10"/>
  <c r="Q27" i="10"/>
  <c r="P27" i="10"/>
  <c r="Q26" i="10"/>
  <c r="P26" i="10"/>
  <c r="Q25" i="10"/>
  <c r="P25" i="10"/>
  <c r="Q24" i="10"/>
  <c r="P24" i="10"/>
  <c r="Q23" i="10"/>
  <c r="P23" i="10"/>
  <c r="Q22" i="10"/>
  <c r="P22" i="10"/>
  <c r="Q21" i="10"/>
  <c r="P21" i="10"/>
  <c r="Q20" i="10"/>
  <c r="P20" i="10"/>
  <c r="Q19" i="10"/>
  <c r="P19" i="10"/>
  <c r="Q18" i="10"/>
  <c r="P18" i="10"/>
  <c r="Q17" i="10"/>
  <c r="P17" i="10"/>
  <c r="Q16" i="10"/>
  <c r="P16" i="10"/>
  <c r="Q15" i="10"/>
  <c r="P15" i="10"/>
  <c r="Q14" i="10"/>
  <c r="P14" i="10"/>
  <c r="Q13" i="10"/>
  <c r="P13" i="10"/>
  <c r="Q12" i="10"/>
  <c r="P12" i="10"/>
  <c r="Q11" i="10"/>
  <c r="P11" i="10"/>
  <c r="Q10" i="10"/>
  <c r="P10" i="10"/>
  <c r="Q9" i="10"/>
  <c r="P9" i="10"/>
  <c r="Q8" i="10"/>
  <c r="P8" i="10"/>
  <c r="Q7" i="10"/>
  <c r="P7" i="10"/>
  <c r="Q6" i="10"/>
  <c r="P6" i="10"/>
  <c r="T5" i="10"/>
  <c r="S5" i="10"/>
  <c r="Q5" i="10"/>
  <c r="P5" i="10"/>
  <c r="N114" i="10"/>
  <c r="N113" i="10"/>
  <c r="N112" i="10"/>
  <c r="N111" i="10"/>
  <c r="N110" i="10"/>
  <c r="N109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N8" i="10"/>
  <c r="N7" i="10"/>
  <c r="N6" i="10"/>
  <c r="N5" i="10"/>
  <c r="M114" i="10"/>
  <c r="M113" i="10"/>
  <c r="M112" i="10"/>
  <c r="M111" i="10"/>
  <c r="M110" i="10"/>
  <c r="M109" i="10"/>
  <c r="M108" i="10"/>
  <c r="M107" i="10"/>
  <c r="M106" i="10"/>
  <c r="M105" i="10"/>
  <c r="M104" i="10"/>
  <c r="M103" i="10"/>
  <c r="M102" i="10"/>
  <c r="M101" i="10"/>
  <c r="M100" i="10"/>
  <c r="M99" i="10"/>
  <c r="M98" i="10"/>
  <c r="M97" i="10"/>
  <c r="M96" i="10"/>
  <c r="M95" i="10"/>
  <c r="M94" i="10"/>
  <c r="M93" i="10"/>
  <c r="M92" i="10"/>
  <c r="M91" i="10"/>
  <c r="M90" i="10"/>
  <c r="M89" i="10"/>
  <c r="M88" i="10"/>
  <c r="M87" i="10"/>
  <c r="M86" i="10"/>
  <c r="M85" i="10"/>
  <c r="M84" i="10"/>
  <c r="M83" i="10"/>
  <c r="M82" i="10"/>
  <c r="M81" i="10"/>
  <c r="M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J116" i="10"/>
  <c r="I116" i="10"/>
  <c r="G116" i="10"/>
  <c r="F116" i="10"/>
  <c r="D116" i="10"/>
  <c r="C116" i="10"/>
  <c r="I5" i="7"/>
  <c r="I6" i="7"/>
  <c r="I7" i="7"/>
  <c r="I8" i="7"/>
  <c r="I9" i="7"/>
  <c r="I10" i="7"/>
  <c r="I116" i="7" s="1"/>
  <c r="I11" i="7"/>
  <c r="I12" i="7"/>
  <c r="I13" i="7"/>
  <c r="Q13" i="7" s="1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I31" i="7"/>
  <c r="I32" i="7"/>
  <c r="I33" i="7"/>
  <c r="I34" i="7"/>
  <c r="I35" i="7"/>
  <c r="I36" i="7"/>
  <c r="I37" i="7"/>
  <c r="Q37" i="7" s="1"/>
  <c r="I38" i="7"/>
  <c r="I39" i="7"/>
  <c r="I40" i="7"/>
  <c r="I41" i="7"/>
  <c r="I42" i="7"/>
  <c r="I43" i="7"/>
  <c r="I44" i="7"/>
  <c r="I45" i="7"/>
  <c r="I46" i="7"/>
  <c r="I47" i="7"/>
  <c r="I48" i="7"/>
  <c r="I49" i="7"/>
  <c r="Q49" i="7" s="1"/>
  <c r="I50" i="7"/>
  <c r="I51" i="7"/>
  <c r="I52" i="7"/>
  <c r="I53" i="7"/>
  <c r="I54" i="7"/>
  <c r="I55" i="7"/>
  <c r="I56" i="7"/>
  <c r="I57" i="7"/>
  <c r="I58" i="7"/>
  <c r="I59" i="7"/>
  <c r="I60" i="7"/>
  <c r="I61" i="7"/>
  <c r="Q61" i="7" s="1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Q85" i="7" s="1"/>
  <c r="I86" i="7"/>
  <c r="I87" i="7"/>
  <c r="I88" i="7"/>
  <c r="I89" i="7"/>
  <c r="I90" i="7"/>
  <c r="I91" i="7"/>
  <c r="I92" i="7"/>
  <c r="I93" i="7"/>
  <c r="I94" i="7"/>
  <c r="I95" i="7"/>
  <c r="I96" i="7"/>
  <c r="I97" i="7"/>
  <c r="Q97" i="7" s="1"/>
  <c r="I98" i="7"/>
  <c r="I99" i="7"/>
  <c r="I100" i="7"/>
  <c r="I101" i="7"/>
  <c r="I102" i="7"/>
  <c r="I103" i="7"/>
  <c r="I104" i="7"/>
  <c r="I105" i="7"/>
  <c r="I106" i="7"/>
  <c r="I107" i="7"/>
  <c r="I108" i="7"/>
  <c r="I109" i="7"/>
  <c r="Q109" i="7" s="1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Q19" i="7" s="1"/>
  <c r="H20" i="7"/>
  <c r="Q20" i="7" s="1"/>
  <c r="H21" i="7"/>
  <c r="H22" i="7"/>
  <c r="H23" i="7"/>
  <c r="H24" i="7"/>
  <c r="Q24" i="7" s="1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Q42" i="7" s="1"/>
  <c r="H43" i="7"/>
  <c r="Q43" i="7" s="1"/>
  <c r="H44" i="7"/>
  <c r="H45" i="7"/>
  <c r="H46" i="7"/>
  <c r="H47" i="7"/>
  <c r="H48" i="7"/>
  <c r="Q48" i="7" s="1"/>
  <c r="H49" i="7"/>
  <c r="H50" i="7"/>
  <c r="H51" i="7"/>
  <c r="H52" i="7"/>
  <c r="H53" i="7"/>
  <c r="H54" i="7"/>
  <c r="Q54" i="7" s="1"/>
  <c r="H55" i="7"/>
  <c r="H56" i="7"/>
  <c r="Q56" i="7" s="1"/>
  <c r="H57" i="7"/>
  <c r="H58" i="7"/>
  <c r="H59" i="7"/>
  <c r="H60" i="7"/>
  <c r="Q60" i="7" s="1"/>
  <c r="H61" i="7"/>
  <c r="H62" i="7"/>
  <c r="H63" i="7"/>
  <c r="H64" i="7"/>
  <c r="H65" i="7"/>
  <c r="Q65" i="7" s="1"/>
  <c r="H66" i="7"/>
  <c r="Q66" i="7" s="1"/>
  <c r="H67" i="7"/>
  <c r="Q67" i="7" s="1"/>
  <c r="H68" i="7"/>
  <c r="Q68" i="7" s="1"/>
  <c r="H69" i="7"/>
  <c r="H70" i="7"/>
  <c r="H71" i="7"/>
  <c r="H72" i="7"/>
  <c r="Q72" i="7" s="1"/>
  <c r="H73" i="7"/>
  <c r="H74" i="7"/>
  <c r="H75" i="7"/>
  <c r="H76" i="7"/>
  <c r="H77" i="7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H91" i="7"/>
  <c r="Q91" i="7" s="1"/>
  <c r="H92" i="7"/>
  <c r="Q92" i="7" s="1"/>
  <c r="H93" i="7"/>
  <c r="H94" i="7"/>
  <c r="H95" i="7"/>
  <c r="H96" i="7"/>
  <c r="Q96" i="7" s="1"/>
  <c r="H97" i="7"/>
  <c r="H98" i="7"/>
  <c r="H99" i="7"/>
  <c r="H100" i="7"/>
  <c r="H101" i="7"/>
  <c r="Q101" i="7" s="1"/>
  <c r="H102" i="7"/>
  <c r="Q102" i="7" s="1"/>
  <c r="H103" i="7"/>
  <c r="H104" i="7"/>
  <c r="Q104" i="7" s="1"/>
  <c r="H105" i="7"/>
  <c r="H106" i="7"/>
  <c r="H107" i="7"/>
  <c r="H108" i="7"/>
  <c r="Q108" i="7" s="1"/>
  <c r="H109" i="7"/>
  <c r="H110" i="7"/>
  <c r="H111" i="7"/>
  <c r="H112" i="7"/>
  <c r="H113" i="7"/>
  <c r="Q113" i="7" s="1"/>
  <c r="H114" i="7"/>
  <c r="Q114" i="7"/>
  <c r="Q90" i="7"/>
  <c r="Q78" i="7"/>
  <c r="Q77" i="7"/>
  <c r="Q73" i="7"/>
  <c r="Q53" i="7"/>
  <c r="Q30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5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G115" i="11" l="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5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N116" i="7"/>
  <c r="H116" i="7"/>
  <c r="F116" i="7"/>
  <c r="E116" i="7"/>
  <c r="C116" i="7"/>
  <c r="B116" i="7"/>
  <c r="Q5" i="7"/>
  <c r="N5" i="7"/>
  <c r="K5" i="7"/>
  <c r="K116" i="7" s="1"/>
  <c r="Q116" i="7" l="1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<sst xmlns="http://schemas.openxmlformats.org/spreadsheetml/2006/main" count="217" uniqueCount="153">
  <si>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</si>
  <si>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</si>
  <si>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</si>
  <si>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</si>
  <si>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</si>
  <si>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</si>
  <si>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</si>
  <si>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</si>
  <si>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</si>
  <si>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</si>
  <si>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</si>
  <si>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</si>
  <si>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</si>
  <si>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</si>
  <si>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</si>
  <si>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</si>
  <si>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</si>
  <si>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</si>
  <si>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</si>
  <si>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</si>
  <si>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</si>
  <si>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</si>
  <si>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</si>
  <si>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</si>
  <si>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</si>
  <si>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</si>
  <si>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</si>
  <si>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</si>
  <si>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</si>
  <si>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</si>
  <si>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</si>
  <si>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</si>
  <si>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</si>
  <si>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</si>
  <si>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</si>
  <si>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</si>
  <si>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</si>
  <si>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</si>
  <si>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</si>
  <si>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</si>
  <si>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</si>
  <si>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</si>
  <si>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</si>
  <si>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</si>
  <si>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</si>
  <si>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</si>
  <si>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</si>
  <si>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</si>
  <si>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</si>
  <si>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</si>
  <si>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</si>
  <si>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</si>
  <si>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</si>
  <si>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</si>
  <si>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</si>
  <si>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</si>
  <si>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</si>
  <si>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</si>
  <si>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</si>
  <si>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</si>
  <si>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</si>
  <si>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</si>
  <si>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</si>
  <si>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</si>
  <si>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</si>
  <si>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</si>
  <si>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</si>
  <si>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</si>
  <si>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</si>
  <si>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</si>
  <si>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</si>
  <si>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</si>
  <si>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</si>
  <si>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</si>
  <si>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</si>
  <si>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</si>
  <si>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</si>
  <si>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</si>
  <si>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</si>
  <si>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</si>
  <si>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</si>
  <si>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</si>
  <si>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</si>
  <si>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</si>
  <si>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</si>
  <si>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</si>
  <si>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</si>
  <si>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</si>
  <si>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</si>
  <si>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</si>
  <si>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</si>
  <si>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</si>
  <si>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</si>
  <si>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</si>
  <si>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</si>
  <si>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</si>
  <si>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</si>
  <si>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</si>
  <si>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</si>
  <si>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</si>
  <si>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</si>
  <si>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</si>
  <si>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</si>
  <si>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</si>
  <si>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</si>
  <si>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</si>
  <si>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</si>
  <si>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</si>
  <si>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</si>
  <si>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</si>
  <si>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</si>
  <si>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</si>
  <si>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</si>
  <si>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</si>
  <si>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</si>
  <si>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</si>
  <si>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</si>
  <si>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</si>
  <si>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</si>
  <si>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</si>
  <si>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</si>
  <si>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</si>
  <si>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</si>
  <si>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</si>
  <si>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</si>
  <si>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</si>
  <si>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</si>
  <si>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</si>
  <si>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</si>
  <si>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</si>
  <si>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</si>
  <si>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</si>
  <si>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</si>
  <si>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</si>
  <si>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</si>
  <si>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нормированная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</si>
  <si>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</si>
  <si>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</si>
  <si>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</si>
  <si>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</si>
  <si>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</si>
  <si>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</si>
  <si>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</si>
  <si>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</si>
  <si>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</si>
  <si>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</si>
  <si>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</si>
  <si>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Минимальная коррекция на недоучёт детей возрастов 0-1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</si>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</sst>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0" fontId="0" fillId="0" borderId="0" xfId="0" applyNumberFormat="1"/>
    <xf numFmtId="3" fontId="2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3" fontId="3" fillId="0" borderId="0" xfId="0" applyNumberFormat="1" applyFont="1" applyAlignment="1">
      <alignment vertical="center"/>
    </xf>
    <xf numFmtId="3" fontId="0" fillId="0" borderId="0" xfId="0" applyNumberFormat="1" applyFont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1" fillId="3" borderId="0" xfId="0" applyFont="1" applyFill="1" applyAlignment="1">
      <alignment horizontal="center"/>
    </xf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3</xdr:row>
      <xdr:rowOff>61911</xdr:rowOff>
    </xdr:from>
    <xdr:to>
      <xdr:col>20</xdr:col>
      <xdr:colOff>600075</xdr:colOff>
      <xdr:row>42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37"/>
  <sheetViews>
    <sheetView tabSelected="1" workbookViewId="0">
      <selection activeCell="F13" sqref="F13"/>
    </sheetView>
  </sheetViews>
  <sheetFormatPr defaultRowHeight="15" x14ac:dyDescent="0.25"/>
  <cols>
    <col min="1" max="1" width="20.140625" customWidth="1"/>
  </cols>
  <sheetData>
    <row r="1" spans="1:2" x14ac:dyDescent="0.25">
      <c r="A1" s="5" t="s">
        <v>89</v>
      </c>
      <c r="B1" t="s">
        <v>90</v>
      </c>
    </row>
    <row r="2" spans="1:2" x14ac:dyDescent="0.25">
      <c r="B2" t="s">
        <v>85</v>
      </c>
    </row>
    <row r="3" spans="1:2" x14ac:dyDescent="0.25">
      <c r="B3" t="s">
        <v>87</v>
      </c>
    </row>
    <row r="4" spans="1:2" x14ac:dyDescent="0.25">
      <c r="B4" t="s">
        <v>88</v>
      </c>
    </row>
    <row r="5" spans="1:2" x14ac:dyDescent="0.25">
      <c r="B5" t="s">
        <v>143</v>
      </c>
    </row>
    <row r="7" spans="1:2" x14ac:dyDescent="0.25">
      <c r="A7" s="5" t="s">
        <v>140</v>
      </c>
      <c r="B7" t="s">
        <v>122</v>
      </c>
    </row>
    <row r="8" spans="1:2" x14ac:dyDescent="0.25">
      <c r="B8" t="s">
        <v>121</v>
      </c>
    </row>
    <row r="10" spans="1:2" x14ac:dyDescent="0.25">
      <c r="A10" s="5" t="s">
        <v>146</v>
      </c>
      <c r="B10" t="s">
        <v>147</v>
      </c>
    </row>
    <row r="11" spans="1:2" x14ac:dyDescent="0.25">
      <c r="B11" t="s">
        <v>148</v>
      </c>
    </row>
    <row r="12" spans="1:2" x14ac:dyDescent="0.25">
      <c r="B12" t="s">
        <v>150</v>
      </c>
    </row>
    <row r="13" spans="1:2" x14ac:dyDescent="0.25">
      <c r="B13" t="s">
        <v>151</v>
      </c>
    </row>
    <row r="14" spans="1:2" x14ac:dyDescent="0.25">
      <c r="B14" t="s">
        <v>152</v>
      </c>
    </row>
    <row r="16" spans="1:2" x14ac:dyDescent="0.25">
      <c r="A16" s="5" t="s">
        <v>86</v>
      </c>
      <c r="B16" t="s">
        <v>14</v>
      </c>
    </row>
    <row r="17" spans="1:2" x14ac:dyDescent="0.25">
      <c r="B17" t="s">
        <v>85</v>
      </c>
    </row>
    <row r="18" spans="1:2" x14ac:dyDescent="0.25">
      <c r="B18" t="s">
        <v>13</v>
      </c>
    </row>
    <row r="19" spans="1:2" x14ac:dyDescent="0.25">
      <c r="B19" t="s">
        <v>15</v>
      </c>
    </row>
    <row r="20" spans="1:2" x14ac:dyDescent="0.25">
      <c r="B20" t="s">
        <v>144</v>
      </c>
    </row>
    <row r="22" spans="1:2" x14ac:dyDescent="0.25">
      <c r="A22" s="5" t="s">
        <v>141</v>
      </c>
      <c r="B22" t="s">
        <v>124</v>
      </c>
    </row>
    <row r="23" spans="1:2" x14ac:dyDescent="0.25">
      <c r="B23" t="s">
        <v>121</v>
      </c>
    </row>
    <row r="25" spans="1:2" x14ac:dyDescent="0.25">
      <c r="A25" s="5" t="s">
        <v>19</v>
      </c>
      <c r="B25" t="s">
        <v>20</v>
      </c>
    </row>
    <row r="26" spans="1:2" x14ac:dyDescent="0.25">
      <c r="B26" t="s">
        <v>21</v>
      </c>
    </row>
    <row r="27" spans="1:2" x14ac:dyDescent="0.25">
      <c r="B27" t="s">
        <v>85</v>
      </c>
    </row>
    <row r="28" spans="1:2" x14ac:dyDescent="0.25">
      <c r="B28" t="s">
        <v>145</v>
      </c>
    </row>
    <row r="29" spans="1:2" x14ac:dyDescent="0.25">
      <c r="B29" t="s">
        <v>18</v>
      </c>
    </row>
    <row r="31" spans="1:2" x14ac:dyDescent="0.25">
      <c r="A31" s="5" t="s">
        <v>112</v>
      </c>
      <c r="B31" t="s">
        <v>20</v>
      </c>
    </row>
    <row r="32" spans="1:2" x14ac:dyDescent="0.25">
      <c r="B32" t="s">
        <v>142</v>
      </c>
    </row>
    <row r="33" spans="1:2" x14ac:dyDescent="0.25">
      <c r="B33" t="s">
        <v>113</v>
      </c>
    </row>
    <row r="35" spans="1:2" x14ac:dyDescent="0.25">
      <c r="A35" s="5" t="s">
        <v>125</v>
      </c>
      <c r="B35" t="s">
        <v>126</v>
      </c>
    </row>
    <row r="36" spans="1:2" x14ac:dyDescent="0.25">
      <c r="B36" t="s">
        <v>127</v>
      </c>
    </row>
    <row r="37" spans="1:2" x14ac:dyDescent="0.25">
      <c r="B37" t="s">
        <v>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F47" sqref="F47"/>
    </sheetView>
  </sheetViews>
  <sheetFormatPr defaultRowHeight="15" x14ac:dyDescent="0.25"/>
  <cols>
    <col min="1" max="1" width="10.42578125" customWidth="1"/>
  </cols>
  <sheetData>
    <row r="3" spans="1:9" x14ac:dyDescent="0.25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 x14ac:dyDescent="0.25">
      <c r="A4" s="2" t="s">
        <v>91</v>
      </c>
      <c r="B4" s="11">
        <v>324202</v>
      </c>
      <c r="C4" s="11">
        <v>308727</v>
      </c>
      <c r="D4" s="11">
        <v>632929</v>
      </c>
      <c r="F4" s="4">
        <f>B4+C4-D4</f>
        <v>0</v>
      </c>
    </row>
    <row r="5" spans="1:9" x14ac:dyDescent="0.25">
      <c r="A5" s="2">
        <v>2</v>
      </c>
      <c r="B5" s="11">
        <v>189934</v>
      </c>
      <c r="C5" s="11">
        <v>185418</v>
      </c>
      <c r="D5" s="11">
        <v>375352</v>
      </c>
      <c r="F5" s="4">
        <f t="shared" ref="F5:F30" si="0">B5+C5-D5</f>
        <v>0</v>
      </c>
    </row>
    <row r="6" spans="1:9" x14ac:dyDescent="0.25">
      <c r="A6" s="2">
        <v>3</v>
      </c>
      <c r="B6" s="11">
        <v>189977</v>
      </c>
      <c r="C6" s="11">
        <v>187240</v>
      </c>
      <c r="D6" s="11">
        <v>377217</v>
      </c>
      <c r="F6" s="4">
        <f t="shared" si="0"/>
        <v>0</v>
      </c>
    </row>
    <row r="7" spans="1:9" x14ac:dyDescent="0.25">
      <c r="A7" s="2">
        <v>4</v>
      </c>
      <c r="B7" s="11">
        <v>191481</v>
      </c>
      <c r="C7" s="11">
        <v>190397</v>
      </c>
      <c r="D7" s="11">
        <v>381878</v>
      </c>
      <c r="F7" s="4">
        <f t="shared" si="0"/>
        <v>0</v>
      </c>
    </row>
    <row r="8" spans="1:9" x14ac:dyDescent="0.25">
      <c r="A8" s="3" t="s">
        <v>26</v>
      </c>
      <c r="B8" s="11">
        <v>192191</v>
      </c>
      <c r="C8" s="11">
        <v>182763</v>
      </c>
      <c r="D8" s="11">
        <v>374954</v>
      </c>
      <c r="F8" s="4">
        <f t="shared" si="0"/>
        <v>0</v>
      </c>
    </row>
    <row r="9" spans="1:9" x14ac:dyDescent="0.25">
      <c r="A9" s="3" t="s">
        <v>109</v>
      </c>
      <c r="B9" s="11">
        <v>890484</v>
      </c>
      <c r="C9" s="11">
        <v>835203</v>
      </c>
      <c r="D9" s="11">
        <v>1725687</v>
      </c>
      <c r="F9" s="4">
        <f t="shared" si="0"/>
        <v>0</v>
      </c>
    </row>
    <row r="10" spans="1:9" x14ac:dyDescent="0.25">
      <c r="A10" s="3" t="s">
        <v>110</v>
      </c>
      <c r="B10" s="11">
        <v>686088</v>
      </c>
      <c r="C10" s="11">
        <v>656595</v>
      </c>
      <c r="D10" s="11">
        <v>1342683</v>
      </c>
      <c r="F10" s="4">
        <f t="shared" si="0"/>
        <v>0</v>
      </c>
    </row>
    <row r="11" spans="1:9" x14ac:dyDescent="0.25">
      <c r="A11" s="3" t="s">
        <v>92</v>
      </c>
      <c r="B11" s="11">
        <v>594385</v>
      </c>
      <c r="C11" s="11">
        <v>725053</v>
      </c>
      <c r="D11" s="11">
        <v>1319438</v>
      </c>
      <c r="F11" s="4">
        <f t="shared" si="0"/>
        <v>0</v>
      </c>
    </row>
    <row r="12" spans="1:9" x14ac:dyDescent="0.25">
      <c r="A12" s="3" t="s">
        <v>93</v>
      </c>
      <c r="B12" s="11">
        <v>502893</v>
      </c>
      <c r="C12" s="11">
        <v>565579</v>
      </c>
      <c r="D12" s="11">
        <v>1068472</v>
      </c>
      <c r="F12" s="4">
        <f t="shared" si="0"/>
        <v>0</v>
      </c>
    </row>
    <row r="13" spans="1:9" x14ac:dyDescent="0.25">
      <c r="A13" s="3" t="s">
        <v>94</v>
      </c>
      <c r="B13" s="11">
        <v>590050</v>
      </c>
      <c r="C13" s="11">
        <v>664566</v>
      </c>
      <c r="D13" s="11">
        <v>1254616</v>
      </c>
      <c r="F13" s="4">
        <f t="shared" si="0"/>
        <v>0</v>
      </c>
    </row>
    <row r="14" spans="1:9" x14ac:dyDescent="0.25">
      <c r="A14" s="3" t="s">
        <v>95</v>
      </c>
      <c r="B14" s="11">
        <v>342363</v>
      </c>
      <c r="C14" s="11">
        <v>322093</v>
      </c>
      <c r="D14" s="11">
        <v>664456</v>
      </c>
      <c r="F14" s="4">
        <f t="shared" si="0"/>
        <v>0</v>
      </c>
    </row>
    <row r="15" spans="1:9" x14ac:dyDescent="0.25">
      <c r="A15" s="3" t="s">
        <v>96</v>
      </c>
      <c r="B15" s="11">
        <v>459923</v>
      </c>
      <c r="C15" s="11">
        <v>471960</v>
      </c>
      <c r="D15" s="11">
        <v>931883</v>
      </c>
      <c r="F15" s="4">
        <f t="shared" si="0"/>
        <v>0</v>
      </c>
    </row>
    <row r="16" spans="1:9" x14ac:dyDescent="0.25">
      <c r="A16" s="3" t="s">
        <v>97</v>
      </c>
      <c r="B16" s="11">
        <v>210453</v>
      </c>
      <c r="C16" s="11">
        <v>197859</v>
      </c>
      <c r="D16" s="11">
        <v>408312</v>
      </c>
      <c r="F16" s="4">
        <f t="shared" si="0"/>
        <v>0</v>
      </c>
      <c r="H16" s="9"/>
      <c r="I16" s="9"/>
    </row>
    <row r="17" spans="1:6" x14ac:dyDescent="0.25">
      <c r="A17" s="3" t="s">
        <v>98</v>
      </c>
      <c r="B17" s="11">
        <v>282259</v>
      </c>
      <c r="C17" s="11">
        <v>303959</v>
      </c>
      <c r="D17" s="11">
        <v>586218</v>
      </c>
      <c r="F17" s="4">
        <f t="shared" si="0"/>
        <v>0</v>
      </c>
    </row>
    <row r="18" spans="1:6" x14ac:dyDescent="0.25">
      <c r="A18" s="3" t="s">
        <v>99</v>
      </c>
      <c r="B18" s="11">
        <v>122072</v>
      </c>
      <c r="C18" s="11">
        <v>112213</v>
      </c>
      <c r="D18" s="11">
        <v>234285</v>
      </c>
      <c r="F18" s="4">
        <f t="shared" si="0"/>
        <v>0</v>
      </c>
    </row>
    <row r="19" spans="1:6" x14ac:dyDescent="0.25">
      <c r="A19" s="3" t="s">
        <v>100</v>
      </c>
      <c r="B19" s="11">
        <v>191098</v>
      </c>
      <c r="C19" s="11">
        <v>195181</v>
      </c>
      <c r="D19" s="11">
        <v>386279</v>
      </c>
      <c r="F19" s="4">
        <f t="shared" si="0"/>
        <v>0</v>
      </c>
    </row>
    <row r="20" spans="1:6" x14ac:dyDescent="0.25">
      <c r="A20" s="3" t="s">
        <v>101</v>
      </c>
      <c r="B20" s="11">
        <v>86413</v>
      </c>
      <c r="C20" s="11">
        <v>65737</v>
      </c>
      <c r="D20" s="11">
        <v>152150</v>
      </c>
      <c r="F20" s="4">
        <f t="shared" si="0"/>
        <v>0</v>
      </c>
    </row>
    <row r="21" spans="1:6" x14ac:dyDescent="0.25">
      <c r="A21" s="3" t="s">
        <v>102</v>
      </c>
      <c r="B21" s="11">
        <v>71229</v>
      </c>
      <c r="C21" s="11">
        <v>62344</v>
      </c>
      <c r="D21" s="11">
        <v>133573</v>
      </c>
      <c r="F21" s="4">
        <f t="shared" si="0"/>
        <v>0</v>
      </c>
    </row>
    <row r="22" spans="1:6" x14ac:dyDescent="0.25">
      <c r="A22" s="3" t="s">
        <v>103</v>
      </c>
      <c r="B22" s="11">
        <v>24290</v>
      </c>
      <c r="C22" s="11">
        <v>20055</v>
      </c>
      <c r="D22" s="11">
        <v>44345</v>
      </c>
      <c r="F22" s="4">
        <f t="shared" si="0"/>
        <v>0</v>
      </c>
    </row>
    <row r="23" spans="1:6" x14ac:dyDescent="0.25">
      <c r="A23" s="3" t="s">
        <v>104</v>
      </c>
      <c r="B23" s="11">
        <v>24513</v>
      </c>
      <c r="C23" s="11">
        <v>23791</v>
      </c>
      <c r="D23" s="11">
        <v>48304</v>
      </c>
      <c r="F23" s="4">
        <f t="shared" si="0"/>
        <v>0</v>
      </c>
    </row>
    <row r="24" spans="1:6" x14ac:dyDescent="0.25">
      <c r="A24" s="3" t="s">
        <v>105</v>
      </c>
      <c r="B24" s="11">
        <v>7276</v>
      </c>
      <c r="C24" s="11">
        <v>6575</v>
      </c>
      <c r="D24" s="11">
        <v>13851</v>
      </c>
      <c r="F24" s="4">
        <f t="shared" si="0"/>
        <v>0</v>
      </c>
    </row>
    <row r="25" spans="1:6" x14ac:dyDescent="0.25">
      <c r="A25" s="3" t="s">
        <v>106</v>
      </c>
      <c r="B25" s="11">
        <v>6151</v>
      </c>
      <c r="C25" s="11">
        <v>5910</v>
      </c>
      <c r="D25" s="11">
        <v>12061</v>
      </c>
      <c r="F25" s="4">
        <f t="shared" si="0"/>
        <v>0</v>
      </c>
    </row>
    <row r="26" spans="1:6" x14ac:dyDescent="0.25">
      <c r="A26" s="3" t="s">
        <v>107</v>
      </c>
      <c r="B26" s="11">
        <v>2174</v>
      </c>
      <c r="C26" s="11">
        <v>1935</v>
      </c>
      <c r="D26" s="11">
        <v>4109</v>
      </c>
      <c r="F26" s="4">
        <f t="shared" si="0"/>
        <v>0</v>
      </c>
    </row>
    <row r="27" spans="1:6" x14ac:dyDescent="0.25">
      <c r="A27" s="3" t="s">
        <v>108</v>
      </c>
      <c r="B27" s="11">
        <v>1585</v>
      </c>
      <c r="C27" s="11">
        <v>1616</v>
      </c>
      <c r="D27" s="11">
        <v>3201</v>
      </c>
      <c r="F27" s="4">
        <f t="shared" si="0"/>
        <v>0</v>
      </c>
    </row>
    <row r="28" spans="1:6" x14ac:dyDescent="0.25">
      <c r="A28" s="3" t="s">
        <v>118</v>
      </c>
      <c r="B28" s="11">
        <v>330</v>
      </c>
      <c r="C28" s="11">
        <v>381</v>
      </c>
      <c r="D28" s="11">
        <v>711</v>
      </c>
      <c r="F28" s="4">
        <f t="shared" si="0"/>
        <v>0</v>
      </c>
    </row>
    <row r="29" spans="1:6" x14ac:dyDescent="0.25">
      <c r="A29" s="3" t="s">
        <v>11</v>
      </c>
      <c r="B29" s="11">
        <v>6497</v>
      </c>
      <c r="C29" s="11">
        <v>8112</v>
      </c>
      <c r="D29" s="11">
        <v>14609</v>
      </c>
      <c r="F29" s="4">
        <f t="shared" si="0"/>
        <v>0</v>
      </c>
    </row>
    <row r="30" spans="1:6" x14ac:dyDescent="0.25">
      <c r="A30" s="3" t="s">
        <v>17</v>
      </c>
      <c r="B30" s="12">
        <v>6190311</v>
      </c>
      <c r="C30" s="12">
        <v>6301262</v>
      </c>
      <c r="D30" s="12" t="s">
        <v>111</v>
      </c>
      <c r="F30" s="4">
        <f t="shared" si="0"/>
        <v>0</v>
      </c>
    </row>
    <row r="31" spans="1:6" x14ac:dyDescent="0.25">
      <c r="A31" s="1"/>
    </row>
    <row r="32" spans="1:6" x14ac:dyDescent="0.25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 x14ac:dyDescent="0.25">
      <c r="A33" s="1"/>
    </row>
    <row r="34" spans="1:3" x14ac:dyDescent="0.25">
      <c r="A34" s="1" t="s">
        <v>120</v>
      </c>
      <c r="B34" s="4">
        <f>SUM(B4:B28)</f>
        <v>6183814</v>
      </c>
      <c r="C34" s="4">
        <f>SUM(C4:C28)</f>
        <v>6293150</v>
      </c>
    </row>
    <row r="35" spans="1:3" x14ac:dyDescent="0.25">
      <c r="A35" s="1"/>
    </row>
    <row r="36" spans="1:3" x14ac:dyDescent="0.25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opLeftCell="A72" workbookViewId="0">
      <selection sqref="A1:G115"/>
    </sheetView>
  </sheetViews>
  <sheetFormatPr defaultRowHeight="15" x14ac:dyDescent="0.25"/>
  <cols>
    <col min="7" max="7" width="23.140625" customWidth="1"/>
  </cols>
  <sheetData>
    <row r="3" spans="1:7" ht="30" x14ac:dyDescent="0.25">
      <c r="A3" s="6" t="s">
        <v>16</v>
      </c>
      <c r="B3" s="6" t="s">
        <v>0</v>
      </c>
      <c r="C3" s="6" t="s">
        <v>1</v>
      </c>
      <c r="G3" s="18" t="s">
        <v>123</v>
      </c>
    </row>
    <row r="4" spans="1:7" x14ac:dyDescent="0.25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 x14ac:dyDescent="0.25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6183814.1522739995</v>
      </c>
      <c r="C115">
        <f>SUM(C4:C113)</f>
        <v>6293152.0130910007</v>
      </c>
      <c r="G115" s="17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dimension ref="A3:G115"/>
  <sheetViews>
    <sheetView workbookViewId="0">
      <selection activeCell="L9" sqref="L9"/>
    </sheetView>
  </sheetViews>
  <sheetFormatPr defaultRowHeight="15" x14ac:dyDescent="0.25"/>
  <cols>
    <col min="7" max="7" width="18.85546875" customWidth="1"/>
  </cols>
  <sheetData>
    <row r="3" spans="1:7" ht="39.75" customHeight="1" x14ac:dyDescent="0.25">
      <c r="A3" s="13" t="s">
        <v>16</v>
      </c>
      <c r="B3" s="13" t="s">
        <v>0</v>
      </c>
      <c r="C3" s="13" t="s">
        <v>1</v>
      </c>
      <c r="G3" s="19" t="s">
        <v>123</v>
      </c>
    </row>
    <row r="4" spans="1:7" x14ac:dyDescent="0.25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 x14ac:dyDescent="0.25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6294249.9999970011</v>
      </c>
      <c r="C115">
        <f>SUM(C4:C113)</f>
        <v>6397785.0000010012</v>
      </c>
      <c r="G115" s="17">
        <f>SUM(G4:G113) / (B115 + C115)</f>
        <v>23.047409459692073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2:I22"/>
  <sheetViews>
    <sheetView workbookViewId="0">
      <selection activeCell="O49" sqref="O49"/>
    </sheetView>
  </sheetViews>
  <sheetFormatPr defaultRowHeight="15" x14ac:dyDescent="0.25"/>
  <cols>
    <col min="2" max="2" width="13.140625" customWidth="1"/>
    <col min="3" max="3" width="15.5703125" customWidth="1"/>
    <col min="4" max="4" width="13" customWidth="1"/>
    <col min="8" max="8" width="12.85546875" customWidth="1"/>
    <col min="9" max="9" width="13.5703125" customWidth="1"/>
  </cols>
  <sheetData>
    <row r="2" spans="1:9" x14ac:dyDescent="0.25">
      <c r="H2" s="29" t="s">
        <v>149</v>
      </c>
      <c r="I2" s="29"/>
    </row>
    <row r="3" spans="1:9" x14ac:dyDescent="0.25">
      <c r="B3" s="2" t="s">
        <v>0</v>
      </c>
      <c r="C3" s="2" t="s">
        <v>1</v>
      </c>
      <c r="D3" s="2" t="s">
        <v>2</v>
      </c>
      <c r="F3" s="2" t="s">
        <v>12</v>
      </c>
      <c r="H3" s="2" t="s">
        <v>0</v>
      </c>
      <c r="I3" s="2" t="s">
        <v>1</v>
      </c>
    </row>
    <row r="4" spans="1:9" x14ac:dyDescent="0.25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9" x14ac:dyDescent="0.25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</row>
    <row r="6" spans="1:9" x14ac:dyDescent="0.25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>B6/10</f>
        <v>140869.6</v>
      </c>
      <c r="I6" s="4">
        <f>C6/10</f>
        <v>150051.70000000001</v>
      </c>
    </row>
    <row r="7" spans="1:9" x14ac:dyDescent="0.25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>B7/10</f>
        <v>117870.1</v>
      </c>
      <c r="I7" s="4">
        <f>C7/10</f>
        <v>132495.20000000001</v>
      </c>
    </row>
    <row r="8" spans="1:9" x14ac:dyDescent="0.25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>B8/10</f>
        <v>87688.4</v>
      </c>
      <c r="I8" s="4">
        <f>C8/10</f>
        <v>87370.6</v>
      </c>
    </row>
    <row r="9" spans="1:9" x14ac:dyDescent="0.25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>B9/10</f>
        <v>56264.7</v>
      </c>
      <c r="I9" s="4">
        <f>C9/10</f>
        <v>55402.2</v>
      </c>
    </row>
    <row r="10" spans="1:9" x14ac:dyDescent="0.25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>B10/10</f>
        <v>34598.5</v>
      </c>
      <c r="I10" s="4">
        <f>C10/10</f>
        <v>34313.4</v>
      </c>
    </row>
    <row r="11" spans="1:9" x14ac:dyDescent="0.25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>B11/10</f>
        <v>17021.2</v>
      </c>
      <c r="I11" s="4">
        <f>C11/10</f>
        <v>14517.5</v>
      </c>
    </row>
    <row r="12" spans="1:9" x14ac:dyDescent="0.25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9" x14ac:dyDescent="0.25">
      <c r="A13" s="1"/>
    </row>
    <row r="14" spans="1:9" x14ac:dyDescent="0.25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9" x14ac:dyDescent="0.25">
      <c r="A15" s="1"/>
    </row>
    <row r="16" spans="1:9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dimension ref="A2:F119"/>
  <sheetViews>
    <sheetView workbookViewId="0">
      <selection activeCell="A3" sqref="A3:C113"/>
    </sheetView>
  </sheetViews>
  <sheetFormatPr defaultRowHeight="15" x14ac:dyDescent="0.25"/>
  <cols>
    <col min="6" max="6" width="26" customWidth="1"/>
  </cols>
  <sheetData>
    <row r="2" spans="1:6" ht="21.75" customHeight="1" x14ac:dyDescent="0.25"/>
    <row r="3" spans="1:6" ht="32.25" customHeight="1" x14ac:dyDescent="0.25">
      <c r="A3" s="13" t="s">
        <v>16</v>
      </c>
      <c r="B3" s="13" t="s">
        <v>0</v>
      </c>
      <c r="C3" s="13" t="s">
        <v>1</v>
      </c>
      <c r="F3" s="19" t="s">
        <v>123</v>
      </c>
    </row>
    <row r="4" spans="1:6" x14ac:dyDescent="0.25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 x14ac:dyDescent="0.25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 x14ac:dyDescent="0.25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 x14ac:dyDescent="0.25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 x14ac:dyDescent="0.25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 x14ac:dyDescent="0.25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 x14ac:dyDescent="0.25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 x14ac:dyDescent="0.25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 x14ac:dyDescent="0.25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 x14ac:dyDescent="0.25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 x14ac:dyDescent="0.25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 x14ac:dyDescent="0.25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 x14ac:dyDescent="0.25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 x14ac:dyDescent="0.25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 x14ac:dyDescent="0.25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 x14ac:dyDescent="0.25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 x14ac:dyDescent="0.25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 x14ac:dyDescent="0.25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 x14ac:dyDescent="0.25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 x14ac:dyDescent="0.25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 x14ac:dyDescent="0.25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 x14ac:dyDescent="0.25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 x14ac:dyDescent="0.25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 x14ac:dyDescent="0.25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 x14ac:dyDescent="0.25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 x14ac:dyDescent="0.25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 x14ac:dyDescent="0.25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 x14ac:dyDescent="0.25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 x14ac:dyDescent="0.25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 x14ac:dyDescent="0.25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 x14ac:dyDescent="0.25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 x14ac:dyDescent="0.25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 x14ac:dyDescent="0.25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 x14ac:dyDescent="0.25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 x14ac:dyDescent="0.25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 x14ac:dyDescent="0.25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 x14ac:dyDescent="0.25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 x14ac:dyDescent="0.25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 x14ac:dyDescent="0.25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 x14ac:dyDescent="0.25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 x14ac:dyDescent="0.25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 x14ac:dyDescent="0.25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 x14ac:dyDescent="0.25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 x14ac:dyDescent="0.25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 x14ac:dyDescent="0.25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 x14ac:dyDescent="0.25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 x14ac:dyDescent="0.25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 x14ac:dyDescent="0.25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 x14ac:dyDescent="0.25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 x14ac:dyDescent="0.25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 x14ac:dyDescent="0.25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 x14ac:dyDescent="0.25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 x14ac:dyDescent="0.25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 x14ac:dyDescent="0.25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 x14ac:dyDescent="0.25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 x14ac:dyDescent="0.25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 x14ac:dyDescent="0.25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 x14ac:dyDescent="0.25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 x14ac:dyDescent="0.25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 x14ac:dyDescent="0.25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 x14ac:dyDescent="0.25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 x14ac:dyDescent="0.25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 x14ac:dyDescent="0.25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 x14ac:dyDescent="0.25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 x14ac:dyDescent="0.25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 x14ac:dyDescent="0.25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 x14ac:dyDescent="0.25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 x14ac:dyDescent="0.25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 x14ac:dyDescent="0.25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 x14ac:dyDescent="0.25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 x14ac:dyDescent="0.25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 x14ac:dyDescent="0.25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 x14ac:dyDescent="0.25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 x14ac:dyDescent="0.25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 x14ac:dyDescent="0.25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 x14ac:dyDescent="0.25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 x14ac:dyDescent="0.25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 x14ac:dyDescent="0.25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 x14ac:dyDescent="0.25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 x14ac:dyDescent="0.25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 x14ac:dyDescent="0.25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 x14ac:dyDescent="0.25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 x14ac:dyDescent="0.25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 x14ac:dyDescent="0.25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 x14ac:dyDescent="0.25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 x14ac:dyDescent="0.25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 x14ac:dyDescent="0.25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 x14ac:dyDescent="0.25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 x14ac:dyDescent="0.25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 x14ac:dyDescent="0.25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 x14ac:dyDescent="0.25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 x14ac:dyDescent="0.25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 x14ac:dyDescent="0.25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 x14ac:dyDescent="0.25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 x14ac:dyDescent="0.25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 x14ac:dyDescent="0.25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 x14ac:dyDescent="0.25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 x14ac:dyDescent="0.25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 x14ac:dyDescent="0.25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 x14ac:dyDescent="0.25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 x14ac:dyDescent="0.25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 x14ac:dyDescent="0.25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 x14ac:dyDescent="0.25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 x14ac:dyDescent="0.25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 x14ac:dyDescent="0.25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 x14ac:dyDescent="0.25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 x14ac:dyDescent="0.25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 x14ac:dyDescent="0.25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 x14ac:dyDescent="0.25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 x14ac:dyDescent="0.25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 x14ac:dyDescent="0.25">
      <c r="A115" t="s">
        <v>119</v>
      </c>
      <c r="B115">
        <f>SUM(B4:B113)</f>
        <v>6740685.6863400014</v>
      </c>
      <c r="C115">
        <f>SUM(C4:C113)</f>
        <v>6842142.7326650005</v>
      </c>
      <c r="F115" s="20">
        <f>SUM(F4:F113)/(B115+C115)</f>
        <v>22.311606119984724</v>
      </c>
    </row>
    <row r="117" spans="1:6" x14ac:dyDescent="0.25">
      <c r="B117" s="4"/>
      <c r="C117" s="4"/>
    </row>
    <row r="119" spans="1:6" x14ac:dyDescent="0.25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88" workbookViewId="0">
      <selection activeCell="H83" sqref="H83:I85"/>
    </sheetView>
  </sheetViews>
  <sheetFormatPr defaultRowHeight="15" x14ac:dyDescent="0.25"/>
  <cols>
    <col min="2" max="2" width="17" customWidth="1"/>
    <col min="3" max="3" width="12.7109375" customWidth="1"/>
    <col min="4" max="4" width="7.140625" customWidth="1"/>
    <col min="5" max="5" width="8.28515625" customWidth="1"/>
    <col min="6" max="6" width="11.28515625" customWidth="1"/>
    <col min="7" max="7" width="16.5703125" customWidth="1"/>
    <col min="8" max="8" width="10.28515625" bestFit="1" customWidth="1"/>
    <col min="9" max="9" width="10.140625" bestFit="1" customWidth="1"/>
  </cols>
  <sheetData>
    <row r="1" spans="1:13" x14ac:dyDescent="0.25">
      <c r="B1" s="15" t="s">
        <v>77</v>
      </c>
      <c r="C1" s="15"/>
      <c r="D1" s="6"/>
      <c r="E1" s="6"/>
      <c r="H1" s="15" t="s">
        <v>78</v>
      </c>
      <c r="I1" s="15"/>
    </row>
    <row r="3" spans="1:13" x14ac:dyDescent="0.25">
      <c r="A3" s="6" t="s">
        <v>16</v>
      </c>
      <c r="B3" s="6" t="s">
        <v>0</v>
      </c>
      <c r="C3" s="6" t="s">
        <v>1</v>
      </c>
      <c r="D3" s="6"/>
      <c r="E3" s="15" t="s">
        <v>12</v>
      </c>
      <c r="F3" s="15"/>
      <c r="H3" s="6" t="s">
        <v>0</v>
      </c>
      <c r="I3" s="6" t="s">
        <v>1</v>
      </c>
      <c r="K3" s="15" t="s">
        <v>12</v>
      </c>
      <c r="L3" s="15"/>
    </row>
    <row r="4" spans="1:13" x14ac:dyDescent="0.25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 x14ac:dyDescent="0.25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 x14ac:dyDescent="0.25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 x14ac:dyDescent="0.25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 x14ac:dyDescent="0.25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 x14ac:dyDescent="0.25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 x14ac:dyDescent="0.25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 x14ac:dyDescent="0.25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 x14ac:dyDescent="0.25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 x14ac:dyDescent="0.25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 x14ac:dyDescent="0.25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 x14ac:dyDescent="0.25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 x14ac:dyDescent="0.25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 x14ac:dyDescent="0.25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 x14ac:dyDescent="0.25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 x14ac:dyDescent="0.25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 x14ac:dyDescent="0.25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 x14ac:dyDescent="0.25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 x14ac:dyDescent="0.25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 x14ac:dyDescent="0.25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 x14ac:dyDescent="0.25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 x14ac:dyDescent="0.25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 x14ac:dyDescent="0.25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 x14ac:dyDescent="0.25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 x14ac:dyDescent="0.25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 x14ac:dyDescent="0.25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 x14ac:dyDescent="0.25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 x14ac:dyDescent="0.25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 x14ac:dyDescent="0.25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 x14ac:dyDescent="0.25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 x14ac:dyDescent="0.25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 x14ac:dyDescent="0.25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 x14ac:dyDescent="0.25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 x14ac:dyDescent="0.25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 x14ac:dyDescent="0.25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 x14ac:dyDescent="0.25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 x14ac:dyDescent="0.25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 x14ac:dyDescent="0.25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 x14ac:dyDescent="0.25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 x14ac:dyDescent="0.25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 x14ac:dyDescent="0.25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 x14ac:dyDescent="0.25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 x14ac:dyDescent="0.25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 x14ac:dyDescent="0.25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 x14ac:dyDescent="0.25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 x14ac:dyDescent="0.25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 x14ac:dyDescent="0.25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 x14ac:dyDescent="0.25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 x14ac:dyDescent="0.25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 x14ac:dyDescent="0.25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 x14ac:dyDescent="0.25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 x14ac:dyDescent="0.25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 x14ac:dyDescent="0.25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 x14ac:dyDescent="0.25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 x14ac:dyDescent="0.25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 x14ac:dyDescent="0.25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 x14ac:dyDescent="0.25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 x14ac:dyDescent="0.25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 x14ac:dyDescent="0.25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 x14ac:dyDescent="0.25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 x14ac:dyDescent="0.25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 x14ac:dyDescent="0.25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 x14ac:dyDescent="0.25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 x14ac:dyDescent="0.25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 x14ac:dyDescent="0.25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 x14ac:dyDescent="0.25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 x14ac:dyDescent="0.25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 x14ac:dyDescent="0.25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 x14ac:dyDescent="0.25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 x14ac:dyDescent="0.25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 x14ac:dyDescent="0.25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 x14ac:dyDescent="0.25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 x14ac:dyDescent="0.25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 x14ac:dyDescent="0.25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 x14ac:dyDescent="0.25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 x14ac:dyDescent="0.25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 x14ac:dyDescent="0.25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 x14ac:dyDescent="0.25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 x14ac:dyDescent="0.25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 x14ac:dyDescent="0.25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 x14ac:dyDescent="0.25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 x14ac:dyDescent="0.25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 x14ac:dyDescent="0.25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 x14ac:dyDescent="0.25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 x14ac:dyDescent="0.25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 x14ac:dyDescent="0.25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 x14ac:dyDescent="0.25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 x14ac:dyDescent="0.25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 x14ac:dyDescent="0.25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 x14ac:dyDescent="0.25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 x14ac:dyDescent="0.25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 x14ac:dyDescent="0.25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 x14ac:dyDescent="0.25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 x14ac:dyDescent="0.25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 x14ac:dyDescent="0.25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 x14ac:dyDescent="0.25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 x14ac:dyDescent="0.25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 x14ac:dyDescent="0.25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 x14ac:dyDescent="0.25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 x14ac:dyDescent="0.25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 x14ac:dyDescent="0.25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 x14ac:dyDescent="0.25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 x14ac:dyDescent="0.25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 x14ac:dyDescent="0.25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 x14ac:dyDescent="0.25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 x14ac:dyDescent="0.25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 x14ac:dyDescent="0.25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 x14ac:dyDescent="0.25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 x14ac:dyDescent="0.25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 x14ac:dyDescent="0.25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 x14ac:dyDescent="0.25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 x14ac:dyDescent="0.25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 x14ac:dyDescent="0.25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 x14ac:dyDescent="0.25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 x14ac:dyDescent="0.25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 x14ac:dyDescent="0.25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 x14ac:dyDescent="0.25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 x14ac:dyDescent="0.25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 x14ac:dyDescent="0.25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 x14ac:dyDescent="0.25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 x14ac:dyDescent="0.25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 x14ac:dyDescent="0.25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 x14ac:dyDescent="0.25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 x14ac:dyDescent="0.25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3" x14ac:dyDescent="0.25">
      <c r="A129" s="10" t="s">
        <v>12</v>
      </c>
      <c r="B129" s="9">
        <f>B4 + B14 + B25 + B36 + B47 + B58 + B69 + B80 + B91 + B102 + B113 + B124 + B125 + B126 - B127</f>
        <v>0</v>
      </c>
      <c r="C129" s="9">
        <f>C4 + C14 + C25 + C36 + C47 + C58 + C69 + C80 + C91 + C102 + C113 + C124 + C125 + C126 - C127</f>
        <v>0</v>
      </c>
      <c r="D129" s="8"/>
      <c r="E129" s="8"/>
      <c r="F129" s="8"/>
      <c r="G129" s="8"/>
      <c r="H129" s="9">
        <f>H4 + H14 + H25 + H36 + H47 + H58 + H69 + H80 + H91 + H102 + H113 + H124 + H125 + H126 - H127</f>
        <v>0</v>
      </c>
      <c r="I129" s="9">
        <f>I4 + I14 + I25 + I36 + I47 + I58 + I69 + I80 + I91 + I102 + I113 + I124 + I125 + I126 - I127</f>
        <v>0</v>
      </c>
      <c r="J129" s="8"/>
      <c r="K129" s="8"/>
      <c r="L129" s="8"/>
      <c r="M129" s="8"/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V116"/>
  <sheetViews>
    <sheetView topLeftCell="A54" workbookViewId="0">
      <selection activeCell="H5" sqref="H5:I114"/>
    </sheetView>
  </sheetViews>
  <sheetFormatPr defaultRowHeight="15" x14ac:dyDescent="0.25"/>
  <cols>
    <col min="1" max="1" width="6.28515625" customWidth="1"/>
    <col min="2" max="2" width="10.140625" bestFit="1" customWidth="1"/>
    <col min="3" max="3" width="11.140625" customWidth="1"/>
    <col min="5" max="5" width="9.7109375" customWidth="1"/>
    <col min="6" max="6" width="12" customWidth="1"/>
    <col min="8" max="8" width="16.28515625" customWidth="1"/>
    <col min="9" max="9" width="18.85546875" customWidth="1"/>
    <col min="11" max="11" width="19.42578125" bestFit="1" customWidth="1"/>
    <col min="17" max="17" width="28.28515625" bestFit="1" customWidth="1"/>
  </cols>
  <sheetData>
    <row r="1" spans="1:22" x14ac:dyDescent="0.25">
      <c r="B1" s="21" t="s">
        <v>117</v>
      </c>
      <c r="C1" s="21"/>
      <c r="D1" s="21"/>
      <c r="E1" s="21"/>
      <c r="F1" s="21"/>
      <c r="G1" s="21"/>
      <c r="H1" s="21"/>
      <c r="I1" s="21"/>
      <c r="K1" s="16" t="s">
        <v>115</v>
      </c>
      <c r="L1" s="16"/>
      <c r="M1" s="16"/>
      <c r="N1" s="16"/>
      <c r="O1" s="16"/>
      <c r="P1" s="16"/>
      <c r="Q1" s="16"/>
    </row>
    <row r="2" spans="1:22" x14ac:dyDescent="0.25">
      <c r="B2" s="15" t="s">
        <v>77</v>
      </c>
      <c r="C2" s="15"/>
      <c r="D2" s="6"/>
      <c r="E2" s="15" t="s">
        <v>78</v>
      </c>
      <c r="F2" s="15"/>
      <c r="H2" s="15" t="s">
        <v>114</v>
      </c>
      <c r="I2" s="15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 x14ac:dyDescent="0.25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 x14ac:dyDescent="0.25">
      <c r="A5" s="14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>B5+E5</f>
        <v>1799585</v>
      </c>
      <c r="I5" s="4">
        <f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 x14ac:dyDescent="0.25">
      <c r="A6" s="14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>B6+E6</f>
        <v>1430584</v>
      </c>
      <c r="I6" s="4">
        <f>C6+F6</f>
        <v>1450048</v>
      </c>
      <c r="J6" s="4"/>
      <c r="K6" s="4">
        <f t="shared" ref="K6:K69" si="0">(B6+C6) * (0.5 +$A6)</f>
        <v>4092984</v>
      </c>
      <c r="L6" s="4"/>
      <c r="M6" s="4"/>
      <c r="N6" s="4">
        <f t="shared" ref="N6:N69" si="1">(E6+F6) * (0.5 +$A6)</f>
        <v>227964</v>
      </c>
      <c r="O6" s="4"/>
      <c r="P6" s="4"/>
      <c r="Q6" s="4">
        <f t="shared" ref="Q6:Q69" si="2">(H6+I6) * (0.5 +$A6)</f>
        <v>4320948</v>
      </c>
    </row>
    <row r="7" spans="1:22" x14ac:dyDescent="0.25">
      <c r="A7" s="14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>B7+E7</f>
        <v>1450430</v>
      </c>
      <c r="I7" s="4">
        <f>C7+F7</f>
        <v>1460857</v>
      </c>
      <c r="J7" s="4"/>
      <c r="K7" s="4">
        <f t="shared" si="0"/>
        <v>6887350</v>
      </c>
      <c r="L7" s="4"/>
      <c r="M7" s="4"/>
      <c r="N7" s="4">
        <f t="shared" si="1"/>
        <v>390867.5</v>
      </c>
      <c r="O7" s="4"/>
      <c r="P7" s="4"/>
      <c r="Q7" s="4">
        <f t="shared" si="2"/>
        <v>7278217.5</v>
      </c>
    </row>
    <row r="8" spans="1:22" x14ac:dyDescent="0.25">
      <c r="A8" s="14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>B8+E8</f>
        <v>1428134</v>
      </c>
      <c r="I8" s="4">
        <f>C8+F8</f>
        <v>1448117</v>
      </c>
      <c r="J8" s="4"/>
      <c r="K8" s="4">
        <f t="shared" si="0"/>
        <v>9496235</v>
      </c>
      <c r="L8" s="4"/>
      <c r="M8" s="4"/>
      <c r="N8" s="4">
        <f t="shared" si="1"/>
        <v>570643.5</v>
      </c>
      <c r="O8" s="4"/>
      <c r="P8" s="4"/>
      <c r="Q8" s="4">
        <f t="shared" si="2"/>
        <v>10066878.5</v>
      </c>
    </row>
    <row r="9" spans="1:22" x14ac:dyDescent="0.25">
      <c r="A9" s="14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>B9+E9</f>
        <v>1331294</v>
      </c>
      <c r="I9" s="4">
        <f>C9+F9</f>
        <v>1363876</v>
      </c>
      <c r="J9" s="4"/>
      <c r="K9" s="4">
        <f t="shared" si="0"/>
        <v>11454430.5</v>
      </c>
      <c r="L9" s="4"/>
      <c r="M9" s="4"/>
      <c r="N9" s="4">
        <f t="shared" si="1"/>
        <v>673834.5</v>
      </c>
      <c r="O9" s="4"/>
      <c r="P9" s="4"/>
      <c r="Q9" s="4">
        <f t="shared" si="2"/>
        <v>12128265</v>
      </c>
    </row>
    <row r="10" spans="1:22" x14ac:dyDescent="0.25">
      <c r="A10" s="14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>B10+E10</f>
        <v>1253530</v>
      </c>
      <c r="I10" s="4">
        <f>C10+F10</f>
        <v>1269384</v>
      </c>
      <c r="J10" s="4"/>
      <c r="K10" s="4">
        <f t="shared" si="0"/>
        <v>13122384</v>
      </c>
      <c r="L10" s="4"/>
      <c r="M10" s="4"/>
      <c r="N10" s="4">
        <f t="shared" si="1"/>
        <v>753643</v>
      </c>
      <c r="O10" s="4"/>
      <c r="P10" s="4"/>
      <c r="Q10" s="4">
        <f t="shared" si="2"/>
        <v>13876027</v>
      </c>
    </row>
    <row r="11" spans="1:22" x14ac:dyDescent="0.25">
      <c r="A11" s="14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>B11+E11</f>
        <v>1232195</v>
      </c>
      <c r="I11" s="4">
        <f>C11+F11</f>
        <v>1247881</v>
      </c>
      <c r="J11" s="4"/>
      <c r="K11" s="4">
        <f t="shared" si="0"/>
        <v>15215726.5</v>
      </c>
      <c r="L11" s="4"/>
      <c r="M11" s="4"/>
      <c r="N11" s="4">
        <f t="shared" si="1"/>
        <v>904767.5</v>
      </c>
      <c r="O11" s="4"/>
      <c r="P11" s="4"/>
      <c r="Q11" s="4">
        <f t="shared" si="2"/>
        <v>16120494</v>
      </c>
    </row>
    <row r="12" spans="1:22" x14ac:dyDescent="0.25">
      <c r="A12" s="14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>B12+E12</f>
        <v>1179192</v>
      </c>
      <c r="I12" s="4">
        <f>C12+F12</f>
        <v>1223008</v>
      </c>
      <c r="J12" s="4"/>
      <c r="K12" s="4">
        <f t="shared" si="0"/>
        <v>16985760</v>
      </c>
      <c r="L12" s="4"/>
      <c r="M12" s="4"/>
      <c r="N12" s="4">
        <f t="shared" si="1"/>
        <v>1030740</v>
      </c>
      <c r="O12" s="4"/>
      <c r="P12" s="4"/>
      <c r="Q12" s="4">
        <f t="shared" si="2"/>
        <v>18016500</v>
      </c>
    </row>
    <row r="13" spans="1:22" x14ac:dyDescent="0.25">
      <c r="A13" s="14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>B13+E13</f>
        <v>1215578</v>
      </c>
      <c r="I13" s="4">
        <f>C13+F13</f>
        <v>1235027</v>
      </c>
      <c r="J13" s="4"/>
      <c r="K13" s="4">
        <f t="shared" si="0"/>
        <v>19683229</v>
      </c>
      <c r="L13" s="4"/>
      <c r="M13" s="4"/>
      <c r="N13" s="4">
        <f t="shared" si="1"/>
        <v>1146913.5</v>
      </c>
      <c r="O13" s="4"/>
      <c r="P13" s="4"/>
      <c r="Q13" s="4">
        <f t="shared" si="2"/>
        <v>20830142.5</v>
      </c>
    </row>
    <row r="14" spans="1:22" x14ac:dyDescent="0.25">
      <c r="A14" s="14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>B14+E14</f>
        <v>1095634</v>
      </c>
      <c r="I14" s="4">
        <f>C14+F14</f>
        <v>1093997</v>
      </c>
      <c r="J14" s="4"/>
      <c r="K14" s="4">
        <f t="shared" si="0"/>
        <v>19665950</v>
      </c>
      <c r="L14" s="4"/>
      <c r="M14" s="4"/>
      <c r="N14" s="4">
        <f t="shared" si="1"/>
        <v>1135544.5</v>
      </c>
      <c r="O14" s="4"/>
      <c r="P14" s="4"/>
      <c r="Q14" s="4">
        <f t="shared" si="2"/>
        <v>20801494.5</v>
      </c>
    </row>
    <row r="15" spans="1:22" x14ac:dyDescent="0.25">
      <c r="A15" s="14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>B15+E15</f>
        <v>1204078</v>
      </c>
      <c r="I15" s="4">
        <f>C15+F15</f>
        <v>1215355</v>
      </c>
      <c r="J15" s="4"/>
      <c r="K15" s="4">
        <f t="shared" si="0"/>
        <v>24057390</v>
      </c>
      <c r="L15" s="4"/>
      <c r="M15" s="4"/>
      <c r="N15" s="4">
        <f t="shared" si="1"/>
        <v>1346656.5</v>
      </c>
      <c r="O15" s="4"/>
      <c r="P15" s="4"/>
      <c r="Q15" s="4">
        <f t="shared" si="2"/>
        <v>25404046.5</v>
      </c>
    </row>
    <row r="16" spans="1:22" x14ac:dyDescent="0.25">
      <c r="A16" s="14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>B16+E16</f>
        <v>981933</v>
      </c>
      <c r="I16" s="4">
        <f>C16+F16</f>
        <v>969224</v>
      </c>
      <c r="J16" s="4"/>
      <c r="K16" s="4">
        <f t="shared" si="0"/>
        <v>21156481</v>
      </c>
      <c r="L16" s="4"/>
      <c r="M16" s="4"/>
      <c r="N16" s="4">
        <f t="shared" si="1"/>
        <v>1281824.5</v>
      </c>
      <c r="O16" s="4"/>
      <c r="P16" s="4"/>
      <c r="Q16" s="4">
        <f t="shared" si="2"/>
        <v>22438305.5</v>
      </c>
      <c r="V16" s="22"/>
    </row>
    <row r="17" spans="1:17" x14ac:dyDescent="0.25">
      <c r="A17" s="14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>B17+E17</f>
        <v>1276307</v>
      </c>
      <c r="I17" s="4">
        <f>C17+F17</f>
        <v>1281067</v>
      </c>
      <c r="J17" s="4"/>
      <c r="K17" s="4">
        <f t="shared" si="0"/>
        <v>30279437.5</v>
      </c>
      <c r="L17" s="4"/>
      <c r="M17" s="4"/>
      <c r="N17" s="4">
        <f t="shared" si="1"/>
        <v>1687737.5</v>
      </c>
      <c r="O17" s="4"/>
      <c r="P17" s="4"/>
      <c r="Q17" s="4">
        <f t="shared" si="2"/>
        <v>31967175</v>
      </c>
    </row>
    <row r="18" spans="1:17" x14ac:dyDescent="0.25">
      <c r="A18" s="14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>B18+E18</f>
        <v>1052707</v>
      </c>
      <c r="I18" s="4">
        <f>C18+F18</f>
        <v>1058899</v>
      </c>
      <c r="J18" s="4"/>
      <c r="K18" s="4">
        <f t="shared" si="0"/>
        <v>26928436.5</v>
      </c>
      <c r="L18" s="4"/>
      <c r="M18" s="4"/>
      <c r="N18" s="4">
        <f t="shared" si="1"/>
        <v>1578244.5</v>
      </c>
      <c r="O18" s="4"/>
      <c r="P18" s="4"/>
      <c r="Q18" s="4">
        <f t="shared" si="2"/>
        <v>28506681</v>
      </c>
    </row>
    <row r="19" spans="1:17" x14ac:dyDescent="0.25">
      <c r="A19" s="14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>B19+E19</f>
        <v>1023946</v>
      </c>
      <c r="I19" s="4">
        <f>C19+F19</f>
        <v>1049048</v>
      </c>
      <c r="J19" s="4"/>
      <c r="K19" s="4">
        <f t="shared" si="0"/>
        <v>28373252</v>
      </c>
      <c r="L19" s="4"/>
      <c r="M19" s="4"/>
      <c r="N19" s="4">
        <f t="shared" si="1"/>
        <v>1685161</v>
      </c>
      <c r="O19" s="4"/>
      <c r="P19" s="4"/>
      <c r="Q19" s="4">
        <f t="shared" si="2"/>
        <v>30058413</v>
      </c>
    </row>
    <row r="20" spans="1:17" x14ac:dyDescent="0.25">
      <c r="A20" s="14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>B20+E20</f>
        <v>992837</v>
      </c>
      <c r="I20" s="4">
        <f>C20+F20</f>
        <v>1022042</v>
      </c>
      <c r="J20" s="4"/>
      <c r="K20" s="4">
        <f t="shared" si="0"/>
        <v>29476102</v>
      </c>
      <c r="L20" s="4"/>
      <c r="M20" s="4"/>
      <c r="N20" s="4">
        <f t="shared" si="1"/>
        <v>1754522.5</v>
      </c>
      <c r="O20" s="4"/>
      <c r="P20" s="4"/>
      <c r="Q20" s="4">
        <f t="shared" si="2"/>
        <v>31230624.5</v>
      </c>
    </row>
    <row r="21" spans="1:17" x14ac:dyDescent="0.25">
      <c r="A21" s="14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>B21+E21</f>
        <v>984612</v>
      </c>
      <c r="I21" s="4">
        <f>C21+F21</f>
        <v>1094871</v>
      </c>
      <c r="J21" s="4"/>
      <c r="K21" s="4">
        <f t="shared" si="0"/>
        <v>32427301.5</v>
      </c>
      <c r="L21" s="4"/>
      <c r="M21" s="4"/>
      <c r="N21" s="4">
        <f t="shared" si="1"/>
        <v>1884168</v>
      </c>
      <c r="O21" s="4"/>
      <c r="P21" s="4"/>
      <c r="Q21" s="4">
        <f t="shared" si="2"/>
        <v>34311469.5</v>
      </c>
    </row>
    <row r="22" spans="1:17" x14ac:dyDescent="0.25">
      <c r="A22" s="14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>B22+E22</f>
        <v>978629</v>
      </c>
      <c r="I22" s="4">
        <f>C22+F22</f>
        <v>1098460</v>
      </c>
      <c r="J22" s="4"/>
      <c r="K22" s="4">
        <f t="shared" si="0"/>
        <v>34365887.5</v>
      </c>
      <c r="L22" s="4"/>
      <c r="M22" s="4"/>
      <c r="N22" s="4">
        <f t="shared" si="1"/>
        <v>1983170</v>
      </c>
      <c r="O22" s="4"/>
      <c r="P22" s="4"/>
      <c r="Q22" s="4">
        <f t="shared" si="2"/>
        <v>36349057.5</v>
      </c>
    </row>
    <row r="23" spans="1:17" x14ac:dyDescent="0.25">
      <c r="A23" s="14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>B23+E23</f>
        <v>998723</v>
      </c>
      <c r="I23" s="4">
        <f>C23+F23</f>
        <v>1089350</v>
      </c>
      <c r="J23" s="4"/>
      <c r="K23" s="4">
        <f t="shared" si="0"/>
        <v>36576405.5</v>
      </c>
      <c r="L23" s="4"/>
      <c r="M23" s="4"/>
      <c r="N23" s="4">
        <f t="shared" si="1"/>
        <v>2052945</v>
      </c>
      <c r="O23" s="4"/>
      <c r="P23" s="4"/>
      <c r="Q23" s="4">
        <f t="shared" si="2"/>
        <v>38629350.5</v>
      </c>
    </row>
    <row r="24" spans="1:17" x14ac:dyDescent="0.25">
      <c r="A24" s="14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>B24+E24</f>
        <v>848201</v>
      </c>
      <c r="I24" s="4">
        <f>C24+F24</f>
        <v>897488</v>
      </c>
      <c r="J24" s="4"/>
      <c r="K24" s="4">
        <f t="shared" si="0"/>
        <v>32127283.5</v>
      </c>
      <c r="L24" s="4"/>
      <c r="M24" s="4"/>
      <c r="N24" s="4">
        <f t="shared" si="1"/>
        <v>1913652</v>
      </c>
      <c r="O24" s="4"/>
      <c r="P24" s="4"/>
      <c r="Q24" s="4">
        <f t="shared" si="2"/>
        <v>34040935.5</v>
      </c>
    </row>
    <row r="25" spans="1:17" x14ac:dyDescent="0.25">
      <c r="A25" s="14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>B25+E25</f>
        <v>879164</v>
      </c>
      <c r="I25" s="4">
        <f>C25+F25</f>
        <v>1192042</v>
      </c>
      <c r="J25" s="4"/>
      <c r="K25" s="4">
        <f t="shared" si="0"/>
        <v>40121206</v>
      </c>
      <c r="L25" s="4"/>
      <c r="M25" s="4"/>
      <c r="N25" s="4">
        <f t="shared" si="1"/>
        <v>2338517</v>
      </c>
      <c r="O25" s="4"/>
      <c r="P25" s="4"/>
      <c r="Q25" s="4">
        <f t="shared" si="2"/>
        <v>42459723</v>
      </c>
    </row>
    <row r="26" spans="1:17" x14ac:dyDescent="0.25">
      <c r="A26" s="14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>B26+E26</f>
        <v>800179</v>
      </c>
      <c r="I26" s="4">
        <f>C26+F26</f>
        <v>636809</v>
      </c>
      <c r="J26" s="4"/>
      <c r="K26" s="4">
        <f t="shared" si="0"/>
        <v>29058604.5</v>
      </c>
      <c r="L26" s="4"/>
      <c r="M26" s="4"/>
      <c r="N26" s="4">
        <f t="shared" si="1"/>
        <v>1836637.5</v>
      </c>
      <c r="O26" s="4"/>
      <c r="P26" s="4"/>
      <c r="Q26" s="4">
        <f t="shared" si="2"/>
        <v>30895242</v>
      </c>
    </row>
    <row r="27" spans="1:17" x14ac:dyDescent="0.25">
      <c r="A27" s="14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>B27+E27</f>
        <v>863687</v>
      </c>
      <c r="I27" s="4">
        <f>C27+F27</f>
        <v>885528</v>
      </c>
      <c r="J27" s="4"/>
      <c r="K27" s="4">
        <f t="shared" si="0"/>
        <v>36971910</v>
      </c>
      <c r="L27" s="4"/>
      <c r="M27" s="4"/>
      <c r="N27" s="4">
        <f t="shared" si="1"/>
        <v>2385427.5</v>
      </c>
      <c r="O27" s="4"/>
      <c r="P27" s="4"/>
      <c r="Q27" s="4">
        <f t="shared" si="2"/>
        <v>39357337.5</v>
      </c>
    </row>
    <row r="28" spans="1:17" x14ac:dyDescent="0.25">
      <c r="A28" s="14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>B28+E28</f>
        <v>791814</v>
      </c>
      <c r="I28" s="4">
        <f>C28+F28</f>
        <v>825830</v>
      </c>
      <c r="J28" s="4"/>
      <c r="K28" s="4">
        <f t="shared" si="0"/>
        <v>35792074.5</v>
      </c>
      <c r="L28" s="4"/>
      <c r="M28" s="4"/>
      <c r="N28" s="4">
        <f t="shared" si="1"/>
        <v>2222559.5</v>
      </c>
      <c r="O28" s="4"/>
      <c r="P28" s="4"/>
      <c r="Q28" s="4">
        <f t="shared" si="2"/>
        <v>38014634</v>
      </c>
    </row>
    <row r="29" spans="1:17" x14ac:dyDescent="0.25">
      <c r="A29" s="14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>B29+E29</f>
        <v>690732</v>
      </c>
      <c r="I29" s="4">
        <f>C29+F29</f>
        <v>720216</v>
      </c>
      <c r="J29" s="4"/>
      <c r="K29" s="4">
        <f t="shared" si="0"/>
        <v>32473157.5</v>
      </c>
      <c r="L29" s="4"/>
      <c r="M29" s="4"/>
      <c r="N29" s="4">
        <f t="shared" si="1"/>
        <v>2095068.5</v>
      </c>
      <c r="O29" s="4"/>
      <c r="P29" s="4"/>
      <c r="Q29" s="4">
        <f t="shared" si="2"/>
        <v>34568226</v>
      </c>
    </row>
    <row r="30" spans="1:17" x14ac:dyDescent="0.25">
      <c r="A30" s="14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>B30+E30</f>
        <v>795114</v>
      </c>
      <c r="I30" s="4">
        <f>C30+F30</f>
        <v>1072869</v>
      </c>
      <c r="J30" s="4"/>
      <c r="K30" s="4">
        <f t="shared" si="0"/>
        <v>44900374.5</v>
      </c>
      <c r="L30" s="4"/>
      <c r="M30" s="4"/>
      <c r="N30" s="4">
        <f t="shared" si="1"/>
        <v>2733192</v>
      </c>
      <c r="O30" s="4"/>
      <c r="P30" s="4"/>
      <c r="Q30" s="4">
        <f t="shared" si="2"/>
        <v>47633566.5</v>
      </c>
    </row>
    <row r="31" spans="1:17" x14ac:dyDescent="0.25">
      <c r="A31" s="14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>B31+E31</f>
        <v>748462</v>
      </c>
      <c r="I31" s="4">
        <f>C31+F31</f>
        <v>727473</v>
      </c>
      <c r="J31" s="4"/>
      <c r="K31" s="4">
        <f t="shared" si="0"/>
        <v>36835821.5</v>
      </c>
      <c r="L31" s="4"/>
      <c r="M31" s="4"/>
      <c r="N31" s="4">
        <f t="shared" si="1"/>
        <v>2276456</v>
      </c>
      <c r="O31" s="4"/>
      <c r="P31" s="4"/>
      <c r="Q31" s="4">
        <f t="shared" si="2"/>
        <v>39112277.5</v>
      </c>
    </row>
    <row r="32" spans="1:17" x14ac:dyDescent="0.25">
      <c r="A32" s="14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>B32+E32</f>
        <v>785934</v>
      </c>
      <c r="I32" s="4">
        <f>C32+F32</f>
        <v>760804</v>
      </c>
      <c r="J32" s="4"/>
      <c r="K32" s="4">
        <f t="shared" si="0"/>
        <v>39990472.5</v>
      </c>
      <c r="L32" s="4"/>
      <c r="M32" s="4"/>
      <c r="N32" s="4">
        <f t="shared" si="1"/>
        <v>2544822.5</v>
      </c>
      <c r="O32" s="4"/>
      <c r="P32" s="4"/>
      <c r="Q32" s="4">
        <f t="shared" si="2"/>
        <v>42535295</v>
      </c>
    </row>
    <row r="33" spans="1:17" x14ac:dyDescent="0.25">
      <c r="A33" s="14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>B33+E33</f>
        <v>785014</v>
      </c>
      <c r="I33" s="4">
        <f>C33+F33</f>
        <v>807738</v>
      </c>
      <c r="J33" s="4"/>
      <c r="K33" s="4">
        <f t="shared" si="0"/>
        <v>42849693</v>
      </c>
      <c r="L33" s="4"/>
      <c r="M33" s="4"/>
      <c r="N33" s="4">
        <f t="shared" si="1"/>
        <v>2543739</v>
      </c>
      <c r="O33" s="4"/>
      <c r="P33" s="4"/>
      <c r="Q33" s="4">
        <f t="shared" si="2"/>
        <v>45393432</v>
      </c>
    </row>
    <row r="34" spans="1:17" x14ac:dyDescent="0.25">
      <c r="A34" s="14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>B34+E34</f>
        <v>505001</v>
      </c>
      <c r="I34" s="4">
        <f>C34+F34</f>
        <v>439289</v>
      </c>
      <c r="J34" s="4"/>
      <c r="K34" s="4">
        <f t="shared" si="0"/>
        <v>26163550</v>
      </c>
      <c r="L34" s="4"/>
      <c r="M34" s="4"/>
      <c r="N34" s="4">
        <f t="shared" si="1"/>
        <v>1693005</v>
      </c>
      <c r="O34" s="4"/>
      <c r="P34" s="4"/>
      <c r="Q34" s="4">
        <f t="shared" si="2"/>
        <v>27856555</v>
      </c>
    </row>
    <row r="35" spans="1:17" x14ac:dyDescent="0.25">
      <c r="A35" s="14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>B35+E35</f>
        <v>1055694</v>
      </c>
      <c r="I35" s="4">
        <f>C35+F35</f>
        <v>1376799</v>
      </c>
      <c r="J35" s="4"/>
      <c r="K35" s="4">
        <f t="shared" si="0"/>
        <v>70276178.5</v>
      </c>
      <c r="L35" s="4"/>
      <c r="M35" s="4"/>
      <c r="N35" s="4">
        <f t="shared" si="1"/>
        <v>3914858</v>
      </c>
      <c r="O35" s="4"/>
      <c r="P35" s="4"/>
      <c r="Q35" s="4">
        <f t="shared" si="2"/>
        <v>74191036.5</v>
      </c>
    </row>
    <row r="36" spans="1:17" x14ac:dyDescent="0.25">
      <c r="A36" s="14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>B36+E36</f>
        <v>401717</v>
      </c>
      <c r="I36" s="4">
        <f>C36+F36</f>
        <v>339826</v>
      </c>
      <c r="J36" s="4"/>
      <c r="K36" s="4">
        <f t="shared" si="0"/>
        <v>21891271.5</v>
      </c>
      <c r="L36" s="4"/>
      <c r="M36" s="4"/>
      <c r="N36" s="4">
        <f t="shared" si="1"/>
        <v>1467333</v>
      </c>
      <c r="O36" s="4"/>
      <c r="P36" s="4"/>
      <c r="Q36" s="4">
        <f t="shared" si="2"/>
        <v>23358604.5</v>
      </c>
    </row>
    <row r="37" spans="1:17" x14ac:dyDescent="0.25">
      <c r="A37" s="14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>B37+E37</f>
        <v>602761</v>
      </c>
      <c r="I37" s="4">
        <f>C37+F37</f>
        <v>581295</v>
      </c>
      <c r="J37" s="4"/>
      <c r="K37" s="4">
        <f t="shared" si="0"/>
        <v>36228432.5</v>
      </c>
      <c r="L37" s="4"/>
      <c r="M37" s="4"/>
      <c r="N37" s="4">
        <f t="shared" si="1"/>
        <v>2253387.5</v>
      </c>
      <c r="O37" s="4"/>
      <c r="P37" s="4"/>
      <c r="Q37" s="4">
        <f t="shared" si="2"/>
        <v>38481820</v>
      </c>
    </row>
    <row r="38" spans="1:17" x14ac:dyDescent="0.25">
      <c r="A38" s="14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>B38+E38</f>
        <v>573913</v>
      </c>
      <c r="I38" s="4">
        <f>C38+F38</f>
        <v>527699</v>
      </c>
      <c r="J38" s="4"/>
      <c r="K38" s="4">
        <f t="shared" si="0"/>
        <v>34672366</v>
      </c>
      <c r="L38" s="4"/>
      <c r="M38" s="4"/>
      <c r="N38" s="4">
        <f t="shared" si="1"/>
        <v>2231636</v>
      </c>
      <c r="O38" s="4"/>
      <c r="P38" s="4"/>
      <c r="Q38" s="4">
        <f t="shared" si="2"/>
        <v>36904002</v>
      </c>
    </row>
    <row r="39" spans="1:17" x14ac:dyDescent="0.25">
      <c r="A39" s="14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>B39+E39</f>
        <v>431960</v>
      </c>
      <c r="I39" s="4">
        <f>C39+F39</f>
        <v>437786</v>
      </c>
      <c r="J39" s="4"/>
      <c r="K39" s="4">
        <f t="shared" si="0"/>
        <v>28176219</v>
      </c>
      <c r="L39" s="4"/>
      <c r="M39" s="4"/>
      <c r="N39" s="4">
        <f t="shared" si="1"/>
        <v>1830018</v>
      </c>
      <c r="O39" s="4"/>
      <c r="P39" s="4"/>
      <c r="Q39" s="4">
        <f t="shared" si="2"/>
        <v>30006237</v>
      </c>
    </row>
    <row r="40" spans="1:17" x14ac:dyDescent="0.25">
      <c r="A40" s="14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>B40+E40</f>
        <v>813420</v>
      </c>
      <c r="I40" s="4">
        <f>C40+F40</f>
        <v>952338</v>
      </c>
      <c r="J40" s="4"/>
      <c r="K40" s="4">
        <f t="shared" si="0"/>
        <v>59139095</v>
      </c>
      <c r="L40" s="4"/>
      <c r="M40" s="4"/>
      <c r="N40" s="4">
        <f t="shared" si="1"/>
        <v>3545314</v>
      </c>
      <c r="O40" s="4"/>
      <c r="P40" s="4"/>
      <c r="Q40" s="4">
        <f t="shared" si="2"/>
        <v>62684409</v>
      </c>
    </row>
    <row r="41" spans="1:17" x14ac:dyDescent="0.25">
      <c r="A41" s="14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>B41+E41</f>
        <v>570698</v>
      </c>
      <c r="I41" s="4">
        <f>C41+F41</f>
        <v>543752</v>
      </c>
      <c r="J41" s="4"/>
      <c r="K41" s="4">
        <f t="shared" si="0"/>
        <v>38092823.5</v>
      </c>
      <c r="L41" s="4"/>
      <c r="M41" s="4"/>
      <c r="N41" s="4">
        <f t="shared" si="1"/>
        <v>2584601.5</v>
      </c>
      <c r="O41" s="4"/>
      <c r="P41" s="4"/>
      <c r="Q41" s="4">
        <f t="shared" si="2"/>
        <v>40677425</v>
      </c>
    </row>
    <row r="42" spans="1:17" x14ac:dyDescent="0.25">
      <c r="A42" s="14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>B42+E42</f>
        <v>584686</v>
      </c>
      <c r="I42" s="4">
        <f>C42+F42</f>
        <v>542612</v>
      </c>
      <c r="J42" s="4"/>
      <c r="K42" s="4">
        <f t="shared" si="0"/>
        <v>39446512.5</v>
      </c>
      <c r="L42" s="4"/>
      <c r="M42" s="4"/>
      <c r="N42" s="4">
        <f t="shared" si="1"/>
        <v>2827162.5</v>
      </c>
      <c r="O42" s="4"/>
      <c r="P42" s="4"/>
      <c r="Q42" s="4">
        <f t="shared" si="2"/>
        <v>42273675</v>
      </c>
    </row>
    <row r="43" spans="1:17" x14ac:dyDescent="0.25">
      <c r="A43" s="14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>B43+E43</f>
        <v>632533</v>
      </c>
      <c r="I43" s="4">
        <f>C43+F43</f>
        <v>605566</v>
      </c>
      <c r="J43" s="4"/>
      <c r="K43" s="4">
        <f t="shared" si="0"/>
        <v>44733034.5</v>
      </c>
      <c r="L43" s="4"/>
      <c r="M43" s="4"/>
      <c r="N43" s="4">
        <f t="shared" si="1"/>
        <v>2933777</v>
      </c>
      <c r="O43" s="4"/>
      <c r="P43" s="4"/>
      <c r="Q43" s="4">
        <f t="shared" si="2"/>
        <v>47666811.5</v>
      </c>
    </row>
    <row r="44" spans="1:17" x14ac:dyDescent="0.25">
      <c r="A44" s="14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>B44+E44</f>
        <v>399785</v>
      </c>
      <c r="I44" s="4">
        <f>C44+F44</f>
        <v>340628</v>
      </c>
      <c r="J44" s="4"/>
      <c r="K44" s="4">
        <f t="shared" si="0"/>
        <v>27295527</v>
      </c>
      <c r="L44" s="4"/>
      <c r="M44" s="4"/>
      <c r="N44" s="4">
        <f t="shared" si="1"/>
        <v>1950786.5</v>
      </c>
      <c r="O44" s="4"/>
      <c r="P44" s="4"/>
      <c r="Q44" s="4">
        <f t="shared" si="2"/>
        <v>29246313.5</v>
      </c>
    </row>
    <row r="45" spans="1:17" x14ac:dyDescent="0.25">
      <c r="A45" s="14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>B45+E45</f>
        <v>905505</v>
      </c>
      <c r="I45" s="4">
        <f>C45+F45</f>
        <v>1199144</v>
      </c>
      <c r="J45" s="4"/>
      <c r="K45" s="4">
        <f t="shared" si="0"/>
        <v>80318871</v>
      </c>
      <c r="L45" s="4"/>
      <c r="M45" s="4"/>
      <c r="N45" s="4">
        <f t="shared" si="1"/>
        <v>4919413.5</v>
      </c>
      <c r="O45" s="4"/>
      <c r="P45" s="4"/>
      <c r="Q45" s="4">
        <f t="shared" si="2"/>
        <v>85238284.5</v>
      </c>
    </row>
    <row r="46" spans="1:17" x14ac:dyDescent="0.25">
      <c r="A46" s="14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>B46+E46</f>
        <v>308069</v>
      </c>
      <c r="I46" s="4">
        <f>C46+F46</f>
        <v>256184</v>
      </c>
      <c r="J46" s="4"/>
      <c r="K46" s="4">
        <f t="shared" si="0"/>
        <v>21782769</v>
      </c>
      <c r="L46" s="4"/>
      <c r="M46" s="4"/>
      <c r="N46" s="4">
        <f t="shared" si="1"/>
        <v>1633730.5</v>
      </c>
      <c r="O46" s="4"/>
      <c r="P46" s="4"/>
      <c r="Q46" s="4">
        <f t="shared" si="2"/>
        <v>23416499.5</v>
      </c>
    </row>
    <row r="47" spans="1:17" x14ac:dyDescent="0.25">
      <c r="A47" s="14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>B47+E47</f>
        <v>503889</v>
      </c>
      <c r="I47" s="4">
        <f>C47+F47</f>
        <v>452626</v>
      </c>
      <c r="J47" s="4"/>
      <c r="K47" s="4">
        <f t="shared" si="0"/>
        <v>38124327.5</v>
      </c>
      <c r="L47" s="4"/>
      <c r="M47" s="4"/>
      <c r="N47" s="4">
        <f t="shared" si="1"/>
        <v>2527560</v>
      </c>
      <c r="O47" s="4"/>
      <c r="P47" s="4"/>
      <c r="Q47" s="4">
        <f t="shared" si="2"/>
        <v>40651887.5</v>
      </c>
    </row>
    <row r="48" spans="1:17" x14ac:dyDescent="0.25">
      <c r="A48" s="14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>B48+E48</f>
        <v>423710</v>
      </c>
      <c r="I48" s="4">
        <f>C48+F48</f>
        <v>385797</v>
      </c>
      <c r="J48" s="4"/>
      <c r="K48" s="4">
        <f t="shared" si="0"/>
        <v>33017979</v>
      </c>
      <c r="L48" s="4"/>
      <c r="M48" s="4"/>
      <c r="N48" s="4">
        <f t="shared" si="1"/>
        <v>2195575.5</v>
      </c>
      <c r="O48" s="4"/>
      <c r="P48" s="4"/>
      <c r="Q48" s="4">
        <f t="shared" si="2"/>
        <v>35213554.5</v>
      </c>
    </row>
    <row r="49" spans="1:17" x14ac:dyDescent="0.25">
      <c r="A49" s="14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>B49+E49</f>
        <v>341645</v>
      </c>
      <c r="I49" s="4">
        <f>C49+F49</f>
        <v>328233</v>
      </c>
      <c r="J49" s="4"/>
      <c r="K49" s="4">
        <f t="shared" si="0"/>
        <v>27826473</v>
      </c>
      <c r="L49" s="4"/>
      <c r="M49" s="4"/>
      <c r="N49" s="4">
        <f t="shared" si="1"/>
        <v>1983098</v>
      </c>
      <c r="O49" s="4"/>
      <c r="P49" s="4"/>
      <c r="Q49" s="4">
        <f t="shared" si="2"/>
        <v>29809571</v>
      </c>
    </row>
    <row r="50" spans="1:17" x14ac:dyDescent="0.25">
      <c r="A50" s="14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>B50+E50</f>
        <v>715609</v>
      </c>
      <c r="I50" s="4">
        <f>C50+F50</f>
        <v>796360</v>
      </c>
      <c r="J50" s="4"/>
      <c r="K50" s="4">
        <f t="shared" si="0"/>
        <v>64843278.5</v>
      </c>
      <c r="L50" s="4"/>
      <c r="M50" s="4"/>
      <c r="N50" s="4">
        <f t="shared" si="1"/>
        <v>3951311</v>
      </c>
      <c r="O50" s="4"/>
      <c r="P50" s="4"/>
      <c r="Q50" s="4">
        <f t="shared" si="2"/>
        <v>68794589.5</v>
      </c>
    </row>
    <row r="51" spans="1:17" x14ac:dyDescent="0.25">
      <c r="A51" s="14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>B51+E51</f>
        <v>383680</v>
      </c>
      <c r="I51" s="4">
        <f>C51+F51</f>
        <v>340053</v>
      </c>
      <c r="J51" s="4"/>
      <c r="K51" s="4">
        <f t="shared" si="0"/>
        <v>31448880</v>
      </c>
      <c r="L51" s="4"/>
      <c r="M51" s="4"/>
      <c r="N51" s="4">
        <f t="shared" si="1"/>
        <v>2204704.5</v>
      </c>
      <c r="O51" s="4"/>
      <c r="P51" s="4"/>
      <c r="Q51" s="4">
        <f t="shared" si="2"/>
        <v>33653584.5</v>
      </c>
    </row>
    <row r="52" spans="1:17" x14ac:dyDescent="0.25">
      <c r="A52" s="14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>B52+E52</f>
        <v>360612</v>
      </c>
      <c r="I52" s="4">
        <f>C52+F52</f>
        <v>335352</v>
      </c>
      <c r="J52" s="4"/>
      <c r="K52" s="4">
        <f t="shared" si="0"/>
        <v>30752450</v>
      </c>
      <c r="L52" s="4"/>
      <c r="M52" s="4"/>
      <c r="N52" s="4">
        <f t="shared" si="1"/>
        <v>2305840</v>
      </c>
      <c r="O52" s="4"/>
      <c r="P52" s="4"/>
      <c r="Q52" s="4">
        <f t="shared" si="2"/>
        <v>33058290</v>
      </c>
    </row>
    <row r="53" spans="1:17" x14ac:dyDescent="0.25">
      <c r="A53" s="14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>B53+E53</f>
        <v>440852</v>
      </c>
      <c r="I53" s="4">
        <f>C53+F53</f>
        <v>419733</v>
      </c>
      <c r="J53" s="4"/>
      <c r="K53" s="4">
        <f t="shared" si="0"/>
        <v>39108023.5</v>
      </c>
      <c r="L53" s="4"/>
      <c r="M53" s="4"/>
      <c r="N53" s="4">
        <f t="shared" si="1"/>
        <v>2630349</v>
      </c>
      <c r="O53" s="4"/>
      <c r="P53" s="4"/>
      <c r="Q53" s="4">
        <f t="shared" si="2"/>
        <v>41738372.5</v>
      </c>
    </row>
    <row r="54" spans="1:17" x14ac:dyDescent="0.25">
      <c r="A54" s="14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>B54+E54</f>
        <v>244786</v>
      </c>
      <c r="I54" s="4">
        <f>C54+F54</f>
        <v>223859</v>
      </c>
      <c r="J54" s="4"/>
      <c r="K54" s="4">
        <f t="shared" si="0"/>
        <v>21550270.5</v>
      </c>
      <c r="L54" s="4"/>
      <c r="M54" s="4"/>
      <c r="N54" s="4">
        <f t="shared" si="1"/>
        <v>1647657</v>
      </c>
      <c r="O54" s="4"/>
      <c r="P54" s="4"/>
      <c r="Q54" s="4">
        <f t="shared" si="2"/>
        <v>23197927.5</v>
      </c>
    </row>
    <row r="55" spans="1:17" x14ac:dyDescent="0.25">
      <c r="A55" s="14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>B55+E55</f>
        <v>812835</v>
      </c>
      <c r="I55" s="4">
        <f>C55+F55</f>
        <v>1082324</v>
      </c>
      <c r="J55" s="4"/>
      <c r="K55" s="4">
        <f t="shared" si="0"/>
        <v>90467316</v>
      </c>
      <c r="L55" s="4"/>
      <c r="M55" s="4"/>
      <c r="N55" s="4">
        <f t="shared" si="1"/>
        <v>5238213.5</v>
      </c>
      <c r="O55" s="4"/>
      <c r="P55" s="4"/>
      <c r="Q55" s="4">
        <f t="shared" si="2"/>
        <v>95705529.5</v>
      </c>
    </row>
    <row r="56" spans="1:17" x14ac:dyDescent="0.25">
      <c r="A56" s="14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>B56+E56</f>
        <v>183378</v>
      </c>
      <c r="I56" s="4">
        <f>C56+F56</f>
        <v>170897</v>
      </c>
      <c r="J56" s="4"/>
      <c r="K56" s="4">
        <f t="shared" si="0"/>
        <v>16908222.5</v>
      </c>
      <c r="L56" s="4"/>
      <c r="M56" s="4"/>
      <c r="N56" s="4">
        <f t="shared" si="1"/>
        <v>1336940</v>
      </c>
      <c r="O56" s="4"/>
      <c r="P56" s="4"/>
      <c r="Q56" s="4">
        <f t="shared" si="2"/>
        <v>18245162.5</v>
      </c>
    </row>
    <row r="57" spans="1:17" x14ac:dyDescent="0.25">
      <c r="A57" s="14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>B57+E57</f>
        <v>313188</v>
      </c>
      <c r="I57" s="4">
        <f>C57+F57</f>
        <v>295658</v>
      </c>
      <c r="J57" s="4"/>
      <c r="K57" s="4">
        <f t="shared" si="0"/>
        <v>29951145</v>
      </c>
      <c r="L57" s="4"/>
      <c r="M57" s="4"/>
      <c r="N57" s="4">
        <f t="shared" si="1"/>
        <v>2013270</v>
      </c>
      <c r="O57" s="4"/>
      <c r="P57" s="4"/>
      <c r="Q57" s="4">
        <f t="shared" si="2"/>
        <v>31964415</v>
      </c>
    </row>
    <row r="58" spans="1:17" x14ac:dyDescent="0.25">
      <c r="A58" s="14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>B58+E58</f>
        <v>259360</v>
      </c>
      <c r="I58" s="4">
        <f>C58+F58</f>
        <v>253700</v>
      </c>
      <c r="J58" s="4"/>
      <c r="K58" s="4">
        <f t="shared" si="0"/>
        <v>25675880.5</v>
      </c>
      <c r="L58" s="4"/>
      <c r="M58" s="4"/>
      <c r="N58" s="4">
        <f t="shared" si="1"/>
        <v>1772829.5</v>
      </c>
      <c r="O58" s="4"/>
      <c r="P58" s="4"/>
      <c r="Q58" s="4">
        <f t="shared" si="2"/>
        <v>27448710</v>
      </c>
    </row>
    <row r="59" spans="1:17" x14ac:dyDescent="0.25">
      <c r="A59" s="14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>B59+E59</f>
        <v>210742</v>
      </c>
      <c r="I59" s="4">
        <f>C59+F59</f>
        <v>222184</v>
      </c>
      <c r="J59" s="4"/>
      <c r="K59" s="4">
        <f t="shared" si="0"/>
        <v>21955052.5</v>
      </c>
      <c r="L59" s="4"/>
      <c r="M59" s="4"/>
      <c r="N59" s="4">
        <f t="shared" si="1"/>
        <v>1639414.5</v>
      </c>
      <c r="O59" s="4"/>
      <c r="P59" s="4"/>
      <c r="Q59" s="4">
        <f t="shared" si="2"/>
        <v>23594467</v>
      </c>
    </row>
    <row r="60" spans="1:17" x14ac:dyDescent="0.25">
      <c r="A60" s="14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>B60+E60</f>
        <v>542450</v>
      </c>
      <c r="I60" s="4">
        <f>C60+F60</f>
        <v>585136</v>
      </c>
      <c r="J60" s="4"/>
      <c r="K60" s="4">
        <f t="shared" si="0"/>
        <v>59049669</v>
      </c>
      <c r="L60" s="4"/>
      <c r="M60" s="4"/>
      <c r="N60" s="4">
        <f t="shared" si="1"/>
        <v>3531354</v>
      </c>
      <c r="O60" s="4"/>
      <c r="P60" s="4"/>
      <c r="Q60" s="4">
        <f t="shared" si="2"/>
        <v>62581023</v>
      </c>
    </row>
    <row r="61" spans="1:17" x14ac:dyDescent="0.25">
      <c r="A61" s="14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>B61+E61</f>
        <v>288780</v>
      </c>
      <c r="I61" s="4">
        <f>C61+F61</f>
        <v>258577</v>
      </c>
      <c r="J61" s="4"/>
      <c r="K61" s="4">
        <f t="shared" si="0"/>
        <v>28816017</v>
      </c>
      <c r="L61" s="4"/>
      <c r="M61" s="4"/>
      <c r="N61" s="4">
        <f t="shared" si="1"/>
        <v>2109653.5</v>
      </c>
      <c r="O61" s="4"/>
      <c r="P61" s="4"/>
      <c r="Q61" s="4">
        <f t="shared" si="2"/>
        <v>30925670.5</v>
      </c>
    </row>
    <row r="62" spans="1:17" x14ac:dyDescent="0.25">
      <c r="A62" s="14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>B62+E62</f>
        <v>232543</v>
      </c>
      <c r="I62" s="4">
        <f>C62+F62</f>
        <v>208310</v>
      </c>
      <c r="J62" s="4"/>
      <c r="K62" s="4">
        <f t="shared" si="0"/>
        <v>23496110</v>
      </c>
      <c r="L62" s="4"/>
      <c r="M62" s="4"/>
      <c r="N62" s="4">
        <f t="shared" si="1"/>
        <v>1852937.5</v>
      </c>
      <c r="O62" s="4"/>
      <c r="P62" s="4"/>
      <c r="Q62" s="4">
        <f t="shared" si="2"/>
        <v>25349047.5</v>
      </c>
    </row>
    <row r="63" spans="1:17" x14ac:dyDescent="0.25">
      <c r="A63" s="14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>B63+E63</f>
        <v>252281</v>
      </c>
      <c r="I63" s="4">
        <f>C63+F63</f>
        <v>233912</v>
      </c>
      <c r="J63" s="4"/>
      <c r="K63" s="4">
        <f t="shared" si="0"/>
        <v>26604103.5</v>
      </c>
      <c r="L63" s="4"/>
      <c r="M63" s="4"/>
      <c r="N63" s="4">
        <f t="shared" si="1"/>
        <v>1838187</v>
      </c>
      <c r="O63" s="4"/>
      <c r="P63" s="4"/>
      <c r="Q63" s="4">
        <f t="shared" si="2"/>
        <v>28442290.5</v>
      </c>
    </row>
    <row r="64" spans="1:17" x14ac:dyDescent="0.25">
      <c r="A64" s="14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>B64+E64</f>
        <v>140690</v>
      </c>
      <c r="I64" s="4">
        <f>C64+F64</f>
        <v>125306</v>
      </c>
      <c r="J64" s="4"/>
      <c r="K64" s="4">
        <f t="shared" si="0"/>
        <v>14616115.5</v>
      </c>
      <c r="L64" s="4"/>
      <c r="M64" s="4"/>
      <c r="N64" s="4">
        <f t="shared" si="1"/>
        <v>1210646.5</v>
      </c>
      <c r="O64" s="4"/>
      <c r="P64" s="4"/>
      <c r="Q64" s="4">
        <f t="shared" si="2"/>
        <v>15826762</v>
      </c>
    </row>
    <row r="65" spans="1:17" x14ac:dyDescent="0.25">
      <c r="A65" s="14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>B65+E65</f>
        <v>686050</v>
      </c>
      <c r="I65" s="4">
        <f>C65+F65</f>
        <v>907775</v>
      </c>
      <c r="J65" s="4"/>
      <c r="K65" s="4">
        <f t="shared" si="0"/>
        <v>91045421.5</v>
      </c>
      <c r="L65" s="4"/>
      <c r="M65" s="4"/>
      <c r="N65" s="4">
        <f t="shared" si="1"/>
        <v>5380991</v>
      </c>
      <c r="O65" s="4"/>
      <c r="P65" s="4"/>
      <c r="Q65" s="4">
        <f t="shared" si="2"/>
        <v>96426412.5</v>
      </c>
    </row>
    <row r="66" spans="1:17" x14ac:dyDescent="0.25">
      <c r="A66" s="14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>B66+E66</f>
        <v>118251</v>
      </c>
      <c r="I66" s="4">
        <f>C66+F66</f>
        <v>102415</v>
      </c>
      <c r="J66" s="4"/>
      <c r="K66" s="4">
        <f t="shared" si="0"/>
        <v>12492679.5</v>
      </c>
      <c r="L66" s="4"/>
      <c r="M66" s="4"/>
      <c r="N66" s="4">
        <f t="shared" si="1"/>
        <v>1078279.5</v>
      </c>
      <c r="O66" s="4"/>
      <c r="P66" s="4"/>
      <c r="Q66" s="4">
        <f t="shared" si="2"/>
        <v>13570959</v>
      </c>
    </row>
    <row r="67" spans="1:17" x14ac:dyDescent="0.25">
      <c r="A67" s="14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>B67+E67</f>
        <v>197306</v>
      </c>
      <c r="I67" s="4">
        <f>C67+F67</f>
        <v>177053</v>
      </c>
      <c r="J67" s="4"/>
      <c r="K67" s="4">
        <f t="shared" si="0"/>
        <v>21804625</v>
      </c>
      <c r="L67" s="4"/>
      <c r="M67" s="4"/>
      <c r="N67" s="4">
        <f t="shared" si="1"/>
        <v>1592812.5</v>
      </c>
      <c r="O67" s="4"/>
      <c r="P67" s="4"/>
      <c r="Q67" s="4">
        <f t="shared" si="2"/>
        <v>23397437.5</v>
      </c>
    </row>
    <row r="68" spans="1:17" x14ac:dyDescent="0.25">
      <c r="A68" s="14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>B68+E68</f>
        <v>176982</v>
      </c>
      <c r="I68" s="4">
        <f>C68+F68</f>
        <v>158971</v>
      </c>
      <c r="J68" s="4"/>
      <c r="K68" s="4">
        <f t="shared" si="0"/>
        <v>19881723</v>
      </c>
      <c r="L68" s="4"/>
      <c r="M68" s="4"/>
      <c r="N68" s="4">
        <f t="shared" si="1"/>
        <v>1451292.5</v>
      </c>
      <c r="O68" s="4"/>
      <c r="P68" s="4"/>
      <c r="Q68" s="4">
        <f t="shared" si="2"/>
        <v>21333015.5</v>
      </c>
    </row>
    <row r="69" spans="1:17" x14ac:dyDescent="0.25">
      <c r="A69" s="14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>B69+E69</f>
        <v>122679</v>
      </c>
      <c r="I69" s="4">
        <f>C69+F69</f>
        <v>117725</v>
      </c>
      <c r="J69" s="4"/>
      <c r="K69" s="4">
        <f t="shared" si="0"/>
        <v>14403237</v>
      </c>
      <c r="L69" s="4"/>
      <c r="M69" s="4"/>
      <c r="N69" s="4">
        <f t="shared" si="1"/>
        <v>1102821</v>
      </c>
      <c r="O69" s="4"/>
      <c r="P69" s="4"/>
      <c r="Q69" s="4">
        <f t="shared" si="2"/>
        <v>15506058</v>
      </c>
    </row>
    <row r="70" spans="1:17" x14ac:dyDescent="0.25">
      <c r="A70" s="14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>B70+E70</f>
        <v>357326</v>
      </c>
      <c r="I70" s="4">
        <f>C70+F70</f>
        <v>390908</v>
      </c>
      <c r="J70" s="4"/>
      <c r="K70" s="4">
        <f t="shared" ref="K70:K114" si="3">(B70+C70) * (0.5 +$A70)</f>
        <v>46415789</v>
      </c>
      <c r="L70" s="4"/>
      <c r="M70" s="4"/>
      <c r="N70" s="4">
        <f t="shared" ref="N70:N114" si="4">(E70+F70) * (0.5 +$A70)</f>
        <v>2593538</v>
      </c>
      <c r="O70" s="4"/>
      <c r="P70" s="4"/>
      <c r="Q70" s="4">
        <f t="shared" ref="Q70:Q114" si="5">(H70+I70) * (0.5 +$A70)</f>
        <v>49009327</v>
      </c>
    </row>
    <row r="71" spans="1:17" x14ac:dyDescent="0.25">
      <c r="A71" s="14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>B71+E71</f>
        <v>140457</v>
      </c>
      <c r="I71" s="4">
        <f>C71+F71</f>
        <v>113437</v>
      </c>
      <c r="J71" s="4"/>
      <c r="K71" s="4">
        <f t="shared" si="3"/>
        <v>15631556.5</v>
      </c>
      <c r="L71" s="4"/>
      <c r="M71" s="4"/>
      <c r="N71" s="4">
        <f t="shared" si="4"/>
        <v>1252394.5</v>
      </c>
      <c r="O71" s="4"/>
      <c r="P71" s="4"/>
      <c r="Q71" s="4">
        <f t="shared" si="5"/>
        <v>16883951</v>
      </c>
    </row>
    <row r="72" spans="1:17" x14ac:dyDescent="0.25">
      <c r="A72" s="14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>B72+E72</f>
        <v>148740</v>
      </c>
      <c r="I72" s="4">
        <f>C72+F72</f>
        <v>127023</v>
      </c>
      <c r="J72" s="4"/>
      <c r="K72" s="4">
        <f t="shared" si="3"/>
        <v>17245102.5</v>
      </c>
      <c r="L72" s="4"/>
      <c r="M72" s="4"/>
      <c r="N72" s="4">
        <f t="shared" si="4"/>
        <v>1368900</v>
      </c>
      <c r="O72" s="4"/>
      <c r="P72" s="4"/>
      <c r="Q72" s="4">
        <f t="shared" si="5"/>
        <v>18614002.5</v>
      </c>
    </row>
    <row r="73" spans="1:17" x14ac:dyDescent="0.25">
      <c r="A73" s="14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>B73+E73</f>
        <v>114114</v>
      </c>
      <c r="I73" s="4">
        <f>C73+F73</f>
        <v>108737</v>
      </c>
      <c r="J73" s="4"/>
      <c r="K73" s="4">
        <f t="shared" si="3"/>
        <v>14303690.5</v>
      </c>
      <c r="L73" s="4"/>
      <c r="M73" s="4"/>
      <c r="N73" s="4">
        <f t="shared" si="4"/>
        <v>961603</v>
      </c>
      <c r="O73" s="4"/>
      <c r="P73" s="4"/>
      <c r="Q73" s="4">
        <f t="shared" si="5"/>
        <v>15265293.5</v>
      </c>
    </row>
    <row r="74" spans="1:17" x14ac:dyDescent="0.25">
      <c r="A74" s="14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>B74+E74</f>
        <v>61105</v>
      </c>
      <c r="I74" s="4">
        <f>C74+F74</f>
        <v>60508</v>
      </c>
      <c r="J74" s="4"/>
      <c r="K74" s="4">
        <f t="shared" si="3"/>
        <v>7838974.5</v>
      </c>
      <c r="L74" s="4"/>
      <c r="M74" s="4"/>
      <c r="N74" s="4">
        <f t="shared" si="4"/>
        <v>613129</v>
      </c>
      <c r="O74" s="4"/>
      <c r="P74" s="4"/>
      <c r="Q74" s="4">
        <f t="shared" si="5"/>
        <v>8452103.5</v>
      </c>
    </row>
    <row r="75" spans="1:17" x14ac:dyDescent="0.25">
      <c r="A75" s="14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>B75+E75</f>
        <v>379260</v>
      </c>
      <c r="I75" s="4">
        <f>C75+F75</f>
        <v>522328</v>
      </c>
      <c r="J75" s="4"/>
      <c r="K75" s="4">
        <f t="shared" si="3"/>
        <v>59824678.5</v>
      </c>
      <c r="L75" s="4"/>
      <c r="M75" s="4"/>
      <c r="N75" s="4">
        <f t="shared" si="4"/>
        <v>3737275.5</v>
      </c>
      <c r="O75" s="4"/>
      <c r="P75" s="4"/>
      <c r="Q75" s="4">
        <f t="shared" si="5"/>
        <v>63561954</v>
      </c>
    </row>
    <row r="76" spans="1:17" x14ac:dyDescent="0.25">
      <c r="A76" s="14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>B76+E76</f>
        <v>47362</v>
      </c>
      <c r="I76" s="4">
        <f>C76+F76</f>
        <v>43292</v>
      </c>
      <c r="J76" s="4"/>
      <c r="K76" s="4">
        <f t="shared" si="3"/>
        <v>5982119</v>
      </c>
      <c r="L76" s="4"/>
      <c r="M76" s="4"/>
      <c r="N76" s="4">
        <f t="shared" si="4"/>
        <v>499642</v>
      </c>
      <c r="O76" s="4"/>
      <c r="P76" s="4"/>
      <c r="Q76" s="4">
        <f t="shared" si="5"/>
        <v>6481761</v>
      </c>
    </row>
    <row r="77" spans="1:17" x14ac:dyDescent="0.25">
      <c r="A77" s="14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>B77+E77</f>
        <v>80630</v>
      </c>
      <c r="I77" s="4">
        <f>C77+F77</f>
        <v>71854</v>
      </c>
      <c r="J77" s="4"/>
      <c r="K77" s="4">
        <f t="shared" si="3"/>
        <v>10312472.5</v>
      </c>
      <c r="L77" s="4"/>
      <c r="M77" s="4"/>
      <c r="N77" s="4">
        <f t="shared" si="4"/>
        <v>742617.5</v>
      </c>
      <c r="O77" s="4"/>
      <c r="P77" s="4"/>
      <c r="Q77" s="4">
        <f t="shared" si="5"/>
        <v>11055090</v>
      </c>
    </row>
    <row r="78" spans="1:17" x14ac:dyDescent="0.25">
      <c r="A78" s="14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>B78+E78</f>
        <v>62901</v>
      </c>
      <c r="I78" s="4">
        <f>C78+F78</f>
        <v>55974</v>
      </c>
      <c r="J78" s="4"/>
      <c r="K78" s="4">
        <f t="shared" si="3"/>
        <v>8125278</v>
      </c>
      <c r="L78" s="4"/>
      <c r="M78" s="4"/>
      <c r="N78" s="4">
        <f t="shared" si="4"/>
        <v>612034.5</v>
      </c>
      <c r="O78" s="4"/>
      <c r="P78" s="4"/>
      <c r="Q78" s="4">
        <f t="shared" si="5"/>
        <v>8737312.5</v>
      </c>
    </row>
    <row r="79" spans="1:17" x14ac:dyDescent="0.25">
      <c r="A79" s="14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>B79+E79</f>
        <v>46340</v>
      </c>
      <c r="I79" s="4">
        <f>C79+F79</f>
        <v>41171</v>
      </c>
      <c r="J79" s="4"/>
      <c r="K79" s="4">
        <f t="shared" si="3"/>
        <v>6025709</v>
      </c>
      <c r="L79" s="4"/>
      <c r="M79" s="4"/>
      <c r="N79" s="4">
        <f t="shared" si="4"/>
        <v>493860.5</v>
      </c>
      <c r="O79" s="4"/>
      <c r="P79" s="4"/>
      <c r="Q79" s="4">
        <f t="shared" si="5"/>
        <v>6519569.5</v>
      </c>
    </row>
    <row r="80" spans="1:17" x14ac:dyDescent="0.25">
      <c r="A80" s="14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>B80+E80</f>
        <v>158782</v>
      </c>
      <c r="I80" s="4">
        <f>C80+F80</f>
        <v>159422</v>
      </c>
      <c r="J80" s="4"/>
      <c r="K80" s="4">
        <f t="shared" si="3"/>
        <v>22694771.5</v>
      </c>
      <c r="L80" s="4"/>
      <c r="M80" s="4"/>
      <c r="N80" s="4">
        <f t="shared" si="4"/>
        <v>1329630.5</v>
      </c>
      <c r="O80" s="4"/>
      <c r="P80" s="4"/>
      <c r="Q80" s="4">
        <f t="shared" si="5"/>
        <v>24024402</v>
      </c>
    </row>
    <row r="81" spans="1:17" x14ac:dyDescent="0.25">
      <c r="A81" s="14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>B81+E81</f>
        <v>49674</v>
      </c>
      <c r="I81" s="4">
        <f>C81+F81</f>
        <v>39445</v>
      </c>
      <c r="J81" s="4"/>
      <c r="K81" s="4">
        <f t="shared" si="3"/>
        <v>6298015.5</v>
      </c>
      <c r="L81" s="4"/>
      <c r="M81" s="4"/>
      <c r="N81" s="4">
        <f t="shared" si="4"/>
        <v>519588</v>
      </c>
      <c r="O81" s="4"/>
      <c r="P81" s="4"/>
      <c r="Q81" s="4">
        <f t="shared" si="5"/>
        <v>6817603.5</v>
      </c>
    </row>
    <row r="82" spans="1:17" x14ac:dyDescent="0.25">
      <c r="A82" s="14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>B82+E82</f>
        <v>40825</v>
      </c>
      <c r="I82" s="4">
        <f>C82+F82</f>
        <v>31463</v>
      </c>
      <c r="J82" s="4"/>
      <c r="K82" s="4">
        <f t="shared" si="3"/>
        <v>5130112.5</v>
      </c>
      <c r="L82" s="4"/>
      <c r="M82" s="4"/>
      <c r="N82" s="4">
        <f t="shared" si="4"/>
        <v>472207.5</v>
      </c>
      <c r="O82" s="4"/>
      <c r="P82" s="4"/>
      <c r="Q82" s="4">
        <f t="shared" si="5"/>
        <v>5602320</v>
      </c>
    </row>
    <row r="83" spans="1:17" x14ac:dyDescent="0.25">
      <c r="A83" s="14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>B83+E83</f>
        <v>46067</v>
      </c>
      <c r="I83" s="4">
        <f>C83+F83</f>
        <v>39379</v>
      </c>
      <c r="J83" s="4"/>
      <c r="K83" s="4">
        <f t="shared" si="3"/>
        <v>6216964.5</v>
      </c>
      <c r="L83" s="4"/>
      <c r="M83" s="4"/>
      <c r="N83" s="4">
        <f t="shared" si="4"/>
        <v>490546.5</v>
      </c>
      <c r="O83" s="4"/>
      <c r="P83" s="4"/>
      <c r="Q83" s="4">
        <f t="shared" si="5"/>
        <v>6707511</v>
      </c>
    </row>
    <row r="84" spans="1:17" x14ac:dyDescent="0.25">
      <c r="A84" s="14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>B84+E84</f>
        <v>19050</v>
      </c>
      <c r="I84" s="4">
        <f>C84+F84</f>
        <v>16950</v>
      </c>
      <c r="J84" s="4"/>
      <c r="K84" s="4">
        <f t="shared" si="3"/>
        <v>2623738.5</v>
      </c>
      <c r="L84" s="4"/>
      <c r="M84" s="4"/>
      <c r="N84" s="4">
        <f t="shared" si="4"/>
        <v>238261.5</v>
      </c>
      <c r="O84" s="4"/>
      <c r="P84" s="4"/>
      <c r="Q84" s="4">
        <f t="shared" si="5"/>
        <v>2862000</v>
      </c>
    </row>
    <row r="85" spans="1:17" x14ac:dyDescent="0.25">
      <c r="A85" s="14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>B85+E85</f>
        <v>141367</v>
      </c>
      <c r="I85" s="4">
        <f>C85+F85</f>
        <v>175101</v>
      </c>
      <c r="J85" s="4"/>
      <c r="K85" s="4">
        <f t="shared" si="3"/>
        <v>23690023</v>
      </c>
      <c r="L85" s="4"/>
      <c r="M85" s="4"/>
      <c r="N85" s="4">
        <f t="shared" si="4"/>
        <v>1785651</v>
      </c>
      <c r="O85" s="4"/>
      <c r="P85" s="4"/>
      <c r="Q85" s="4">
        <f t="shared" si="5"/>
        <v>25475674</v>
      </c>
    </row>
    <row r="86" spans="1:17" x14ac:dyDescent="0.25">
      <c r="A86" s="14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>B86+E86</f>
        <v>12177</v>
      </c>
      <c r="I86" s="4">
        <f>C86+F86</f>
        <v>10458</v>
      </c>
      <c r="J86" s="4"/>
      <c r="K86" s="4">
        <f t="shared" si="3"/>
        <v>1674988</v>
      </c>
      <c r="L86" s="4"/>
      <c r="M86" s="4"/>
      <c r="N86" s="4">
        <f t="shared" si="4"/>
        <v>169764.5</v>
      </c>
      <c r="O86" s="4"/>
      <c r="P86" s="4"/>
      <c r="Q86" s="4">
        <f t="shared" si="5"/>
        <v>1844752.5</v>
      </c>
    </row>
    <row r="87" spans="1:17" x14ac:dyDescent="0.25">
      <c r="A87" s="14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>B87+E87</f>
        <v>18053</v>
      </c>
      <c r="I87" s="4">
        <f>C87+F87</f>
        <v>15247</v>
      </c>
      <c r="J87" s="4"/>
      <c r="K87" s="4">
        <f t="shared" si="3"/>
        <v>2527635</v>
      </c>
      <c r="L87" s="4"/>
      <c r="M87" s="4"/>
      <c r="N87" s="4">
        <f t="shared" si="4"/>
        <v>219615</v>
      </c>
      <c r="O87" s="4"/>
      <c r="P87" s="4"/>
      <c r="Q87" s="4">
        <f t="shared" si="5"/>
        <v>2747250</v>
      </c>
    </row>
    <row r="88" spans="1:17" x14ac:dyDescent="0.25">
      <c r="A88" s="14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>B88+E88</f>
        <v>13146</v>
      </c>
      <c r="I88" s="4">
        <f>C88+F88</f>
        <v>10975</v>
      </c>
      <c r="J88" s="4"/>
      <c r="K88" s="4">
        <f t="shared" si="3"/>
        <v>1841592.5</v>
      </c>
      <c r="L88" s="4"/>
      <c r="M88" s="4"/>
      <c r="N88" s="4">
        <f t="shared" si="4"/>
        <v>172511</v>
      </c>
      <c r="O88" s="4"/>
      <c r="P88" s="4"/>
      <c r="Q88" s="4">
        <f t="shared" si="5"/>
        <v>2014103.5</v>
      </c>
    </row>
    <row r="89" spans="1:17" x14ac:dyDescent="0.25">
      <c r="A89" s="14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>B89+E89</f>
        <v>11994</v>
      </c>
      <c r="I89" s="4">
        <f>C89+F89</f>
        <v>9312</v>
      </c>
      <c r="J89" s="4"/>
      <c r="K89" s="4">
        <f t="shared" si="3"/>
        <v>1656031</v>
      </c>
      <c r="L89" s="4"/>
      <c r="M89" s="4"/>
      <c r="N89" s="4">
        <f t="shared" si="4"/>
        <v>144326</v>
      </c>
      <c r="O89" s="4"/>
      <c r="P89" s="4"/>
      <c r="Q89" s="4">
        <f t="shared" si="5"/>
        <v>1800357</v>
      </c>
    </row>
    <row r="90" spans="1:17" x14ac:dyDescent="0.25">
      <c r="A90" s="14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>B90+E90</f>
        <v>36446</v>
      </c>
      <c r="I90" s="4">
        <f>C90+F90</f>
        <v>34885</v>
      </c>
      <c r="J90" s="4"/>
      <c r="K90" s="4">
        <f t="shared" si="3"/>
        <v>5697463.5</v>
      </c>
      <c r="L90" s="4"/>
      <c r="M90" s="4"/>
      <c r="N90" s="4">
        <f t="shared" si="4"/>
        <v>401337</v>
      </c>
      <c r="O90" s="4"/>
      <c r="P90" s="4"/>
      <c r="Q90" s="4">
        <f t="shared" si="5"/>
        <v>6098800.5</v>
      </c>
    </row>
    <row r="91" spans="1:17" x14ac:dyDescent="0.25">
      <c r="A91" s="14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>B91+E91</f>
        <v>9657</v>
      </c>
      <c r="I91" s="4">
        <f>C91+F91</f>
        <v>7264</v>
      </c>
      <c r="J91" s="4"/>
      <c r="K91" s="4">
        <f t="shared" si="3"/>
        <v>1331494.5</v>
      </c>
      <c r="L91" s="4"/>
      <c r="M91" s="4"/>
      <c r="N91" s="4">
        <f t="shared" si="4"/>
        <v>132172</v>
      </c>
      <c r="O91" s="4"/>
      <c r="P91" s="4"/>
      <c r="Q91" s="4">
        <f t="shared" si="5"/>
        <v>1463666.5</v>
      </c>
    </row>
    <row r="92" spans="1:17" x14ac:dyDescent="0.25">
      <c r="A92" s="14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>B92+E92</f>
        <v>7869</v>
      </c>
      <c r="I92" s="4">
        <f>C92+F92</f>
        <v>6388</v>
      </c>
      <c r="J92" s="4"/>
      <c r="K92" s="4">
        <f t="shared" si="3"/>
        <v>1129187.5</v>
      </c>
      <c r="L92" s="4"/>
      <c r="M92" s="4"/>
      <c r="N92" s="4">
        <f t="shared" si="4"/>
        <v>118300</v>
      </c>
      <c r="O92" s="4"/>
      <c r="P92" s="4"/>
      <c r="Q92" s="4">
        <f t="shared" si="5"/>
        <v>1247487.5</v>
      </c>
    </row>
    <row r="93" spans="1:17" x14ac:dyDescent="0.25">
      <c r="A93" s="14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>B93+E93</f>
        <v>6313</v>
      </c>
      <c r="I93" s="4">
        <f>C93+F93</f>
        <v>5342</v>
      </c>
      <c r="J93" s="4"/>
      <c r="K93" s="4">
        <f t="shared" si="3"/>
        <v>924648</v>
      </c>
      <c r="L93" s="4"/>
      <c r="M93" s="4"/>
      <c r="N93" s="4">
        <f t="shared" si="4"/>
        <v>106819.5</v>
      </c>
      <c r="O93" s="4"/>
      <c r="P93" s="4"/>
      <c r="Q93" s="4">
        <f t="shared" si="5"/>
        <v>1031467.5</v>
      </c>
    </row>
    <row r="94" spans="1:17" x14ac:dyDescent="0.25">
      <c r="A94" s="14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>B94+E94</f>
        <v>3735</v>
      </c>
      <c r="I94" s="4">
        <f>C94+F94</f>
        <v>3650</v>
      </c>
      <c r="J94" s="4"/>
      <c r="K94" s="4">
        <f t="shared" si="3"/>
        <v>586046</v>
      </c>
      <c r="L94" s="4"/>
      <c r="M94" s="4"/>
      <c r="N94" s="4">
        <f t="shared" si="4"/>
        <v>74911.5</v>
      </c>
      <c r="O94" s="4"/>
      <c r="P94" s="4"/>
      <c r="Q94" s="4">
        <f t="shared" si="5"/>
        <v>660957.5</v>
      </c>
    </row>
    <row r="95" spans="1:17" x14ac:dyDescent="0.25">
      <c r="A95" s="14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>B95+E95</f>
        <v>24476</v>
      </c>
      <c r="I95" s="4">
        <f>C95+F95</f>
        <v>32625</v>
      </c>
      <c r="J95" s="4"/>
      <c r="K95" s="4">
        <f t="shared" si="3"/>
        <v>4698217</v>
      </c>
      <c r="L95" s="4"/>
      <c r="M95" s="4"/>
      <c r="N95" s="4">
        <f t="shared" si="4"/>
        <v>469423.5</v>
      </c>
      <c r="O95" s="4"/>
      <c r="P95" s="4"/>
      <c r="Q95" s="4">
        <f t="shared" si="5"/>
        <v>5167640.5</v>
      </c>
    </row>
    <row r="96" spans="1:17" x14ac:dyDescent="0.25">
      <c r="A96" s="14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>B96+E96</f>
        <v>1560</v>
      </c>
      <c r="I96" s="4">
        <f>C96+F96</f>
        <v>1529</v>
      </c>
      <c r="J96" s="4"/>
      <c r="K96" s="4">
        <f t="shared" si="3"/>
        <v>244122</v>
      </c>
      <c r="L96" s="4"/>
      <c r="M96" s="4"/>
      <c r="N96" s="4">
        <f t="shared" si="4"/>
        <v>38521.5</v>
      </c>
      <c r="O96" s="4"/>
      <c r="P96" s="4"/>
      <c r="Q96" s="4">
        <f t="shared" si="5"/>
        <v>282643.5</v>
      </c>
    </row>
    <row r="97" spans="1:17" x14ac:dyDescent="0.25">
      <c r="A97" s="14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>B97+E97</f>
        <v>1941</v>
      </c>
      <c r="I97" s="4">
        <f>C97+F97</f>
        <v>1997</v>
      </c>
      <c r="J97" s="4"/>
      <c r="K97" s="4">
        <f t="shared" si="3"/>
        <v>322917.5</v>
      </c>
      <c r="L97" s="4"/>
      <c r="M97" s="4"/>
      <c r="N97" s="4">
        <f t="shared" si="4"/>
        <v>41347.5</v>
      </c>
      <c r="O97" s="4"/>
      <c r="P97" s="4"/>
      <c r="Q97" s="4">
        <f t="shared" si="5"/>
        <v>364265</v>
      </c>
    </row>
    <row r="98" spans="1:17" x14ac:dyDescent="0.25">
      <c r="A98" s="14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>B98+E98</f>
        <v>1670</v>
      </c>
      <c r="I98" s="4">
        <f>C98+F98</f>
        <v>1527</v>
      </c>
      <c r="J98" s="4"/>
      <c r="K98" s="4">
        <f t="shared" si="3"/>
        <v>262828.5</v>
      </c>
      <c r="L98" s="4"/>
      <c r="M98" s="4"/>
      <c r="N98" s="4">
        <f t="shared" si="4"/>
        <v>36091</v>
      </c>
      <c r="O98" s="4"/>
      <c r="P98" s="4"/>
      <c r="Q98" s="4">
        <f t="shared" si="5"/>
        <v>298919.5</v>
      </c>
    </row>
    <row r="99" spans="1:17" x14ac:dyDescent="0.25">
      <c r="A99" s="14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>B99+E99</f>
        <v>1391</v>
      </c>
      <c r="I99" s="4">
        <f>C99+F99</f>
        <v>1142</v>
      </c>
      <c r="J99" s="4"/>
      <c r="K99" s="4">
        <f t="shared" si="3"/>
        <v>211018.5</v>
      </c>
      <c r="L99" s="4"/>
      <c r="M99" s="4"/>
      <c r="N99" s="4">
        <f t="shared" si="4"/>
        <v>28350</v>
      </c>
      <c r="O99" s="4"/>
      <c r="P99" s="4"/>
      <c r="Q99" s="4">
        <f t="shared" si="5"/>
        <v>239368.5</v>
      </c>
    </row>
    <row r="100" spans="1:17" x14ac:dyDescent="0.25">
      <c r="A100" s="14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>B100+E100</f>
        <v>5244</v>
      </c>
      <c r="I100" s="4">
        <f>C100+F100</f>
        <v>5745</v>
      </c>
      <c r="J100" s="4"/>
      <c r="K100" s="4">
        <f t="shared" si="3"/>
        <v>958533.5</v>
      </c>
      <c r="L100" s="4"/>
      <c r="M100" s="4"/>
      <c r="N100" s="4">
        <f t="shared" si="4"/>
        <v>90916</v>
      </c>
      <c r="O100" s="4"/>
      <c r="P100" s="4"/>
      <c r="Q100" s="4">
        <f t="shared" si="5"/>
        <v>1049449.5</v>
      </c>
    </row>
    <row r="101" spans="1:17" x14ac:dyDescent="0.25">
      <c r="A101" s="14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>B101+E101</f>
        <v>2154</v>
      </c>
      <c r="I101" s="4">
        <f>C101+F101</f>
        <v>1827</v>
      </c>
      <c r="J101" s="4"/>
      <c r="K101" s="4">
        <f t="shared" si="3"/>
        <v>336302.5</v>
      </c>
      <c r="L101" s="4"/>
      <c r="M101" s="4"/>
      <c r="N101" s="4">
        <f t="shared" si="4"/>
        <v>47864</v>
      </c>
      <c r="O101" s="4"/>
      <c r="P101" s="4"/>
      <c r="Q101" s="4">
        <f t="shared" si="5"/>
        <v>384166.5</v>
      </c>
    </row>
    <row r="102" spans="1:17" x14ac:dyDescent="0.25">
      <c r="A102" s="14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>B102+E102</f>
        <v>1638</v>
      </c>
      <c r="I102" s="4">
        <f>C102+F102</f>
        <v>1320</v>
      </c>
      <c r="J102" s="4"/>
      <c r="K102" s="4">
        <f t="shared" si="3"/>
        <v>257887.5</v>
      </c>
      <c r="L102" s="4"/>
      <c r="M102" s="4"/>
      <c r="N102" s="4">
        <f t="shared" si="4"/>
        <v>30517.5</v>
      </c>
      <c r="O102" s="4"/>
      <c r="P102" s="4"/>
      <c r="Q102" s="4">
        <f t="shared" si="5"/>
        <v>288405</v>
      </c>
    </row>
    <row r="103" spans="1:17" x14ac:dyDescent="0.25">
      <c r="A103" s="14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>B103+E103</f>
        <v>1583</v>
      </c>
      <c r="I103" s="4">
        <f>C103+F103</f>
        <v>1437</v>
      </c>
      <c r="J103" s="4"/>
      <c r="K103" s="4">
        <f t="shared" si="3"/>
        <v>269003.5</v>
      </c>
      <c r="L103" s="4"/>
      <c r="M103" s="4"/>
      <c r="N103" s="4">
        <f t="shared" si="4"/>
        <v>28466.5</v>
      </c>
      <c r="O103" s="4"/>
      <c r="P103" s="4"/>
      <c r="Q103" s="4">
        <f t="shared" si="5"/>
        <v>297470</v>
      </c>
    </row>
    <row r="104" spans="1:17" x14ac:dyDescent="0.25">
      <c r="A104" s="14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>B104+E104</f>
        <v>717</v>
      </c>
      <c r="I104" s="4">
        <f>C104+F104</f>
        <v>787</v>
      </c>
      <c r="J104" s="4"/>
      <c r="K104" s="4">
        <f t="shared" si="3"/>
        <v>130146</v>
      </c>
      <c r="L104" s="4"/>
      <c r="M104" s="4"/>
      <c r="N104" s="4">
        <f t="shared" si="4"/>
        <v>19502</v>
      </c>
      <c r="O104" s="4"/>
      <c r="P104" s="4"/>
      <c r="Q104" s="4">
        <f t="shared" si="5"/>
        <v>149648</v>
      </c>
    </row>
    <row r="105" spans="1:17" x14ac:dyDescent="0.25">
      <c r="A105" s="14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>B105+E105</f>
        <v>2400</v>
      </c>
      <c r="I105" s="4">
        <f>C105+F105</f>
        <v>3635</v>
      </c>
      <c r="J105" s="4"/>
      <c r="K105" s="4">
        <f t="shared" si="3"/>
        <v>531142.5</v>
      </c>
      <c r="L105" s="4"/>
      <c r="M105" s="4"/>
      <c r="N105" s="4">
        <f t="shared" si="4"/>
        <v>75375</v>
      </c>
      <c r="O105" s="4"/>
      <c r="P105" s="4"/>
      <c r="Q105" s="4">
        <f t="shared" si="5"/>
        <v>606517.5</v>
      </c>
    </row>
    <row r="106" spans="1:17" x14ac:dyDescent="0.25">
      <c r="A106" s="14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>B106+E106</f>
        <v>271</v>
      </c>
      <c r="I106" s="4">
        <f>C106+F106</f>
        <v>294</v>
      </c>
      <c r="J106" s="4"/>
      <c r="K106" s="4">
        <f t="shared" si="3"/>
        <v>49532</v>
      </c>
      <c r="L106" s="4"/>
      <c r="M106" s="4"/>
      <c r="N106" s="4">
        <f t="shared" si="4"/>
        <v>7815.5</v>
      </c>
      <c r="O106" s="4"/>
      <c r="P106" s="4"/>
      <c r="Q106" s="4">
        <f t="shared" si="5"/>
        <v>57347.5</v>
      </c>
    </row>
    <row r="107" spans="1:17" x14ac:dyDescent="0.25">
      <c r="A107" s="14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>B107+E107</f>
        <v>352</v>
      </c>
      <c r="I107" s="4">
        <f>C107+F107</f>
        <v>410</v>
      </c>
      <c r="J107" s="4"/>
      <c r="K107" s="4">
        <f t="shared" si="3"/>
        <v>65190</v>
      </c>
      <c r="L107" s="4"/>
      <c r="M107" s="4"/>
      <c r="N107" s="4">
        <f t="shared" si="4"/>
        <v>12915</v>
      </c>
      <c r="O107" s="4"/>
      <c r="P107" s="4"/>
      <c r="Q107" s="4">
        <f t="shared" si="5"/>
        <v>78105</v>
      </c>
    </row>
    <row r="108" spans="1:17" x14ac:dyDescent="0.25">
      <c r="A108" s="14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>B108+E108</f>
        <v>255</v>
      </c>
      <c r="I108" s="4">
        <f>C108+F108</f>
        <v>252</v>
      </c>
      <c r="J108" s="4"/>
      <c r="K108" s="4">
        <f t="shared" si="3"/>
        <v>44298</v>
      </c>
      <c r="L108" s="4"/>
      <c r="M108" s="4"/>
      <c r="N108" s="4">
        <f t="shared" si="4"/>
        <v>8176.5</v>
      </c>
      <c r="O108" s="4"/>
      <c r="P108" s="4"/>
      <c r="Q108" s="4">
        <f t="shared" si="5"/>
        <v>52474.5</v>
      </c>
    </row>
    <row r="109" spans="1:17" x14ac:dyDescent="0.25">
      <c r="A109" s="14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>B109+E109</f>
        <v>149</v>
      </c>
      <c r="I109" s="4">
        <f>C109+F109</f>
        <v>165</v>
      </c>
      <c r="J109" s="4"/>
      <c r="K109" s="4">
        <f t="shared" si="3"/>
        <v>28006</v>
      </c>
      <c r="L109" s="4"/>
      <c r="M109" s="4"/>
      <c r="N109" s="4">
        <f t="shared" si="4"/>
        <v>4807</v>
      </c>
      <c r="O109" s="4"/>
      <c r="P109" s="4"/>
      <c r="Q109" s="4">
        <f t="shared" si="5"/>
        <v>32813</v>
      </c>
    </row>
    <row r="110" spans="1:17" x14ac:dyDescent="0.25">
      <c r="A110" s="14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>B110+E110</f>
        <v>318</v>
      </c>
      <c r="I110" s="4">
        <f>C110+F110</f>
        <v>385</v>
      </c>
      <c r="J110" s="4"/>
      <c r="K110" s="4">
        <f t="shared" si="3"/>
        <v>63194.5</v>
      </c>
      <c r="L110" s="4"/>
      <c r="M110" s="4"/>
      <c r="N110" s="4">
        <f t="shared" si="4"/>
        <v>10972</v>
      </c>
      <c r="O110" s="4"/>
      <c r="P110" s="4"/>
      <c r="Q110" s="4">
        <f t="shared" si="5"/>
        <v>74166.5</v>
      </c>
    </row>
    <row r="111" spans="1:17" x14ac:dyDescent="0.25">
      <c r="A111" s="14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>B111+E111</f>
        <v>115</v>
      </c>
      <c r="I111" s="4">
        <f>C111+F111</f>
        <v>110</v>
      </c>
      <c r="J111" s="4"/>
      <c r="K111" s="4">
        <f t="shared" si="3"/>
        <v>18531</v>
      </c>
      <c r="L111" s="4"/>
      <c r="M111" s="4"/>
      <c r="N111" s="4">
        <f t="shared" si="4"/>
        <v>5431.5</v>
      </c>
      <c r="O111" s="4"/>
      <c r="P111" s="4"/>
      <c r="Q111" s="4">
        <f t="shared" si="5"/>
        <v>23962.5</v>
      </c>
    </row>
    <row r="112" spans="1:17" x14ac:dyDescent="0.25">
      <c r="A112" s="14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>B112+E112</f>
        <v>91</v>
      </c>
      <c r="I112" s="4">
        <f>C112+F112</f>
        <v>81</v>
      </c>
      <c r="J112" s="4"/>
      <c r="K112" s="4">
        <f t="shared" si="3"/>
        <v>14942.5</v>
      </c>
      <c r="L112" s="4"/>
      <c r="M112" s="4"/>
      <c r="N112" s="4">
        <f t="shared" si="4"/>
        <v>3547.5</v>
      </c>
      <c r="O112" s="4"/>
      <c r="P112" s="4"/>
      <c r="Q112" s="4">
        <f t="shared" si="5"/>
        <v>18490</v>
      </c>
    </row>
    <row r="113" spans="1:17" x14ac:dyDescent="0.25">
      <c r="A113" s="14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>B113+E113</f>
        <v>61</v>
      </c>
      <c r="I113" s="4">
        <f>C113+F113</f>
        <v>57</v>
      </c>
      <c r="J113" s="4"/>
      <c r="K113" s="4">
        <f t="shared" si="3"/>
        <v>10307.5</v>
      </c>
      <c r="L113" s="4"/>
      <c r="M113" s="4"/>
      <c r="N113" s="4">
        <f t="shared" si="4"/>
        <v>2495.5</v>
      </c>
      <c r="O113" s="4"/>
      <c r="P113" s="4"/>
      <c r="Q113" s="4">
        <f t="shared" si="5"/>
        <v>12803</v>
      </c>
    </row>
    <row r="114" spans="1:17" x14ac:dyDescent="0.25">
      <c r="A114" s="14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>B114+E114</f>
        <v>77</v>
      </c>
      <c r="I114" s="4">
        <f>C114+F114</f>
        <v>60</v>
      </c>
      <c r="J114" s="4"/>
      <c r="K114" s="4">
        <f t="shared" si="3"/>
        <v>13249.5</v>
      </c>
      <c r="L114" s="4"/>
      <c r="M114" s="4"/>
      <c r="N114" s="4">
        <f t="shared" si="4"/>
        <v>1752</v>
      </c>
      <c r="O114" s="4"/>
      <c r="P114" s="4"/>
      <c r="Q114" s="4">
        <f t="shared" si="5"/>
        <v>15001.5</v>
      </c>
    </row>
    <row r="116" spans="1:17" x14ac:dyDescent="0.25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23">
        <f>SUM(K5:K114) / (B116 + C116)</f>
        <v>25.150917132905484</v>
      </c>
      <c r="L116" s="24"/>
      <c r="M116" s="24"/>
      <c r="N116" s="23">
        <f>SUM(N5:N114) / (E116 + F116)</f>
        <v>26.350505363564867</v>
      </c>
      <c r="O116" s="24"/>
      <c r="P116" s="24"/>
      <c r="Q116" s="23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dimension ref="A1:T119"/>
  <sheetViews>
    <sheetView workbookViewId="0">
      <selection activeCell="X15" sqref="X15"/>
    </sheetView>
  </sheetViews>
  <sheetFormatPr defaultRowHeight="15" x14ac:dyDescent="0.25"/>
  <cols>
    <col min="3" max="3" width="11.85546875" customWidth="1"/>
    <col min="4" max="4" width="13.140625" customWidth="1"/>
    <col min="13" max="14" width="9.5703125" bestFit="1" customWidth="1"/>
    <col min="16" max="16" width="10.85546875" customWidth="1"/>
    <col min="17" max="17" width="10.42578125" customWidth="1"/>
    <col min="19" max="19" width="10.85546875" customWidth="1"/>
    <col min="20" max="20" width="10.42578125" customWidth="1"/>
  </cols>
  <sheetData>
    <row r="1" spans="1:20" x14ac:dyDescent="0.25">
      <c r="B1" s="13"/>
      <c r="C1" s="21" t="s">
        <v>134</v>
      </c>
      <c r="D1" s="21"/>
      <c r="E1" s="21"/>
      <c r="F1" s="21"/>
      <c r="G1" s="21"/>
      <c r="H1" s="21"/>
      <c r="I1" s="21"/>
      <c r="J1" s="21"/>
      <c r="M1" s="21" t="s">
        <v>135</v>
      </c>
      <c r="N1" s="21"/>
      <c r="O1" s="21"/>
      <c r="P1" s="21"/>
      <c r="Q1" s="21"/>
      <c r="R1" s="21"/>
      <c r="S1" s="21"/>
      <c r="T1" s="21"/>
    </row>
    <row r="2" spans="1:20" x14ac:dyDescent="0.25">
      <c r="C2" s="21" t="s">
        <v>129</v>
      </c>
      <c r="D2" s="21"/>
      <c r="F2" s="21" t="s">
        <v>132</v>
      </c>
      <c r="G2" s="21"/>
      <c r="I2" s="21" t="s">
        <v>133</v>
      </c>
      <c r="J2" s="21"/>
      <c r="M2" s="21" t="s">
        <v>129</v>
      </c>
      <c r="N2" s="21"/>
      <c r="P2" s="21" t="s">
        <v>132</v>
      </c>
      <c r="Q2" s="21"/>
      <c r="S2" s="21" t="s">
        <v>133</v>
      </c>
      <c r="T2" s="21"/>
    </row>
    <row r="4" spans="1:20" x14ac:dyDescent="0.25">
      <c r="A4" s="13" t="s">
        <v>16</v>
      </c>
      <c r="C4" s="13" t="s">
        <v>0</v>
      </c>
      <c r="D4" s="13" t="s">
        <v>1</v>
      </c>
      <c r="F4" s="13" t="s">
        <v>0</v>
      </c>
      <c r="G4" s="13" t="s">
        <v>1</v>
      </c>
      <c r="I4" s="13" t="s">
        <v>0</v>
      </c>
      <c r="J4" s="13" t="s">
        <v>1</v>
      </c>
      <c r="M4" s="26" t="s">
        <v>130</v>
      </c>
      <c r="N4" s="26" t="s">
        <v>131</v>
      </c>
      <c r="O4" s="27"/>
      <c r="P4" s="26" t="s">
        <v>136</v>
      </c>
      <c r="Q4" s="26" t="s">
        <v>137</v>
      </c>
      <c r="R4" s="27"/>
      <c r="S4" s="26" t="s">
        <v>138</v>
      </c>
      <c r="T4" s="26" t="s">
        <v>139</v>
      </c>
    </row>
    <row r="5" spans="1:20" x14ac:dyDescent="0.25">
      <c r="A5" s="14">
        <v>0</v>
      </c>
      <c r="C5" s="4">
        <v>1799585</v>
      </c>
      <c r="D5" s="4">
        <v>1792949</v>
      </c>
      <c r="F5" s="4">
        <v>152823.434851</v>
      </c>
      <c r="G5" s="4">
        <v>144013.34206</v>
      </c>
      <c r="I5" s="4">
        <v>362490.68634299998</v>
      </c>
      <c r="J5" s="4">
        <v>349707.73266799998</v>
      </c>
      <c r="M5" s="28">
        <f>C5/C$116</f>
        <v>3.6955406839172943E-2</v>
      </c>
      <c r="N5" s="28">
        <f t="shared" ref="N5:N68" si="0">D5/D$116</f>
        <v>3.5524320298680655E-2</v>
      </c>
      <c r="O5" s="28"/>
      <c r="P5" s="28">
        <f>F5/F$116</f>
        <v>2.4713458569061555E-2</v>
      </c>
      <c r="Q5" s="28">
        <f t="shared" ref="Q5" si="1">G5/G$116</f>
        <v>2.2884135288711246E-2</v>
      </c>
      <c r="R5" s="28"/>
      <c r="S5" s="28">
        <f>I5/I$116</f>
        <v>5.3776530046132739E-2</v>
      </c>
      <c r="T5" s="28">
        <f t="shared" ref="T5" si="2">J5/J$116</f>
        <v>5.1110850260177129E-2</v>
      </c>
    </row>
    <row r="6" spans="1:20" x14ac:dyDescent="0.25">
      <c r="A6" s="14">
        <v>1</v>
      </c>
      <c r="C6" s="4">
        <v>1430584</v>
      </c>
      <c r="D6" s="4">
        <v>1450048</v>
      </c>
      <c r="F6" s="4">
        <v>171378.71742599999</v>
      </c>
      <c r="G6" s="4">
        <v>164715.67103</v>
      </c>
      <c r="I6" s="4">
        <v>293376.33229200001</v>
      </c>
      <c r="J6" s="4">
        <v>280443.35522099998</v>
      </c>
      <c r="M6" s="28">
        <f t="shared" ref="M6:M69" si="3">C6/C$116</f>
        <v>2.9377780842589477E-2</v>
      </c>
      <c r="N6" s="28">
        <f t="shared" si="0"/>
        <v>2.8730303873931318E-2</v>
      </c>
      <c r="O6" s="28"/>
      <c r="P6" s="28">
        <f t="shared" ref="P6:P69" si="4">F6/F$116</f>
        <v>2.7714079564143786E-2</v>
      </c>
      <c r="Q6" s="28">
        <f t="shared" ref="Q6:Q69" si="5">G6/G$116</f>
        <v>2.6173795053314908E-2</v>
      </c>
      <c r="R6" s="28"/>
      <c r="S6" s="28">
        <f t="shared" ref="S6:S69" si="6">I6/I$116</f>
        <v>4.3523217954892494E-2</v>
      </c>
      <c r="T6" s="28">
        <f t="shared" ref="T6:T69" si="7">J6/J$116</f>
        <v>4.0987650532652346E-2</v>
      </c>
    </row>
    <row r="7" spans="1:20" x14ac:dyDescent="0.25">
      <c r="A7" s="14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 s="28">
        <f t="shared" si="3"/>
        <v>2.9785328696194741E-2</v>
      </c>
      <c r="N7" s="28">
        <f t="shared" si="0"/>
        <v>2.894446633929338E-2</v>
      </c>
      <c r="O7" s="28"/>
      <c r="P7" s="28">
        <f t="shared" si="4"/>
        <v>3.071470055906431E-2</v>
      </c>
      <c r="Q7" s="28">
        <f t="shared" si="5"/>
        <v>2.946345481791857E-2</v>
      </c>
      <c r="R7" s="28"/>
      <c r="S7" s="28">
        <f t="shared" si="6"/>
        <v>3.8077408855917635E-2</v>
      </c>
      <c r="T7" s="28">
        <f t="shared" si="7"/>
        <v>3.5682284259057936E-2</v>
      </c>
    </row>
    <row r="8" spans="1:20" x14ac:dyDescent="0.25">
      <c r="A8" s="14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 s="28">
        <f t="shared" si="3"/>
        <v>2.9327468828010576E-2</v>
      </c>
      <c r="N8" s="28">
        <f t="shared" si="0"/>
        <v>2.8692044301296096E-2</v>
      </c>
      <c r="O8" s="28"/>
      <c r="P8" s="28">
        <f t="shared" si="4"/>
        <v>3.0721654196243748E-2</v>
      </c>
      <c r="Q8" s="28">
        <f t="shared" si="5"/>
        <v>2.975297587131278E-2</v>
      </c>
      <c r="R8" s="28"/>
      <c r="S8" s="28">
        <f t="shared" si="6"/>
        <v>3.3356563738708454E-2</v>
      </c>
      <c r="T8" s="28">
        <f t="shared" si="7"/>
        <v>3.1138973924037774E-2</v>
      </c>
    </row>
    <row r="9" spans="1:20" x14ac:dyDescent="0.25">
      <c r="A9" s="14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 s="28">
        <f t="shared" si="3"/>
        <v>2.7338809443593886E-2</v>
      </c>
      <c r="N9" s="28">
        <f t="shared" si="0"/>
        <v>2.7022948155069317E-2</v>
      </c>
      <c r="O9" s="28"/>
      <c r="P9" s="28">
        <f t="shared" si="4"/>
        <v>3.0964869785031605E-2</v>
      </c>
      <c r="Q9" s="28">
        <f t="shared" si="5"/>
        <v>3.0254632273928325E-2</v>
      </c>
      <c r="R9" s="28"/>
      <c r="S9" s="28">
        <f t="shared" si="6"/>
        <v>2.9542597585665777E-2</v>
      </c>
      <c r="T9" s="28">
        <f t="shared" si="7"/>
        <v>2.7529850455433706E-2</v>
      </c>
    </row>
    <row r="10" spans="1:20" x14ac:dyDescent="0.25">
      <c r="A10" s="14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 s="28">
        <f t="shared" si="3"/>
        <v>2.5741885565343375E-2</v>
      </c>
      <c r="N10" s="28">
        <f t="shared" si="0"/>
        <v>2.5150745390984598E-2</v>
      </c>
      <c r="O10" s="28"/>
      <c r="P10" s="28">
        <f t="shared" si="4"/>
        <v>3.1079685654738638E-2</v>
      </c>
      <c r="Q10" s="28">
        <f t="shared" si="5"/>
        <v>2.904156766272558E-2</v>
      </c>
      <c r="R10" s="28"/>
      <c r="S10" s="28">
        <f t="shared" si="6"/>
        <v>2.6527632247023092E-2</v>
      </c>
      <c r="T10" s="28">
        <f t="shared" si="7"/>
        <v>2.4742324942856268E-2</v>
      </c>
    </row>
    <row r="11" spans="1:20" x14ac:dyDescent="0.25">
      <c r="A11" s="14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 s="28">
        <f t="shared" si="3"/>
        <v>2.5303760328183832E-2</v>
      </c>
      <c r="N11" s="28">
        <f t="shared" si="0"/>
        <v>2.4724698995140362E-2</v>
      </c>
      <c r="O11" s="28"/>
      <c r="P11" s="28">
        <f t="shared" si="4"/>
        <v>3.070163769882775E-2</v>
      </c>
      <c r="Q11" s="28">
        <f t="shared" si="5"/>
        <v>2.8709569515588215E-2</v>
      </c>
      <c r="R11" s="28"/>
      <c r="S11" s="28">
        <f t="shared" si="6"/>
        <v>2.4227374715742333E-2</v>
      </c>
      <c r="T11" s="28">
        <f t="shared" si="7"/>
        <v>2.2690498933881465E-2</v>
      </c>
    </row>
    <row r="12" spans="1:20" x14ac:dyDescent="0.25">
      <c r="A12" s="14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 s="28">
        <f t="shared" si="3"/>
        <v>2.4215316365438711E-2</v>
      </c>
      <c r="N12" s="28">
        <f t="shared" si="0"/>
        <v>2.4231881620642211E-2</v>
      </c>
      <c r="O12" s="28"/>
      <c r="P12" s="28">
        <f t="shared" si="4"/>
        <v>3.0046737758875522E-2</v>
      </c>
      <c r="Q12" s="28">
        <f t="shared" si="5"/>
        <v>2.7893364310578855E-2</v>
      </c>
      <c r="R12" s="28"/>
      <c r="S12" s="28">
        <f t="shared" si="6"/>
        <v>2.258043914233366E-2</v>
      </c>
      <c r="T12" s="28">
        <f t="shared" si="7"/>
        <v>2.1313950397699219E-2</v>
      </c>
    </row>
    <row r="13" spans="1:20" x14ac:dyDescent="0.25">
      <c r="A13" s="14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 s="28">
        <f t="shared" si="3"/>
        <v>2.4962521656241948E-2</v>
      </c>
      <c r="N13" s="28">
        <f t="shared" si="0"/>
        <v>2.4470018235609979E-2</v>
      </c>
      <c r="O13" s="28"/>
      <c r="P13" s="28">
        <f t="shared" si="4"/>
        <v>2.9088618390941214E-2</v>
      </c>
      <c r="Q13" s="28">
        <f t="shared" si="5"/>
        <v>2.681018574873574E-2</v>
      </c>
      <c r="R13" s="28"/>
      <c r="S13" s="28">
        <f t="shared" si="6"/>
        <v>2.1543251997386673E-2</v>
      </c>
      <c r="T13" s="28">
        <f t="shared" si="7"/>
        <v>2.0572651436222503E-2</v>
      </c>
    </row>
    <row r="14" spans="1:20" x14ac:dyDescent="0.25">
      <c r="A14" s="14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 s="28">
        <f t="shared" si="3"/>
        <v>2.2499409706588133E-2</v>
      </c>
      <c r="N14" s="28">
        <f t="shared" si="0"/>
        <v>2.1675741939004255E-2</v>
      </c>
      <c r="O14" s="28"/>
      <c r="P14" s="28">
        <f t="shared" si="4"/>
        <v>2.7839111116832946E-2</v>
      </c>
      <c r="Q14" s="28">
        <f t="shared" si="5"/>
        <v>2.5450139130571169E-2</v>
      </c>
      <c r="R14" s="28"/>
      <c r="S14" s="28">
        <f t="shared" si="6"/>
        <v>2.1071426677976644E-2</v>
      </c>
      <c r="T14" s="28">
        <f t="shared" si="7"/>
        <v>2.0426296035856578E-2</v>
      </c>
    </row>
    <row r="15" spans="1:20" x14ac:dyDescent="0.25">
      <c r="A15" s="14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 s="28">
        <f t="shared" si="3"/>
        <v>2.472636322046343E-2</v>
      </c>
      <c r="N15" s="28">
        <f t="shared" si="0"/>
        <v>2.4080250077722805E-2</v>
      </c>
      <c r="O15" s="28"/>
      <c r="P15" s="28">
        <f t="shared" si="4"/>
        <v>2.6326282246068804E-2</v>
      </c>
      <c r="Q15" s="28">
        <f t="shared" si="5"/>
        <v>2.3852906145083036E-2</v>
      </c>
      <c r="R15" s="28"/>
      <c r="S15" s="28">
        <f t="shared" si="6"/>
        <v>2.1311015740892419E-2</v>
      </c>
      <c r="T15" s="28">
        <f t="shared" si="7"/>
        <v>2.1046919852826564E-2</v>
      </c>
    </row>
    <row r="16" spans="1:20" x14ac:dyDescent="0.25">
      <c r="A16" s="14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 s="28">
        <f t="shared" si="3"/>
        <v>2.0164500984287823E-2</v>
      </c>
      <c r="N16" s="28">
        <f t="shared" si="0"/>
        <v>1.920357122102662E-2</v>
      </c>
      <c r="O16" s="28"/>
      <c r="P16" s="28">
        <f t="shared" si="4"/>
        <v>2.4413867778753165E-2</v>
      </c>
      <c r="Q16" s="28">
        <f t="shared" si="5"/>
        <v>2.1794951033708113E-2</v>
      </c>
      <c r="R16" s="28"/>
      <c r="S16" s="28">
        <f t="shared" si="6"/>
        <v>2.1353063017859265E-2</v>
      </c>
      <c r="T16" s="28">
        <f t="shared" si="7"/>
        <v>2.1436640421102608E-2</v>
      </c>
    </row>
    <row r="17" spans="1:20" x14ac:dyDescent="0.25">
      <c r="A17" s="14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M17" s="28">
        <f t="shared" si="3"/>
        <v>2.6209623016797929E-2</v>
      </c>
      <c r="N17" s="28">
        <f t="shared" si="0"/>
        <v>2.5382224721433755E-2</v>
      </c>
      <c r="O17" s="28"/>
      <c r="P17" s="28">
        <f t="shared" si="4"/>
        <v>2.2992689804837464E-2</v>
      </c>
      <c r="Q17" s="28">
        <f t="shared" si="5"/>
        <v>2.0679067042761769E-2</v>
      </c>
      <c r="R17" s="28"/>
      <c r="S17" s="28">
        <f t="shared" si="6"/>
        <v>2.1355758143376959E-2</v>
      </c>
      <c r="T17" s="28">
        <f t="shared" si="7"/>
        <v>2.1767458780268638E-2</v>
      </c>
    </row>
    <row r="18" spans="1:20" x14ac:dyDescent="0.25">
      <c r="A18" s="14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M18" s="28">
        <f t="shared" si="3"/>
        <v>2.1617881604617303E-2</v>
      </c>
      <c r="N18" s="28">
        <f t="shared" si="0"/>
        <v>2.0980333093664486E-2</v>
      </c>
      <c r="O18" s="28"/>
      <c r="P18" s="28">
        <f t="shared" si="4"/>
        <v>2.1882565397480302E-2</v>
      </c>
      <c r="Q18" s="28">
        <f t="shared" si="5"/>
        <v>2.0213164920597732E-2</v>
      </c>
      <c r="R18" s="28"/>
      <c r="S18" s="28">
        <f t="shared" si="6"/>
        <v>2.1302623928155236E-2</v>
      </c>
      <c r="T18" s="28">
        <f t="shared" si="7"/>
        <v>2.2020172487444766E-2</v>
      </c>
    </row>
    <row r="19" spans="1:20" x14ac:dyDescent="0.25">
      <c r="A19" s="14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M19" s="28">
        <f t="shared" si="3"/>
        <v>2.10272596244933E-2</v>
      </c>
      <c r="N19" s="28">
        <f t="shared" si="0"/>
        <v>2.0785151814519176E-2</v>
      </c>
      <c r="O19" s="28"/>
      <c r="P19" s="28">
        <f t="shared" si="4"/>
        <v>2.1085071631567802E-2</v>
      </c>
      <c r="Q19" s="28">
        <f t="shared" si="5"/>
        <v>2.0410726139270616E-2</v>
      </c>
      <c r="R19" s="28"/>
      <c r="S19" s="28">
        <f t="shared" si="6"/>
        <v>2.1194707654077341E-2</v>
      </c>
      <c r="T19" s="28">
        <f t="shared" si="7"/>
        <v>2.2194882654815742E-2</v>
      </c>
    </row>
    <row r="20" spans="1:20" x14ac:dyDescent="0.25">
      <c r="A20" s="14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M20" s="28">
        <f t="shared" si="3"/>
        <v>2.0388420252438172E-2</v>
      </c>
      <c r="N20" s="28">
        <f t="shared" si="0"/>
        <v>2.0250072571335924E-2</v>
      </c>
      <c r="O20" s="28"/>
      <c r="P20" s="28">
        <f t="shared" si="4"/>
        <v>2.0574805972493997E-2</v>
      </c>
      <c r="Q20" s="28">
        <f t="shared" si="5"/>
        <v>2.1236929531812887E-2</v>
      </c>
      <c r="R20" s="28"/>
      <c r="S20" s="28">
        <f t="shared" si="6"/>
        <v>2.1032333254360405E-2</v>
      </c>
      <c r="T20" s="28">
        <f t="shared" si="7"/>
        <v>2.2291021997226653E-2</v>
      </c>
    </row>
    <row r="21" spans="1:20" x14ac:dyDescent="0.25">
      <c r="A21" s="14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M21" s="28">
        <f t="shared" si="3"/>
        <v>2.0219515632066143E-2</v>
      </c>
      <c r="N21" s="28">
        <f t="shared" si="0"/>
        <v>2.1693058804091354E-2</v>
      </c>
      <c r="O21" s="28"/>
      <c r="P21" s="28">
        <f t="shared" si="4"/>
        <v>2.0471445928634181E-2</v>
      </c>
      <c r="Q21" s="28">
        <f t="shared" si="5"/>
        <v>2.3103324515052925E-2</v>
      </c>
      <c r="R21" s="28"/>
      <c r="S21" s="28">
        <f t="shared" si="6"/>
        <v>2.0815899909759204E-2</v>
      </c>
      <c r="T21" s="28">
        <f t="shared" si="7"/>
        <v>2.2308229131687313E-2</v>
      </c>
    </row>
    <row r="22" spans="1:20" x14ac:dyDescent="0.25">
      <c r="A22" s="14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M22" s="28">
        <f t="shared" si="3"/>
        <v>2.009665163891285E-2</v>
      </c>
      <c r="N22" s="28">
        <f t="shared" si="0"/>
        <v>2.1764168905690429E-2</v>
      </c>
      <c r="O22" s="28"/>
      <c r="P22" s="28">
        <f t="shared" si="4"/>
        <v>2.0041745283115451E-2</v>
      </c>
      <c r="Q22" s="28">
        <f t="shared" si="5"/>
        <v>2.3856180616279206E-2</v>
      </c>
      <c r="R22" s="28"/>
      <c r="S22" s="28">
        <f t="shared" si="6"/>
        <v>2.0545963059760794E-2</v>
      </c>
      <c r="T22" s="28">
        <f t="shared" si="7"/>
        <v>2.2246444754699411E-2</v>
      </c>
    </row>
    <row r="23" spans="1:20" x14ac:dyDescent="0.25">
      <c r="A23" s="14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M23" s="28">
        <f t="shared" si="3"/>
        <v>2.0509292300524465E-2</v>
      </c>
      <c r="N23" s="28">
        <f t="shared" si="0"/>
        <v>2.1583669316510269E-2</v>
      </c>
      <c r="O23" s="28"/>
      <c r="P23" s="28">
        <f t="shared" si="4"/>
        <v>1.9418207037616583E-2</v>
      </c>
      <c r="Q23" s="28">
        <f t="shared" si="5"/>
        <v>2.3834247652048744E-2</v>
      </c>
      <c r="R23" s="28"/>
      <c r="S23" s="28">
        <f t="shared" si="6"/>
        <v>2.0223144837067261E-2</v>
      </c>
      <c r="T23" s="28">
        <f t="shared" si="7"/>
        <v>2.2105857805174413E-2</v>
      </c>
    </row>
    <row r="24" spans="1:20" x14ac:dyDescent="0.25">
      <c r="A24" s="14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M24" s="28">
        <f t="shared" si="3"/>
        <v>1.7418245337893642E-2</v>
      </c>
      <c r="N24" s="28">
        <f t="shared" si="0"/>
        <v>1.7782240976303456E-2</v>
      </c>
      <c r="O24" s="28"/>
      <c r="P24" s="28">
        <f t="shared" si="4"/>
        <v>1.8592759098479711E-2</v>
      </c>
      <c r="Q24" s="28">
        <f t="shared" si="5"/>
        <v>2.2997796177962306E-2</v>
      </c>
      <c r="R24" s="28"/>
      <c r="S24" s="28">
        <f t="shared" si="6"/>
        <v>1.9849570939963142E-2</v>
      </c>
      <c r="T24" s="28">
        <f t="shared" si="7"/>
        <v>2.1887501900251911E-2</v>
      </c>
    </row>
    <row r="25" spans="1:20" x14ac:dyDescent="0.25">
      <c r="A25" s="14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M25" s="28">
        <f t="shared" si="3"/>
        <v>1.8054086524590191E-2</v>
      </c>
      <c r="N25" s="28">
        <f t="shared" si="0"/>
        <v>2.3618341524203914E-2</v>
      </c>
      <c r="O25" s="28"/>
      <c r="P25" s="28">
        <f t="shared" si="4"/>
        <v>1.7595322533583622E-2</v>
      </c>
      <c r="Q25" s="28">
        <f t="shared" si="5"/>
        <v>2.1421463292571292E-2</v>
      </c>
      <c r="R25" s="28"/>
      <c r="S25" s="28">
        <f t="shared" si="6"/>
        <v>1.9413725420277562E-2</v>
      </c>
      <c r="T25" s="28">
        <f t="shared" si="7"/>
        <v>2.1586994253548795E-2</v>
      </c>
    </row>
    <row r="26" spans="1:20" x14ac:dyDescent="0.25">
      <c r="A26" s="14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M26" s="28">
        <f t="shared" si="3"/>
        <v>1.6432088781114851E-2</v>
      </c>
      <c r="N26" s="28">
        <f t="shared" si="0"/>
        <v>1.2617317550628896E-2</v>
      </c>
      <c r="O26" s="28"/>
      <c r="P26" s="28">
        <f t="shared" si="4"/>
        <v>1.623723689772865E-2</v>
      </c>
      <c r="Q26" s="28">
        <f t="shared" si="5"/>
        <v>1.8735706242075649E-2</v>
      </c>
      <c r="R26" s="28"/>
      <c r="S26" s="28">
        <f t="shared" si="6"/>
        <v>1.8988486708908962E-2</v>
      </c>
      <c r="T26" s="28">
        <f t="shared" si="7"/>
        <v>2.1235039978537339E-2</v>
      </c>
    </row>
    <row r="27" spans="1:20" x14ac:dyDescent="0.25">
      <c r="A27" s="14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M27" s="28">
        <f t="shared" si="3"/>
        <v>1.7736258341064612E-2</v>
      </c>
      <c r="N27" s="28">
        <f t="shared" si="0"/>
        <v>1.7545273348795801E-2</v>
      </c>
      <c r="O27" s="28"/>
      <c r="P27" s="28">
        <f t="shared" si="4"/>
        <v>1.5676957865130958E-2</v>
      </c>
      <c r="Q27" s="28">
        <f t="shared" si="5"/>
        <v>1.7463604421025257E-2</v>
      </c>
      <c r="R27" s="28"/>
      <c r="S27" s="28">
        <f t="shared" si="6"/>
        <v>1.8561179074637123E-2</v>
      </c>
      <c r="T27" s="28">
        <f t="shared" si="7"/>
        <v>2.0827341939488465E-2</v>
      </c>
    </row>
    <row r="28" spans="1:20" x14ac:dyDescent="0.25">
      <c r="A28" s="14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M28" s="28">
        <f t="shared" si="3"/>
        <v>1.6260309188481169E-2</v>
      </c>
      <c r="N28" s="28">
        <f t="shared" si="0"/>
        <v>1.6362456172629252E-2</v>
      </c>
      <c r="O28" s="28"/>
      <c r="P28" s="28">
        <f t="shared" si="4"/>
        <v>1.5683459869235531E-2</v>
      </c>
      <c r="Q28" s="28">
        <f t="shared" si="5"/>
        <v>1.7074791580987379E-2</v>
      </c>
      <c r="R28" s="28"/>
      <c r="S28" s="28">
        <f t="shared" si="6"/>
        <v>1.8133141341050613E-2</v>
      </c>
      <c r="T28" s="28">
        <f t="shared" si="7"/>
        <v>2.0365502748687314E-2</v>
      </c>
    </row>
    <row r="29" spans="1:20" x14ac:dyDescent="0.25">
      <c r="A29" s="14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M29" s="28">
        <f t="shared" si="3"/>
        <v>1.4184538144536438E-2</v>
      </c>
      <c r="N29" s="28">
        <f t="shared" si="0"/>
        <v>1.426988936563984E-2</v>
      </c>
      <c r="O29" s="28"/>
      <c r="P29" s="28">
        <f t="shared" si="4"/>
        <v>1.6281282753133255E-2</v>
      </c>
      <c r="Q29" s="28">
        <f t="shared" si="5"/>
        <v>1.7600064365932613E-2</v>
      </c>
      <c r="R29" s="28"/>
      <c r="S29" s="28">
        <f t="shared" si="6"/>
        <v>1.7704319130743773E-2</v>
      </c>
      <c r="T29" s="28">
        <f t="shared" si="7"/>
        <v>1.9850693729111656E-2</v>
      </c>
    </row>
    <row r="30" spans="1:20" x14ac:dyDescent="0.25">
      <c r="A30" s="14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M30" s="28">
        <f t="shared" si="3"/>
        <v>1.6328076391791527E-2</v>
      </c>
      <c r="N30" s="28">
        <f t="shared" si="0"/>
        <v>2.125712554820311E-2</v>
      </c>
      <c r="O30" s="28"/>
      <c r="P30" s="28">
        <f t="shared" si="4"/>
        <v>1.7445143128101571E-2</v>
      </c>
      <c r="Q30" s="28">
        <f t="shared" si="5"/>
        <v>1.8997967230776819E-2</v>
      </c>
      <c r="R30" s="28"/>
      <c r="S30" s="28">
        <f t="shared" si="6"/>
        <v>1.7274727340272335E-2</v>
      </c>
      <c r="T30" s="28">
        <f t="shared" si="7"/>
        <v>1.9284251969646865E-2</v>
      </c>
    </row>
    <row r="31" spans="1:20" x14ac:dyDescent="0.25">
      <c r="A31" s="14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M31" s="28">
        <f t="shared" si="3"/>
        <v>1.5370053492144611E-2</v>
      </c>
      <c r="N31" s="28">
        <f t="shared" si="0"/>
        <v>1.4413674823233741E-2</v>
      </c>
      <c r="O31" s="28"/>
      <c r="P31" s="28">
        <f t="shared" si="4"/>
        <v>1.9667862533235301E-2</v>
      </c>
      <c r="Q31" s="28">
        <f t="shared" si="5"/>
        <v>2.1989502576949583E-2</v>
      </c>
      <c r="R31" s="28"/>
      <c r="S31" s="28">
        <f t="shared" si="6"/>
        <v>1.68443858858594E-2</v>
      </c>
      <c r="T31" s="28">
        <f t="shared" si="7"/>
        <v>1.8667654110929473E-2</v>
      </c>
    </row>
    <row r="32" spans="1:20" x14ac:dyDescent="0.25">
      <c r="A32" s="14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M32" s="28">
        <f t="shared" si="3"/>
        <v>1.6139560353491803E-2</v>
      </c>
      <c r="N32" s="28">
        <f t="shared" si="0"/>
        <v>1.5074073484810465E-2</v>
      </c>
      <c r="O32" s="28"/>
      <c r="P32" s="28">
        <f t="shared" si="4"/>
        <v>2.0445947455019476E-2</v>
      </c>
      <c r="Q32" s="28">
        <f t="shared" si="5"/>
        <v>2.3003916724855165E-2</v>
      </c>
      <c r="R32" s="28"/>
      <c r="S32" s="28">
        <f t="shared" si="6"/>
        <v>1.641331394433742E-2</v>
      </c>
      <c r="T32" s="28">
        <f t="shared" si="7"/>
        <v>1.8002497397043241E-2</v>
      </c>
    </row>
    <row r="33" spans="1:20" x14ac:dyDescent="0.25">
      <c r="A33" s="14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M33" s="28">
        <f t="shared" si="3"/>
        <v>1.6120667678629522E-2</v>
      </c>
      <c r="N33" s="28">
        <f t="shared" si="0"/>
        <v>1.6003993102656971E-2</v>
      </c>
      <c r="O33" s="28"/>
      <c r="P33" s="28">
        <f t="shared" si="4"/>
        <v>2.0152748450593824E-2</v>
      </c>
      <c r="Q33" s="28">
        <f t="shared" si="5"/>
        <v>2.2563725939659211E-2</v>
      </c>
      <c r="R33" s="28"/>
      <c r="S33" s="28">
        <f t="shared" si="6"/>
        <v>1.5981544218907563E-2</v>
      </c>
      <c r="T33" s="28">
        <f t="shared" si="7"/>
        <v>1.7290389857289794E-2</v>
      </c>
    </row>
    <row r="34" spans="1:20" x14ac:dyDescent="0.25">
      <c r="A34" s="14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M34" s="28">
        <f t="shared" si="3"/>
        <v>1.0370456193616403E-2</v>
      </c>
      <c r="N34" s="28">
        <f t="shared" si="0"/>
        <v>8.703785294331922E-3</v>
      </c>
      <c r="O34" s="28"/>
      <c r="P34" s="28">
        <f t="shared" si="4"/>
        <v>1.8757658379876294E-2</v>
      </c>
      <c r="Q34" s="28">
        <f t="shared" si="5"/>
        <v>2.063209975190575E-2</v>
      </c>
      <c r="R34" s="28"/>
      <c r="S34" s="28">
        <f t="shared" si="6"/>
        <v>1.5548841382323634E-2</v>
      </c>
      <c r="T34" s="28">
        <f t="shared" si="7"/>
        <v>1.6535404320180434E-2</v>
      </c>
    </row>
    <row r="35" spans="1:20" x14ac:dyDescent="0.25">
      <c r="A35" s="14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M35" s="28">
        <f t="shared" si="3"/>
        <v>2.1679221191371254E-2</v>
      </c>
      <c r="N35" s="28">
        <f t="shared" si="0"/>
        <v>2.7278996035527629E-2</v>
      </c>
      <c r="O35" s="28"/>
      <c r="P35" s="28">
        <f t="shared" si="4"/>
        <v>1.6394239407683284E-2</v>
      </c>
      <c r="Q35" s="28">
        <f t="shared" si="5"/>
        <v>1.7412208557660257E-2</v>
      </c>
      <c r="R35" s="28"/>
      <c r="S35" s="28">
        <f t="shared" si="6"/>
        <v>1.5117671822097768E-2</v>
      </c>
      <c r="T35" s="28">
        <f t="shared" si="7"/>
        <v>1.5718103894642264E-2</v>
      </c>
    </row>
    <row r="36" spans="1:20" x14ac:dyDescent="0.25">
      <c r="A36" s="14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M36" s="28">
        <f t="shared" si="3"/>
        <v>8.2494659430991241E-3</v>
      </c>
      <c r="N36" s="28">
        <f t="shared" si="0"/>
        <v>6.7330903833959874E-3</v>
      </c>
      <c r="O36" s="28"/>
      <c r="P36" s="28">
        <f t="shared" si="4"/>
        <v>1.2661105143855052E-2</v>
      </c>
      <c r="Q36" s="28">
        <f t="shared" si="5"/>
        <v>1.2418376281779152E-2</v>
      </c>
      <c r="R36" s="28"/>
      <c r="S36" s="28">
        <f t="shared" si="6"/>
        <v>1.4673965766635039E-2</v>
      </c>
      <c r="T36" s="28">
        <f t="shared" si="7"/>
        <v>1.4963893619056557E-2</v>
      </c>
    </row>
    <row r="37" spans="1:20" x14ac:dyDescent="0.25">
      <c r="A37" s="14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M37" s="28">
        <f t="shared" si="3"/>
        <v>1.2378008252895374E-2</v>
      </c>
      <c r="N37" s="28">
        <f t="shared" si="0"/>
        <v>1.1517399417396464E-2</v>
      </c>
      <c r="O37" s="28"/>
      <c r="P37" s="28">
        <f t="shared" si="4"/>
        <v>1.0813856481021393E-2</v>
      </c>
      <c r="Q37" s="28">
        <f t="shared" si="5"/>
        <v>1.000225857536262E-2</v>
      </c>
      <c r="R37" s="28"/>
      <c r="S37" s="28">
        <f t="shared" si="6"/>
        <v>1.4220528792234356E-2</v>
      </c>
      <c r="T37" s="28">
        <f t="shared" si="7"/>
        <v>1.4248443566746217E-2</v>
      </c>
    </row>
    <row r="38" spans="1:20" x14ac:dyDescent="0.25">
      <c r="A38" s="14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M38" s="28">
        <f t="shared" si="3"/>
        <v>1.1785599682865917E-2</v>
      </c>
      <c r="N38" s="28">
        <f t="shared" si="0"/>
        <v>1.0455483283291093E-2</v>
      </c>
      <c r="O38" s="28"/>
      <c r="P38" s="28">
        <f t="shared" si="4"/>
        <v>1.0029299138169179E-2</v>
      </c>
      <c r="Q38" s="28">
        <f t="shared" si="5"/>
        <v>8.9402180021972456E-3</v>
      </c>
      <c r="R38" s="28"/>
      <c r="S38" s="28">
        <f t="shared" si="6"/>
        <v>1.3757408638549367E-2</v>
      </c>
      <c r="T38" s="28">
        <f t="shared" si="7"/>
        <v>1.3572113372418688E-2</v>
      </c>
    </row>
    <row r="39" spans="1:20" x14ac:dyDescent="0.25">
      <c r="A39" s="14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M39" s="28">
        <f t="shared" si="3"/>
        <v>8.8705215581643231E-3</v>
      </c>
      <c r="N39" s="28">
        <f t="shared" si="0"/>
        <v>8.6740058341192132E-3</v>
      </c>
      <c r="O39" s="28"/>
      <c r="P39" s="28">
        <f t="shared" si="4"/>
        <v>1.0294402505060819E-2</v>
      </c>
      <c r="Q39" s="28">
        <f t="shared" si="5"/>
        <v>9.1735761495842956E-3</v>
      </c>
      <c r="R39" s="28"/>
      <c r="S39" s="28">
        <f t="shared" si="6"/>
        <v>1.3284934597599201E-2</v>
      </c>
      <c r="T39" s="28">
        <f t="shared" si="7"/>
        <v>1.2932924197203023E-2</v>
      </c>
    </row>
    <row r="40" spans="1:20" x14ac:dyDescent="0.25">
      <c r="A40" s="14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M40" s="28">
        <f t="shared" si="3"/>
        <v>1.6703999550518621E-2</v>
      </c>
      <c r="N40" s="28">
        <f t="shared" si="0"/>
        <v>1.886900304727292E-2</v>
      </c>
      <c r="O40" s="28"/>
      <c r="P40" s="28">
        <f t="shared" si="4"/>
        <v>1.1565710817279265E-2</v>
      </c>
      <c r="Q40" s="28">
        <f t="shared" si="5"/>
        <v>1.0647077385643808E-2</v>
      </c>
      <c r="R40" s="28"/>
      <c r="S40" s="28">
        <f t="shared" si="6"/>
        <v>1.280342847091874E-2</v>
      </c>
      <c r="T40" s="28">
        <f t="shared" si="7"/>
        <v>1.2329120521305303E-2</v>
      </c>
    </row>
    <row r="41" spans="1:20" x14ac:dyDescent="0.25">
      <c r="A41" s="14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M41" s="28">
        <f t="shared" si="3"/>
        <v>1.1719577998428704E-2</v>
      </c>
      <c r="N41" s="28">
        <f t="shared" si="0"/>
        <v>1.0773546939175739E-2</v>
      </c>
      <c r="O41" s="28"/>
      <c r="P41" s="28">
        <f t="shared" si="4"/>
        <v>1.4633437071313597E-2</v>
      </c>
      <c r="Q41" s="28">
        <f t="shared" si="5"/>
        <v>1.4396265608639117E-2</v>
      </c>
      <c r="R41" s="28"/>
      <c r="S41" s="28">
        <f t="shared" si="6"/>
        <v>1.2313218439809254E-2</v>
      </c>
      <c r="T41" s="28">
        <f t="shared" si="7"/>
        <v>1.1759052796120509E-2</v>
      </c>
    </row>
    <row r="42" spans="1:20" x14ac:dyDescent="0.25">
      <c r="A42" s="14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M42" s="28">
        <f t="shared" si="3"/>
        <v>1.2006828798400005E-2</v>
      </c>
      <c r="N42" s="28">
        <f t="shared" si="0"/>
        <v>1.0750959723844742E-2</v>
      </c>
      <c r="O42" s="28"/>
      <c r="P42" s="28">
        <f t="shared" si="4"/>
        <v>1.6007216925107554E-2</v>
      </c>
      <c r="Q42" s="28">
        <f t="shared" si="5"/>
        <v>1.6177752123771528E-2</v>
      </c>
      <c r="R42" s="28"/>
      <c r="S42" s="28">
        <f t="shared" si="6"/>
        <v>1.1814635118113859E-2</v>
      </c>
      <c r="T42" s="28">
        <f t="shared" si="7"/>
        <v>1.122116112112961E-2</v>
      </c>
    </row>
    <row r="43" spans="1:20" x14ac:dyDescent="0.25">
      <c r="A43" s="14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M43" s="28">
        <f t="shared" si="3"/>
        <v>1.2989391639851732E-2</v>
      </c>
      <c r="N43" s="28">
        <f t="shared" si="0"/>
        <v>1.1998289157132105E-2</v>
      </c>
      <c r="O43" s="28"/>
      <c r="P43" s="28">
        <f t="shared" si="4"/>
        <v>1.6141844375173121E-2</v>
      </c>
      <c r="Q43" s="28">
        <f t="shared" si="5"/>
        <v>1.6502701879433885E-2</v>
      </c>
      <c r="R43" s="28"/>
      <c r="S43" s="28">
        <f t="shared" si="6"/>
        <v>1.1307966078802162E-2</v>
      </c>
      <c r="T43" s="28">
        <f t="shared" si="7"/>
        <v>1.071398051242454E-2</v>
      </c>
    </row>
    <row r="44" spans="1:20" x14ac:dyDescent="0.25">
      <c r="A44" s="14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M44" s="28">
        <f t="shared" si="3"/>
        <v>8.2097913258883329E-3</v>
      </c>
      <c r="N44" s="28">
        <f t="shared" si="0"/>
        <v>6.7489806875148115E-3</v>
      </c>
      <c r="O44" s="28"/>
      <c r="P44" s="28">
        <f t="shared" si="4"/>
        <v>1.4963913042563231E-2</v>
      </c>
      <c r="Q44" s="28">
        <f t="shared" si="5"/>
        <v>1.5265512967295111E-2</v>
      </c>
      <c r="R44" s="28"/>
      <c r="S44" s="28">
        <f t="shared" si="6"/>
        <v>1.0794491572489833E-2</v>
      </c>
      <c r="T44" s="28">
        <f t="shared" si="7"/>
        <v>1.0235999409898463E-2</v>
      </c>
    </row>
    <row r="45" spans="1:20" x14ac:dyDescent="0.25">
      <c r="A45" s="14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M45" s="28">
        <f t="shared" si="3"/>
        <v>1.8595012555619933E-2</v>
      </c>
      <c r="N45" s="28">
        <f t="shared" si="0"/>
        <v>2.3759055913046671E-2</v>
      </c>
      <c r="O45" s="28"/>
      <c r="P45" s="28">
        <f t="shared" si="4"/>
        <v>1.2628883294508765E-2</v>
      </c>
      <c r="Q45" s="28">
        <f t="shared" si="5"/>
        <v>1.2653572228726094E-2</v>
      </c>
      <c r="R45" s="28"/>
      <c r="S45" s="28">
        <f t="shared" si="6"/>
        <v>1.0265539492699868E-2</v>
      </c>
      <c r="T45" s="28">
        <f t="shared" si="7"/>
        <v>9.7871036934532585E-3</v>
      </c>
    </row>
    <row r="46" spans="1:20" x14ac:dyDescent="0.25">
      <c r="A46" s="14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M46" s="28">
        <f t="shared" si="3"/>
        <v>6.32635592624809E-3</v>
      </c>
      <c r="N46" s="28">
        <f t="shared" si="0"/>
        <v>5.0758624318913729E-3</v>
      </c>
      <c r="O46" s="28"/>
      <c r="P46" s="28">
        <f t="shared" si="4"/>
        <v>8.78135318928225E-3</v>
      </c>
      <c r="Q46" s="28">
        <f t="shared" si="5"/>
        <v>8.2731204046392927E-3</v>
      </c>
      <c r="R46" s="28"/>
      <c r="S46" s="28">
        <f t="shared" si="6"/>
        <v>9.7734494043395757E-3</v>
      </c>
      <c r="T46" s="28">
        <f t="shared" si="7"/>
        <v>9.359185302914276E-3</v>
      </c>
    </row>
    <row r="47" spans="1:20" x14ac:dyDescent="0.25">
      <c r="A47" s="14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M47" s="28">
        <f t="shared" si="3"/>
        <v>1.0347620699652428E-2</v>
      </c>
      <c r="N47" s="28">
        <f t="shared" si="0"/>
        <v>8.9680359003578066E-3</v>
      </c>
      <c r="O47" s="28"/>
      <c r="P47" s="28">
        <f t="shared" si="4"/>
        <v>6.870682466641736E-3</v>
      </c>
      <c r="Q47" s="28">
        <f t="shared" si="5"/>
        <v>6.22566198107083E-3</v>
      </c>
      <c r="R47" s="28"/>
      <c r="S47" s="28">
        <f t="shared" si="6"/>
        <v>9.307473688046318E-3</v>
      </c>
      <c r="T47" s="28">
        <f t="shared" si="7"/>
        <v>8.952515960470404E-3</v>
      </c>
    </row>
    <row r="48" spans="1:20" x14ac:dyDescent="0.25">
      <c r="A48" s="14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M48" s="28">
        <f t="shared" si="3"/>
        <v>8.7011035498884282E-3</v>
      </c>
      <c r="N48" s="28">
        <f t="shared" si="0"/>
        <v>7.6439297482918372E-3</v>
      </c>
      <c r="O48" s="28"/>
      <c r="P48" s="28">
        <f t="shared" si="4"/>
        <v>5.9171682700949807E-3</v>
      </c>
      <c r="Q48" s="28">
        <f t="shared" si="5"/>
        <v>5.2751318180370103E-3</v>
      </c>
      <c r="R48" s="28"/>
      <c r="S48" s="28">
        <f t="shared" si="6"/>
        <v>8.8673002752712986E-3</v>
      </c>
      <c r="T48" s="28">
        <f t="shared" si="7"/>
        <v>8.5660488211083356E-3</v>
      </c>
    </row>
    <row r="49" spans="1:20" x14ac:dyDescent="0.25">
      <c r="A49" s="14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M49" s="28">
        <f t="shared" si="3"/>
        <v>7.0158564166567516E-3</v>
      </c>
      <c r="N49" s="28">
        <f t="shared" si="0"/>
        <v>6.5033942541571719E-3</v>
      </c>
      <c r="O49" s="28"/>
      <c r="P49" s="28">
        <f t="shared" si="4"/>
        <v>5.8524338480792741E-3</v>
      </c>
      <c r="Q49" s="28">
        <f t="shared" si="5"/>
        <v>5.3312391777933761E-3</v>
      </c>
      <c r="R49" s="28"/>
      <c r="S49" s="28">
        <f t="shared" si="6"/>
        <v>8.4516574829248646E-3</v>
      </c>
      <c r="T49" s="28">
        <f t="shared" si="7"/>
        <v>8.1989185871820993E-3</v>
      </c>
    </row>
    <row r="50" spans="1:20" x14ac:dyDescent="0.25">
      <c r="A50" s="14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M50" s="28">
        <f t="shared" si="3"/>
        <v>1.4695400179915764E-2</v>
      </c>
      <c r="N50" s="28">
        <f t="shared" si="0"/>
        <v>1.5778556842976195E-2</v>
      </c>
      <c r="O50" s="28"/>
      <c r="P50" s="28">
        <f t="shared" si="4"/>
        <v>6.6112414196610424E-3</v>
      </c>
      <c r="Q50" s="28">
        <f t="shared" si="5"/>
        <v>6.3352122076609204E-3</v>
      </c>
      <c r="R50" s="28"/>
      <c r="S50" s="28">
        <f t="shared" si="6"/>
        <v>8.0593928680121225E-3</v>
      </c>
      <c r="T50" s="28">
        <f t="shared" si="7"/>
        <v>7.8502969688968999E-3</v>
      </c>
    </row>
    <row r="51" spans="1:20" x14ac:dyDescent="0.25">
      <c r="A51" s="14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M51" s="28">
        <f t="shared" si="3"/>
        <v>7.8790668382176313E-3</v>
      </c>
      <c r="N51" s="28">
        <f t="shared" si="0"/>
        <v>6.7375880131154055E-3</v>
      </c>
      <c r="O51" s="28"/>
      <c r="P51" s="28">
        <f t="shared" si="4"/>
        <v>8.8150105144985096E-3</v>
      </c>
      <c r="Q51" s="28">
        <f t="shared" si="5"/>
        <v>9.116775893169636E-3</v>
      </c>
      <c r="R51" s="28"/>
      <c r="S51" s="28">
        <f t="shared" si="6"/>
        <v>7.689421998423319E-3</v>
      </c>
      <c r="T51" s="28">
        <f t="shared" si="7"/>
        <v>7.5193960673136679E-3</v>
      </c>
    </row>
    <row r="52" spans="1:20" x14ac:dyDescent="0.25">
      <c r="A52" s="14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M52" s="28">
        <f t="shared" si="3"/>
        <v>7.4053535515620729E-3</v>
      </c>
      <c r="N52" s="28">
        <f t="shared" si="0"/>
        <v>6.6444454698952144E-3</v>
      </c>
      <c r="O52" s="28"/>
      <c r="P52" s="28">
        <f t="shared" si="4"/>
        <v>9.8367721637674359E-3</v>
      </c>
      <c r="Q52" s="28">
        <f t="shared" si="5"/>
        <v>1.0471838204434463E-2</v>
      </c>
      <c r="R52" s="28"/>
      <c r="S52" s="28">
        <f t="shared" si="6"/>
        <v>7.340722521786509E-3</v>
      </c>
      <c r="T52" s="28">
        <f t="shared" si="7"/>
        <v>7.2054707678975037E-3</v>
      </c>
    </row>
    <row r="53" spans="1:20" x14ac:dyDescent="0.25">
      <c r="A53" s="14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M53" s="28">
        <f t="shared" si="3"/>
        <v>9.0531233678115067E-3</v>
      </c>
      <c r="N53" s="28">
        <f t="shared" si="0"/>
        <v>8.3163154846714136E-3</v>
      </c>
      <c r="O53" s="28"/>
      <c r="P53" s="28">
        <f t="shared" si="4"/>
        <v>1.000771799266355E-2</v>
      </c>
      <c r="Q53" s="28">
        <f t="shared" si="5"/>
        <v>1.0764016327603125E-2</v>
      </c>
      <c r="R53" s="28"/>
      <c r="S53" s="28">
        <f t="shared" si="6"/>
        <v>7.012353201364771E-3</v>
      </c>
      <c r="T53" s="28">
        <f t="shared" si="7"/>
        <v>6.9078472301308718E-3</v>
      </c>
    </row>
    <row r="54" spans="1:20" x14ac:dyDescent="0.25">
      <c r="A54" s="14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M54" s="28">
        <f t="shared" si="3"/>
        <v>5.0268068574331236E-3</v>
      </c>
      <c r="N54" s="28">
        <f t="shared" si="0"/>
        <v>4.4353959971769148E-3</v>
      </c>
      <c r="O54" s="28"/>
      <c r="P54" s="28">
        <f t="shared" si="4"/>
        <v>9.2656302379220054E-3</v>
      </c>
      <c r="Q54" s="28">
        <f t="shared" si="5"/>
        <v>9.9061981168288883E-3</v>
      </c>
      <c r="R54" s="28"/>
      <c r="S54" s="28">
        <f t="shared" si="6"/>
        <v>6.7029806935758338E-3</v>
      </c>
      <c r="T54" s="28">
        <f t="shared" si="7"/>
        <v>6.625219326481923E-3</v>
      </c>
    </row>
    <row r="55" spans="1:20" x14ac:dyDescent="0.25">
      <c r="A55" s="14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M55" s="28">
        <f t="shared" si="3"/>
        <v>1.669198627356815E-2</v>
      </c>
      <c r="N55" s="28">
        <f t="shared" si="0"/>
        <v>2.1444460742022914E-2</v>
      </c>
      <c r="O55" s="28"/>
      <c r="P55" s="28">
        <f t="shared" si="4"/>
        <v>7.7196755244407639E-3</v>
      </c>
      <c r="Q55" s="28">
        <f t="shared" si="5"/>
        <v>8.0411329665537271E-3</v>
      </c>
      <c r="R55" s="28"/>
      <c r="S55" s="28">
        <f t="shared" si="6"/>
        <v>6.4158483040739423E-3</v>
      </c>
      <c r="T55" s="28">
        <f t="shared" si="7"/>
        <v>6.3630654846106123E-3</v>
      </c>
    </row>
    <row r="56" spans="1:20" x14ac:dyDescent="0.25">
      <c r="A56" s="14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M56" s="28">
        <f t="shared" si="3"/>
        <v>3.7657618814081334E-3</v>
      </c>
      <c r="N56" s="28">
        <f t="shared" si="0"/>
        <v>3.386041524931065E-3</v>
      </c>
      <c r="O56" s="28"/>
      <c r="P56" s="28">
        <f t="shared" si="4"/>
        <v>5.1339072960861053E-3</v>
      </c>
      <c r="Q56" s="28">
        <f t="shared" si="5"/>
        <v>4.9026131925337078E-3</v>
      </c>
      <c r="R56" s="28"/>
      <c r="S56" s="28">
        <f t="shared" si="6"/>
        <v>6.126536780032406E-3</v>
      </c>
      <c r="T56" s="28">
        <f t="shared" si="7"/>
        <v>6.0855480114753481E-3</v>
      </c>
    </row>
    <row r="57" spans="1:20" x14ac:dyDescent="0.25">
      <c r="A57" s="14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M57" s="28">
        <f t="shared" si="3"/>
        <v>6.431477233443764E-3</v>
      </c>
      <c r="N57" s="28">
        <f t="shared" si="0"/>
        <v>5.8579744827473206E-3</v>
      </c>
      <c r="O57" s="28"/>
      <c r="P57" s="28">
        <f t="shared" si="4"/>
        <v>3.9122504666644197E-3</v>
      </c>
      <c r="Q57" s="28">
        <f t="shared" si="5"/>
        <v>3.5043772415038117E-3</v>
      </c>
      <c r="R57" s="28"/>
      <c r="S57" s="28">
        <f t="shared" si="6"/>
        <v>5.8392197768194019E-3</v>
      </c>
      <c r="T57" s="28">
        <f t="shared" si="7"/>
        <v>5.799411421010296E-3</v>
      </c>
    </row>
    <row r="58" spans="1:20" x14ac:dyDescent="0.25">
      <c r="A58" s="14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M58" s="28">
        <f t="shared" si="3"/>
        <v>5.3260914698710507E-3</v>
      </c>
      <c r="N58" s="28">
        <f t="shared" si="0"/>
        <v>5.0266460784859366E-3</v>
      </c>
      <c r="O58" s="28"/>
      <c r="P58" s="28">
        <f t="shared" si="4"/>
        <v>3.3425769563917088E-3</v>
      </c>
      <c r="Q58" s="28">
        <f t="shared" si="5"/>
        <v>2.8726242789613968E-3</v>
      </c>
      <c r="R58" s="28"/>
      <c r="S58" s="28">
        <f t="shared" si="6"/>
        <v>5.5533810189160992E-3</v>
      </c>
      <c r="T58" s="28">
        <f t="shared" si="7"/>
        <v>5.5044317228574811E-3</v>
      </c>
    </row>
    <row r="59" spans="1:20" x14ac:dyDescent="0.25">
      <c r="A59" s="14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M59" s="28">
        <f t="shared" si="3"/>
        <v>4.327695745464084E-3</v>
      </c>
      <c r="N59" s="28">
        <f t="shared" si="0"/>
        <v>4.4022086413177744E-3</v>
      </c>
      <c r="O59" s="28"/>
      <c r="P59" s="28">
        <f t="shared" si="4"/>
        <v>3.3752154110784139E-3</v>
      </c>
      <c r="Q59" s="28">
        <f t="shared" si="5"/>
        <v>2.9254391198088136E-3</v>
      </c>
      <c r="R59" s="28"/>
      <c r="S59" s="28">
        <f t="shared" si="6"/>
        <v>5.2689714027126557E-3</v>
      </c>
      <c r="T59" s="28">
        <f t="shared" si="7"/>
        <v>5.2010932835566681E-3</v>
      </c>
    </row>
    <row r="60" spans="1:20" x14ac:dyDescent="0.25">
      <c r="A60" s="14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M60" s="28">
        <f t="shared" si="3"/>
        <v>1.1139490738092039E-2</v>
      </c>
      <c r="N60" s="28">
        <f t="shared" si="0"/>
        <v>1.1593502482384499E-2</v>
      </c>
      <c r="O60" s="28"/>
      <c r="P60" s="28">
        <f t="shared" si="4"/>
        <v>3.9766172597469115E-3</v>
      </c>
      <c r="Q60" s="28">
        <f t="shared" si="5"/>
        <v>3.6259154122660854E-3</v>
      </c>
      <c r="R60" s="28"/>
      <c r="S60" s="28">
        <f t="shared" si="6"/>
        <v>4.985918884054725E-3</v>
      </c>
      <c r="T60" s="28">
        <f t="shared" si="7"/>
        <v>4.8898583552302657E-3</v>
      </c>
    </row>
    <row r="61" spans="1:20" x14ac:dyDescent="0.25">
      <c r="A61" s="14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M61" s="28">
        <f t="shared" si="3"/>
        <v>5.9302463551409697E-3</v>
      </c>
      <c r="N61" s="28">
        <f t="shared" si="0"/>
        <v>5.1232757707396848E-3</v>
      </c>
      <c r="O61" s="28"/>
      <c r="P61" s="28">
        <f t="shared" si="4"/>
        <v>5.6159194228418714E-3</v>
      </c>
      <c r="Q61" s="28">
        <f t="shared" si="5"/>
        <v>5.5962497655768504E-3</v>
      </c>
      <c r="R61" s="28"/>
      <c r="S61" s="28">
        <f t="shared" si="6"/>
        <v>4.7041504349117904E-3</v>
      </c>
      <c r="T61" s="28">
        <f t="shared" si="7"/>
        <v>4.571199888403636E-3</v>
      </c>
    </row>
    <row r="62" spans="1:20" x14ac:dyDescent="0.25">
      <c r="A62" s="14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M62" s="28">
        <f t="shared" si="3"/>
        <v>4.7753905331516956E-3</v>
      </c>
      <c r="N62" s="28">
        <f t="shared" si="0"/>
        <v>4.1273182680701837E-3</v>
      </c>
      <c r="O62" s="28"/>
      <c r="P62" s="28">
        <f t="shared" si="4"/>
        <v>6.4804817632275356E-3</v>
      </c>
      <c r="Q62" s="28">
        <f t="shared" si="5"/>
        <v>6.628353057931578E-3</v>
      </c>
      <c r="R62" s="28"/>
      <c r="S62" s="28">
        <f t="shared" si="6"/>
        <v>4.4235926304094352E-3</v>
      </c>
      <c r="T62" s="28">
        <f t="shared" si="7"/>
        <v>4.2455989386654428E-3</v>
      </c>
    </row>
    <row r="63" spans="1:20" x14ac:dyDescent="0.25">
      <c r="A63" s="14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M63" s="28">
        <f t="shared" si="3"/>
        <v>5.1807205510122556E-3</v>
      </c>
      <c r="N63" s="28">
        <f t="shared" si="0"/>
        <v>4.6345795723721026E-3</v>
      </c>
      <c r="O63" s="28"/>
      <c r="P63" s="28">
        <f t="shared" si="4"/>
        <v>6.7810575786110714E-3</v>
      </c>
      <c r="Q63" s="28">
        <f t="shared" si="5"/>
        <v>6.9531867310651044E-3</v>
      </c>
      <c r="R63" s="28"/>
      <c r="S63" s="28">
        <f t="shared" si="6"/>
        <v>4.1441555639672029E-3</v>
      </c>
      <c r="T63" s="28">
        <f t="shared" si="7"/>
        <v>3.9134962664788683E-3</v>
      </c>
    </row>
    <row r="64" spans="1:20" x14ac:dyDescent="0.25">
      <c r="A64" s="14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M64" s="28">
        <f t="shared" si="3"/>
        <v>2.8891417677982655E-3</v>
      </c>
      <c r="N64" s="28">
        <f t="shared" si="0"/>
        <v>2.4827312318122146E-3</v>
      </c>
      <c r="O64" s="28"/>
      <c r="P64" s="28">
        <f t="shared" si="4"/>
        <v>6.4584919303102587E-3</v>
      </c>
      <c r="Q64" s="28">
        <f t="shared" si="5"/>
        <v>6.4963799315439844E-3</v>
      </c>
      <c r="R64" s="28"/>
      <c r="S64" s="28">
        <f t="shared" si="6"/>
        <v>3.8660894748157116E-3</v>
      </c>
      <c r="T64" s="28">
        <f t="shared" si="7"/>
        <v>3.5763758365018731E-3</v>
      </c>
    </row>
    <row r="65" spans="1:20" x14ac:dyDescent="0.25">
      <c r="A65" s="14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M65" s="28">
        <f t="shared" si="3"/>
        <v>1.4088390857900347E-2</v>
      </c>
      <c r="N65" s="28">
        <f t="shared" si="0"/>
        <v>1.7986060874645531E-2</v>
      </c>
      <c r="O65" s="28"/>
      <c r="P65" s="28">
        <f t="shared" si="4"/>
        <v>5.5669832053960883E-3</v>
      </c>
      <c r="Q65" s="28">
        <f t="shared" si="5"/>
        <v>5.3406541815747485E-3</v>
      </c>
      <c r="R65" s="28"/>
      <c r="S65" s="28">
        <f t="shared" si="6"/>
        <v>3.5862128796463038E-3</v>
      </c>
      <c r="T65" s="28">
        <f t="shared" si="7"/>
        <v>3.2252870755890544E-3</v>
      </c>
    </row>
    <row r="66" spans="1:20" x14ac:dyDescent="0.25">
      <c r="A66" s="14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M66" s="28">
        <f t="shared" si="3"/>
        <v>2.4283453208039851E-3</v>
      </c>
      <c r="N66" s="28">
        <f t="shared" si="0"/>
        <v>2.0291839106351488E-3</v>
      </c>
      <c r="O66" s="28"/>
      <c r="P66" s="28">
        <f t="shared" si="4"/>
        <v>3.9681897419210667E-3</v>
      </c>
      <c r="Q66" s="28">
        <f t="shared" si="5"/>
        <v>3.3326467125491836E-3</v>
      </c>
      <c r="R66" s="28"/>
      <c r="S66" s="28">
        <f t="shared" si="6"/>
        <v>3.3224017115030305E-3</v>
      </c>
      <c r="T66" s="28">
        <f t="shared" si="7"/>
        <v>2.9154348014061911E-3</v>
      </c>
    </row>
    <row r="67" spans="1:20" x14ac:dyDescent="0.25">
      <c r="A67" s="14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M67" s="28">
        <f t="shared" si="3"/>
        <v>4.0517805504101537E-3</v>
      </c>
      <c r="N67" s="28">
        <f t="shared" si="0"/>
        <v>3.5080124877184494E-3</v>
      </c>
      <c r="O67" s="28"/>
      <c r="P67" s="28">
        <f t="shared" si="4"/>
        <v>3.0744550895030844E-3</v>
      </c>
      <c r="Q67" s="28">
        <f t="shared" si="5"/>
        <v>2.3279214833083926E-3</v>
      </c>
      <c r="R67" s="28"/>
      <c r="S67" s="28">
        <f t="shared" si="6"/>
        <v>3.0703919202079918E-3</v>
      </c>
      <c r="T67" s="28">
        <f t="shared" si="7"/>
        <v>2.6334884054635545E-3</v>
      </c>
    </row>
    <row r="68" spans="1:20" x14ac:dyDescent="0.25">
      <c r="A68" s="14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M68" s="28">
        <f t="shared" si="3"/>
        <v>3.6344167200829669E-3</v>
      </c>
      <c r="N68" s="28">
        <f t="shared" si="0"/>
        <v>3.1497475512139847E-3</v>
      </c>
      <c r="O68" s="28"/>
      <c r="P68" s="28">
        <f t="shared" si="4"/>
        <v>2.5067141075544347E-3</v>
      </c>
      <c r="Q68" s="28">
        <f t="shared" si="5"/>
        <v>1.7424046352591165E-3</v>
      </c>
      <c r="R68" s="28"/>
      <c r="S68" s="28">
        <f t="shared" si="6"/>
        <v>2.8296076370468415E-3</v>
      </c>
      <c r="T68" s="28">
        <f t="shared" si="7"/>
        <v>2.3777201195075586E-3</v>
      </c>
    </row>
    <row r="69" spans="1:20" x14ac:dyDescent="0.25">
      <c r="A69" s="14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M69" s="28">
        <f t="shared" si="3"/>
        <v>2.5192765863367929E-3</v>
      </c>
      <c r="N69" s="28">
        <f t="shared" ref="N69:N114" si="8">D69/D$116</f>
        <v>2.3325262498610838E-3</v>
      </c>
      <c r="O69" s="28"/>
      <c r="P69" s="28">
        <f t="shared" si="4"/>
        <v>2.2288217702874625E-3</v>
      </c>
      <c r="Q69" s="28">
        <f t="shared" si="5"/>
        <v>1.5013477086435949E-3</v>
      </c>
      <c r="R69" s="28"/>
      <c r="S69" s="28">
        <f t="shared" si="6"/>
        <v>2.5991510311042091E-3</v>
      </c>
      <c r="T69" s="28">
        <f t="shared" si="7"/>
        <v>2.1455342011379159E-3</v>
      </c>
    </row>
    <row r="70" spans="1:20" x14ac:dyDescent="0.25">
      <c r="A70" s="14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M70" s="28">
        <f t="shared" ref="M70:M114" si="9">C70/C$116</f>
        <v>7.3378738454778804E-3</v>
      </c>
      <c r="N70" s="28">
        <f t="shared" si="8"/>
        <v>7.7451957636924737E-3</v>
      </c>
      <c r="O70" s="28"/>
      <c r="P70" s="28">
        <f t="shared" ref="P70:P114" si="10">F70/F$116</f>
        <v>2.1958809088734607E-3</v>
      </c>
      <c r="Q70" s="28">
        <f t="shared" ref="Q70:Q114" si="11">G70/G$116</f>
        <v>1.5414783006703966E-3</v>
      </c>
      <c r="R70" s="28"/>
      <c r="S70" s="28">
        <f t="shared" ref="S70:S114" si="12">I70/I$116</f>
        <v>2.3781799855296525E-3</v>
      </c>
      <c r="T70" s="28">
        <f t="shared" ref="T70:T114" si="13">J70/J$116</f>
        <v>1.9346250069887424E-3</v>
      </c>
    </row>
    <row r="71" spans="1:20" x14ac:dyDescent="0.25">
      <c r="A71" s="14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M71" s="28">
        <f t="shared" si="9"/>
        <v>2.8843569925342308E-3</v>
      </c>
      <c r="N71" s="28">
        <f t="shared" si="8"/>
        <v>2.247566618861684E-3</v>
      </c>
      <c r="O71" s="28"/>
      <c r="P71" s="28">
        <f t="shared" si="10"/>
        <v>2.5165458360803705E-3</v>
      </c>
      <c r="Q71" s="28">
        <f t="shared" si="11"/>
        <v>2.0087453544270842E-3</v>
      </c>
      <c r="R71" s="28"/>
      <c r="S71" s="28">
        <f t="shared" si="12"/>
        <v>2.1658889947332866E-3</v>
      </c>
      <c r="T71" s="28">
        <f t="shared" si="13"/>
        <v>1.7429022621916518E-3</v>
      </c>
    </row>
    <row r="72" spans="1:20" x14ac:dyDescent="0.25">
      <c r="A72" s="14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M72" s="28">
        <f t="shared" si="9"/>
        <v>3.0544526728432295E-3</v>
      </c>
      <c r="N72" s="28">
        <f t="shared" si="8"/>
        <v>2.5167507482361812E-3</v>
      </c>
      <c r="O72" s="28"/>
      <c r="P72" s="28">
        <f t="shared" si="10"/>
        <v>2.5727213598664886E-3</v>
      </c>
      <c r="Q72" s="28">
        <f t="shared" si="11"/>
        <v>2.185317299723892E-3</v>
      </c>
      <c r="R72" s="28"/>
      <c r="S72" s="28">
        <f t="shared" si="12"/>
        <v>1.961501915123281E-3</v>
      </c>
      <c r="T72" s="28">
        <f t="shared" si="13"/>
        <v>1.5684642259457867E-3</v>
      </c>
    </row>
    <row r="73" spans="1:20" x14ac:dyDescent="0.25">
      <c r="A73" s="14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M73" s="28">
        <f t="shared" si="9"/>
        <v>2.3433898904721816E-3</v>
      </c>
      <c r="N73" s="28">
        <f t="shared" si="8"/>
        <v>2.1544438889882747E-3</v>
      </c>
      <c r="O73" s="28"/>
      <c r="P73" s="28">
        <f t="shared" si="10"/>
        <v>2.4652764720288307E-3</v>
      </c>
      <c r="Q73" s="28">
        <f t="shared" si="11"/>
        <v>2.1734934923781906E-3</v>
      </c>
      <c r="R73" s="28"/>
      <c r="S73" s="28">
        <f t="shared" si="12"/>
        <v>1.764248708421405E-3</v>
      </c>
      <c r="T73" s="28">
        <f t="shared" si="13"/>
        <v>1.4095771953069847E-3</v>
      </c>
    </row>
    <row r="74" spans="1:20" x14ac:dyDescent="0.25">
      <c r="A74" s="14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M74" s="28">
        <f t="shared" si="9"/>
        <v>1.2548227146301301E-3</v>
      </c>
      <c r="N74" s="28">
        <f t="shared" si="8"/>
        <v>1.1988659870596258E-3</v>
      </c>
      <c r="O74" s="28"/>
      <c r="P74" s="28">
        <f t="shared" si="10"/>
        <v>2.1900427583225221E-3</v>
      </c>
      <c r="Q74" s="28">
        <f t="shared" si="11"/>
        <v>1.9614044477748592E-3</v>
      </c>
      <c r="R74" s="28"/>
      <c r="S74" s="28">
        <f t="shared" si="12"/>
        <v>1.5738522246332919E-3</v>
      </c>
      <c r="T74" s="28">
        <f t="shared" si="13"/>
        <v>1.2647351265689659E-3</v>
      </c>
    </row>
    <row r="75" spans="1:20" x14ac:dyDescent="0.25">
      <c r="A75" s="14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M75" s="28">
        <f t="shared" si="9"/>
        <v>7.7882998568140601E-3</v>
      </c>
      <c r="N75" s="28">
        <f t="shared" si="8"/>
        <v>1.0349065797727246E-2</v>
      </c>
      <c r="O75" s="28"/>
      <c r="P75" s="28">
        <f t="shared" si="10"/>
        <v>1.7740327053596605E-3</v>
      </c>
      <c r="Q75" s="28">
        <f t="shared" si="11"/>
        <v>1.5776807627317091E-3</v>
      </c>
      <c r="R75" s="28"/>
      <c r="S75" s="28">
        <f t="shared" si="12"/>
        <v>1.3853340212737794E-3</v>
      </c>
      <c r="T75" s="28">
        <f t="shared" si="13"/>
        <v>1.131827265167805E-3</v>
      </c>
    </row>
    <row r="76" spans="1:20" x14ac:dyDescent="0.25">
      <c r="A76" s="14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M76" s="28">
        <f t="shared" si="9"/>
        <v>9.7260311611672078E-4</v>
      </c>
      <c r="N76" s="28">
        <f t="shared" si="8"/>
        <v>8.5775940886800622E-4</v>
      </c>
      <c r="O76" s="28"/>
      <c r="P76" s="28">
        <f t="shared" si="10"/>
        <v>1.1705526960796781E-3</v>
      </c>
      <c r="Q76" s="28">
        <f t="shared" si="11"/>
        <v>9.7594122138221879E-4</v>
      </c>
      <c r="R76" s="28"/>
      <c r="S76" s="28">
        <f t="shared" si="12"/>
        <v>1.2228037028493254E-3</v>
      </c>
      <c r="T76" s="28">
        <f t="shared" si="13"/>
        <v>1.0134395305575834E-3</v>
      </c>
    </row>
    <row r="77" spans="1:20" x14ac:dyDescent="0.25">
      <c r="A77" s="14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M77" s="28">
        <f t="shared" si="9"/>
        <v>1.6557786675497487E-3</v>
      </c>
      <c r="N77" s="28">
        <f t="shared" si="8"/>
        <v>1.4236682196433919E-3</v>
      </c>
      <c r="O77" s="28"/>
      <c r="P77" s="28">
        <f t="shared" si="10"/>
        <v>8.5388245312292767E-4</v>
      </c>
      <c r="Q77" s="28">
        <f t="shared" si="11"/>
        <v>6.8297987877284855E-4</v>
      </c>
      <c r="R77" s="28"/>
      <c r="S77" s="28">
        <f t="shared" si="12"/>
        <v>1.0789787924303975E-3</v>
      </c>
      <c r="T77" s="28">
        <f t="shared" si="13"/>
        <v>9.073857321567182E-4</v>
      </c>
    </row>
    <row r="78" spans="1:20" x14ac:dyDescent="0.25">
      <c r="A78" s="14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M78" s="28">
        <f t="shared" si="9"/>
        <v>1.2917045016438886E-3</v>
      </c>
      <c r="N78" s="28">
        <f t="shared" si="8"/>
        <v>1.1090322727519584E-3</v>
      </c>
      <c r="O78" s="28"/>
      <c r="P78" s="28">
        <f t="shared" si="10"/>
        <v>6.7124648053557467E-4</v>
      </c>
      <c r="Q78" s="28">
        <f t="shared" si="11"/>
        <v>5.2409971555414684E-4</v>
      </c>
      <c r="R78" s="28"/>
      <c r="S78" s="28">
        <f t="shared" si="12"/>
        <v>9.5209768555232493E-4</v>
      </c>
      <c r="T78" s="28">
        <f t="shared" si="13"/>
        <v>8.124443999774374E-4</v>
      </c>
    </row>
    <row r="79" spans="1:20" x14ac:dyDescent="0.25">
      <c r="A79" s="14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M79" s="28">
        <f t="shared" si="9"/>
        <v>9.5161581860666439E-4</v>
      </c>
      <c r="N79" s="28">
        <f t="shared" si="8"/>
        <v>8.157353003442827E-4</v>
      </c>
      <c r="O79" s="28"/>
      <c r="P79" s="28">
        <f t="shared" si="10"/>
        <v>6.023492757508338E-4</v>
      </c>
      <c r="Q79" s="28">
        <f t="shared" si="11"/>
        <v>4.7730180261840838E-4</v>
      </c>
      <c r="R79" s="28"/>
      <c r="S79" s="28">
        <f t="shared" si="12"/>
        <v>8.4014390605341015E-4</v>
      </c>
      <c r="T79" s="28">
        <f t="shared" si="13"/>
        <v>7.2744905163084014E-4</v>
      </c>
    </row>
    <row r="80" spans="1:20" x14ac:dyDescent="0.25">
      <c r="A80" s="14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M80" s="28">
        <f t="shared" si="9"/>
        <v>3.2606703260682646E-3</v>
      </c>
      <c r="N80" s="28">
        <f t="shared" si="8"/>
        <v>3.1586833706124754E-3</v>
      </c>
      <c r="O80" s="28"/>
      <c r="P80" s="28">
        <f t="shared" si="10"/>
        <v>6.2996553843188492E-4</v>
      </c>
      <c r="Q80" s="28">
        <f t="shared" si="11"/>
        <v>5.264747063328392E-4</v>
      </c>
      <c r="R80" s="28"/>
      <c r="S80" s="28">
        <f t="shared" si="12"/>
        <v>7.4136096512065369E-4</v>
      </c>
      <c r="T80" s="28">
        <f t="shared" si="13"/>
        <v>6.5135900216219654E-4</v>
      </c>
    </row>
    <row r="81" spans="1:20" x14ac:dyDescent="0.25">
      <c r="A81" s="14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M81" s="28">
        <f t="shared" si="9"/>
        <v>1.0200812294662808E-3</v>
      </c>
      <c r="N81" s="28">
        <f t="shared" si="8"/>
        <v>7.8153746379928176E-4</v>
      </c>
      <c r="O81" s="28"/>
      <c r="P81" s="28">
        <f t="shared" si="10"/>
        <v>8.0897677223374948E-4</v>
      </c>
      <c r="Q81" s="28">
        <f t="shared" si="11"/>
        <v>7.3742069257923932E-4</v>
      </c>
      <c r="R81" s="28"/>
      <c r="S81" s="28">
        <f t="shared" si="12"/>
        <v>6.5420081297313441E-4</v>
      </c>
      <c r="T81" s="28">
        <f t="shared" si="13"/>
        <v>5.8324288471042426E-4</v>
      </c>
    </row>
    <row r="82" spans="1:20" x14ac:dyDescent="0.25">
      <c r="A82" s="14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M82" s="28">
        <f t="shared" si="9"/>
        <v>8.3836244701374779E-4</v>
      </c>
      <c r="N82" s="28">
        <f t="shared" si="8"/>
        <v>6.2338732978873884E-4</v>
      </c>
      <c r="O82" s="28"/>
      <c r="P82" s="28">
        <f t="shared" si="10"/>
        <v>8.7603870873252036E-4</v>
      </c>
      <c r="Q82" s="28">
        <f t="shared" si="11"/>
        <v>8.3049756229119464E-4</v>
      </c>
      <c r="R82" s="28"/>
      <c r="S82" s="28">
        <f t="shared" si="12"/>
        <v>5.7729693952143107E-4</v>
      </c>
      <c r="T82" s="28">
        <f t="shared" si="13"/>
        <v>5.2226683812662275E-4</v>
      </c>
    </row>
    <row r="83" spans="1:20" x14ac:dyDescent="0.25">
      <c r="A83" s="14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M83" s="28">
        <f t="shared" si="9"/>
        <v>9.4600962269644393E-4</v>
      </c>
      <c r="N83" s="28">
        <f t="shared" si="8"/>
        <v>7.8022978291169773E-4</v>
      </c>
      <c r="O83" s="28"/>
      <c r="P83" s="28">
        <f t="shared" si="10"/>
        <v>8.6845292448272217E-4</v>
      </c>
      <c r="Q83" s="28">
        <f t="shared" si="11"/>
        <v>8.4105639733312188E-4</v>
      </c>
      <c r="R83" s="28"/>
      <c r="S83" s="28">
        <f t="shared" si="12"/>
        <v>5.0944371400657353E-4</v>
      </c>
      <c r="T83" s="28">
        <f t="shared" si="13"/>
        <v>4.6768441919854844E-4</v>
      </c>
    </row>
    <row r="84" spans="1:20" x14ac:dyDescent="0.25">
      <c r="A84" s="14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M84" s="28">
        <f t="shared" si="9"/>
        <v>3.912015827461579E-4</v>
      </c>
      <c r="N84" s="28">
        <f t="shared" si="8"/>
        <v>3.3583622794772027E-4</v>
      </c>
      <c r="O84" s="28"/>
      <c r="P84" s="28">
        <f t="shared" si="10"/>
        <v>7.821611927359372E-4</v>
      </c>
      <c r="Q84" s="28">
        <f t="shared" si="11"/>
        <v>7.6304587145058092E-4</v>
      </c>
      <c r="R84" s="28"/>
      <c r="S84" s="28">
        <f t="shared" si="12"/>
        <v>4.4957738426243887E-4</v>
      </c>
      <c r="T84" s="28">
        <f t="shared" si="13"/>
        <v>4.1882744864689847E-4</v>
      </c>
    </row>
    <row r="85" spans="1:20" x14ac:dyDescent="0.25">
      <c r="A85" s="14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M85" s="28">
        <f t="shared" si="9"/>
        <v>2.9030443122349662E-3</v>
      </c>
      <c r="N85" s="28">
        <f t="shared" si="8"/>
        <v>3.4693368348008122E-3</v>
      </c>
      <c r="O85" s="28"/>
      <c r="P85" s="28">
        <f t="shared" si="10"/>
        <v>6.2842873157353113E-4</v>
      </c>
      <c r="Q85" s="28">
        <f t="shared" si="11"/>
        <v>6.0843797321833923E-4</v>
      </c>
      <c r="R85" s="28"/>
      <c r="S85" s="28">
        <f t="shared" si="12"/>
        <v>3.9675940749169376E-4</v>
      </c>
      <c r="T85" s="28">
        <f t="shared" si="13"/>
        <v>3.7509783371624639E-4</v>
      </c>
    </row>
    <row r="86" spans="1:20" x14ac:dyDescent="0.25">
      <c r="A86" s="14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M86" s="28">
        <f t="shared" si="9"/>
        <v>2.5006098021522125E-4</v>
      </c>
      <c r="N86" s="28">
        <f t="shared" si="8"/>
        <v>2.0720798064172616E-4</v>
      </c>
      <c r="O86" s="28"/>
      <c r="P86" s="28">
        <f t="shared" si="10"/>
        <v>3.9009504985089568E-4</v>
      </c>
      <c r="Q86" s="28">
        <f t="shared" si="11"/>
        <v>3.5957200831838207E-4</v>
      </c>
      <c r="R86" s="28"/>
      <c r="S86" s="28">
        <f t="shared" si="12"/>
        <v>3.5016173677749268E-4</v>
      </c>
      <c r="T86" s="28">
        <f t="shared" si="13"/>
        <v>3.3596024561514314E-4</v>
      </c>
    </row>
    <row r="87" spans="1:20" x14ac:dyDescent="0.25">
      <c r="A87" s="14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M87" s="28">
        <f t="shared" si="9"/>
        <v>3.7072767313996792E-4</v>
      </c>
      <c r="N87" s="28">
        <f t="shared" si="8"/>
        <v>3.0209409837869564E-4</v>
      </c>
      <c r="O87" s="28"/>
      <c r="P87" s="28">
        <f t="shared" si="10"/>
        <v>2.6821025052799978E-4</v>
      </c>
      <c r="Q87" s="28">
        <f t="shared" si="11"/>
        <v>2.3845181792501232E-4</v>
      </c>
      <c r="R87" s="28"/>
      <c r="S87" s="28">
        <f t="shared" si="12"/>
        <v>3.0905383991152043E-4</v>
      </c>
      <c r="T87" s="28">
        <f t="shared" si="13"/>
        <v>3.0093556718276858E-4</v>
      </c>
    </row>
    <row r="88" spans="1:20" x14ac:dyDescent="0.25">
      <c r="A88" s="14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M88" s="28">
        <f t="shared" si="9"/>
        <v>2.6995989536908092E-4</v>
      </c>
      <c r="N88" s="28">
        <f t="shared" si="8"/>
        <v>2.1745148092780118E-4</v>
      </c>
      <c r="O88" s="28"/>
      <c r="P88" s="28">
        <f t="shared" si="10"/>
        <v>1.9566135660061294E-4</v>
      </c>
      <c r="Q88" s="28">
        <f t="shared" si="11"/>
        <v>1.6858932420399142E-4</v>
      </c>
      <c r="R88" s="28"/>
      <c r="S88" s="28">
        <f t="shared" si="12"/>
        <v>2.7279124670155267E-4</v>
      </c>
      <c r="T88" s="28">
        <f t="shared" si="13"/>
        <v>2.6959502762105185E-4</v>
      </c>
    </row>
    <row r="89" spans="1:20" x14ac:dyDescent="0.25">
      <c r="A89" s="14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M89" s="28">
        <f t="shared" si="9"/>
        <v>2.4630298075891955E-4</v>
      </c>
      <c r="N89" s="28">
        <f t="shared" si="8"/>
        <v>1.8450188523003958E-4</v>
      </c>
      <c r="O89" s="28"/>
      <c r="P89" s="28">
        <f t="shared" si="10"/>
        <v>1.6241294454663924E-4</v>
      </c>
      <c r="Q89" s="28">
        <f t="shared" si="11"/>
        <v>1.3855643804347291E-4</v>
      </c>
      <c r="R89" s="28"/>
      <c r="S89" s="28">
        <f t="shared" si="12"/>
        <v>2.4080544539992454E-4</v>
      </c>
      <c r="T89" s="28">
        <f t="shared" si="13"/>
        <v>2.4155495370033824E-4</v>
      </c>
    </row>
    <row r="90" spans="1:20" x14ac:dyDescent="0.25">
      <c r="A90" s="14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M90" s="28">
        <f t="shared" si="9"/>
        <v>7.4843742177251819E-4</v>
      </c>
      <c r="N90" s="28">
        <f t="shared" si="8"/>
        <v>6.9118860247529331E-4</v>
      </c>
      <c r="O90" s="28"/>
      <c r="P90" s="28">
        <f t="shared" si="10"/>
        <v>1.6024049423212584E-4</v>
      </c>
      <c r="Q90" s="28">
        <f t="shared" si="11"/>
        <v>1.3961686928462485E-4</v>
      </c>
      <c r="R90" s="28"/>
      <c r="S90" s="28">
        <f t="shared" si="12"/>
        <v>2.1259497055381874E-4</v>
      </c>
      <c r="T90" s="28">
        <f t="shared" si="13"/>
        <v>2.1647207313126336E-4</v>
      </c>
    </row>
    <row r="91" spans="1:20" x14ac:dyDescent="0.25">
      <c r="A91" s="14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M91" s="28">
        <f t="shared" si="9"/>
        <v>1.9831147950549326E-4</v>
      </c>
      <c r="N91" s="28">
        <f t="shared" si="8"/>
        <v>1.4392415102137108E-4</v>
      </c>
      <c r="O91" s="28"/>
      <c r="P91" s="28">
        <f t="shared" si="10"/>
        <v>2.0228698279038668E-4</v>
      </c>
      <c r="Q91" s="28">
        <f t="shared" si="11"/>
        <v>1.8643763404401241E-4</v>
      </c>
      <c r="R91" s="28"/>
      <c r="S91" s="28">
        <f t="shared" si="12"/>
        <v>1.8771754178721335E-4</v>
      </c>
      <c r="T91" s="28">
        <f t="shared" si="13"/>
        <v>1.9403931251853394E-4</v>
      </c>
    </row>
    <row r="92" spans="1:20" x14ac:dyDescent="0.25">
      <c r="A92" s="14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M92" s="28">
        <f t="shared" si="9"/>
        <v>1.61593976620972E-4</v>
      </c>
      <c r="N92" s="28">
        <f t="shared" si="8"/>
        <v>1.2656765924071015E-4</v>
      </c>
      <c r="O92" s="28"/>
      <c r="P92" s="28">
        <f t="shared" si="10"/>
        <v>2.1723250035029162E-4</v>
      </c>
      <c r="Q92" s="28">
        <f t="shared" si="11"/>
        <v>2.0509920312031973E-4</v>
      </c>
      <c r="R92" s="28"/>
      <c r="S92" s="28">
        <f t="shared" si="12"/>
        <v>1.6578312949149925E-4</v>
      </c>
      <c r="T92" s="28">
        <f t="shared" si="13"/>
        <v>1.7398203918150913E-4</v>
      </c>
    </row>
    <row r="93" spans="1:20" x14ac:dyDescent="0.25">
      <c r="A93" s="14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M93" s="28">
        <f t="shared" si="9"/>
        <v>1.2964071348433044E-4</v>
      </c>
      <c r="N93" s="28">
        <f t="shared" si="8"/>
        <v>1.0584289850718122E-4</v>
      </c>
      <c r="O93" s="28"/>
      <c r="P93" s="28">
        <f t="shared" si="10"/>
        <v>2.1579927907588759E-4</v>
      </c>
      <c r="Q93" s="28">
        <f t="shared" si="11"/>
        <v>2.0611227017904287E-4</v>
      </c>
      <c r="R93" s="28"/>
      <c r="S93" s="28">
        <f t="shared" si="12"/>
        <v>1.4644784150082496E-4</v>
      </c>
      <c r="T93" s="28">
        <f t="shared" si="13"/>
        <v>1.5605469788031068E-4</v>
      </c>
    </row>
    <row r="94" spans="1:20" x14ac:dyDescent="0.25">
      <c r="A94" s="14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M94" s="28">
        <f t="shared" si="9"/>
        <v>7.6700152837632532E-5</v>
      </c>
      <c r="N94" s="28">
        <f t="shared" si="8"/>
        <v>7.2318715752753922E-5</v>
      </c>
      <c r="O94" s="28"/>
      <c r="P94" s="28">
        <f t="shared" si="10"/>
        <v>1.9680779968984984E-4</v>
      </c>
      <c r="Q94" s="28">
        <f t="shared" si="11"/>
        <v>1.8805271007886061E-4</v>
      </c>
      <c r="R94" s="28"/>
      <c r="S94" s="28">
        <f t="shared" si="12"/>
        <v>1.294085313557522E-4</v>
      </c>
      <c r="T94" s="28">
        <f t="shared" si="13"/>
        <v>1.4003780693227358E-4</v>
      </c>
    </row>
    <row r="95" spans="1:20" x14ac:dyDescent="0.25">
      <c r="A95" s="14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M95" s="28">
        <f t="shared" si="9"/>
        <v>5.0262729340131026E-4</v>
      </c>
      <c r="N95" s="28">
        <f t="shared" si="8"/>
        <v>6.4641043874893056E-4</v>
      </c>
      <c r="O95" s="28"/>
      <c r="P95" s="28">
        <f t="shared" si="10"/>
        <v>1.6256697957688828E-4</v>
      </c>
      <c r="Q95" s="28">
        <f t="shared" si="11"/>
        <v>1.5341422310976348E-4</v>
      </c>
      <c r="R95" s="28"/>
      <c r="S95" s="28">
        <f t="shared" si="12"/>
        <v>1.1439804596773843E-4</v>
      </c>
      <c r="T95" s="28">
        <f t="shared" si="13"/>
        <v>1.2573526987282176E-4</v>
      </c>
    </row>
    <row r="96" spans="1:20" x14ac:dyDescent="0.25">
      <c r="A96" s="14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M96" s="28">
        <f t="shared" si="9"/>
        <v>3.2035405201260173E-5</v>
      </c>
      <c r="N96" s="28">
        <f t="shared" si="8"/>
        <v>3.0294607229030342E-5</v>
      </c>
      <c r="O96" s="28"/>
      <c r="P96" s="28">
        <f t="shared" si="10"/>
        <v>1.091049703930535E-4</v>
      </c>
      <c r="Q96" s="28">
        <f t="shared" si="11"/>
        <v>9.8098377206810514E-5</v>
      </c>
      <c r="R96" s="28"/>
      <c r="S96" s="28">
        <f t="shared" si="12"/>
        <v>1.0118103806295743E-4</v>
      </c>
      <c r="T96" s="28">
        <f t="shared" si="13"/>
        <v>1.1297197649937501E-4</v>
      </c>
    </row>
    <row r="97" spans="1:20" x14ac:dyDescent="0.25">
      <c r="A97" s="14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M97" s="28">
        <f t="shared" si="9"/>
        <v>3.9859436856183334E-5</v>
      </c>
      <c r="N97" s="28">
        <f t="shared" si="8"/>
        <v>3.9567253522808103E-5</v>
      </c>
      <c r="O97" s="28"/>
      <c r="P97" s="28">
        <f t="shared" si="10"/>
        <v>7.971701232623939E-5</v>
      </c>
      <c r="Q97" s="28">
        <f t="shared" si="11"/>
        <v>6.9311864879894577E-5</v>
      </c>
      <c r="R97" s="28"/>
      <c r="S97" s="28">
        <f t="shared" si="12"/>
        <v>8.9550276646670627E-5</v>
      </c>
      <c r="T97" s="28">
        <f t="shared" si="13"/>
        <v>1.0159165851386123E-4</v>
      </c>
    </row>
    <row r="98" spans="1:20" x14ac:dyDescent="0.25">
      <c r="A98" s="14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M98" s="28">
        <f t="shared" si="9"/>
        <v>3.4294311978272108E-5</v>
      </c>
      <c r="N98" s="28">
        <f t="shared" si="8"/>
        <v>3.0254980535467188E-5</v>
      </c>
      <c r="O98" s="28"/>
      <c r="P98" s="28">
        <f t="shared" si="10"/>
        <v>6.1217423693238189E-5</v>
      </c>
      <c r="Q98" s="28">
        <f t="shared" si="11"/>
        <v>5.2025488867730237E-5</v>
      </c>
      <c r="R98" s="28"/>
      <c r="S98" s="28">
        <f t="shared" si="12"/>
        <v>7.9323398223945884E-5</v>
      </c>
      <c r="T98" s="28">
        <f t="shared" si="13"/>
        <v>9.1454977256265517E-5</v>
      </c>
    </row>
    <row r="99" spans="1:20" x14ac:dyDescent="0.25">
      <c r="A99" s="14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M99" s="28">
        <f t="shared" si="9"/>
        <v>2.8564902971123654E-5</v>
      </c>
      <c r="N99" s="28">
        <f t="shared" si="8"/>
        <v>2.2626842024560269E-5</v>
      </c>
      <c r="O99" s="28"/>
      <c r="P99" s="28">
        <f t="shared" si="10"/>
        <v>5.180395579679538E-5</v>
      </c>
      <c r="Q99" s="28">
        <f t="shared" si="11"/>
        <v>4.4157267840016765E-5</v>
      </c>
      <c r="R99" s="28"/>
      <c r="S99" s="28">
        <f t="shared" si="12"/>
        <v>7.0340048336750801E-5</v>
      </c>
      <c r="T99" s="28">
        <f t="shared" si="13"/>
        <v>8.2437818244739133E-5</v>
      </c>
    </row>
    <row r="100" spans="1:20" x14ac:dyDescent="0.25">
      <c r="A100" s="14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M100" s="28">
        <f t="shared" si="9"/>
        <v>1.0768824671500535E-4</v>
      </c>
      <c r="N100" s="28">
        <f t="shared" si="8"/>
        <v>1.1382767726015652E-4</v>
      </c>
      <c r="O100" s="28"/>
      <c r="P100" s="28">
        <f t="shared" si="10"/>
        <v>4.9719596583758532E-5</v>
      </c>
      <c r="Q100" s="28">
        <f t="shared" si="11"/>
        <v>4.3884080413998182E-5</v>
      </c>
      <c r="R100" s="28"/>
      <c r="S100" s="28">
        <f t="shared" si="12"/>
        <v>6.2459367873092617E-5</v>
      </c>
      <c r="T100" s="28">
        <f t="shared" si="13"/>
        <v>7.4429771622382487E-5</v>
      </c>
    </row>
    <row r="101" spans="1:20" x14ac:dyDescent="0.25">
      <c r="A101" s="14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M101" s="28">
        <f t="shared" si="9"/>
        <v>4.4233501797124626E-5</v>
      </c>
      <c r="N101" s="28">
        <f t="shared" si="8"/>
        <v>3.6198984569940111E-5</v>
      </c>
      <c r="O101" s="28"/>
      <c r="P101" s="28">
        <f t="shared" si="10"/>
        <v>5.7826098617226952E-5</v>
      </c>
      <c r="Q101" s="28">
        <f t="shared" si="11"/>
        <v>5.4683659521355305E-5</v>
      </c>
      <c r="R101" s="28"/>
      <c r="S101" s="28">
        <f t="shared" si="12"/>
        <v>5.5557784686344192E-5</v>
      </c>
      <c r="T101" s="28">
        <f t="shared" si="13"/>
        <v>6.7332781410796161E-5</v>
      </c>
    </row>
    <row r="102" spans="1:20" x14ac:dyDescent="0.25">
      <c r="A102" s="14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M102" s="28">
        <f t="shared" si="9"/>
        <v>3.3637175461323181E-5</v>
      </c>
      <c r="N102" s="28">
        <f t="shared" si="8"/>
        <v>2.6153617751680869E-5</v>
      </c>
      <c r="O102" s="28"/>
      <c r="P102" s="28">
        <f t="shared" si="10"/>
        <v>5.8776363106957636E-5</v>
      </c>
      <c r="Q102" s="28">
        <f t="shared" si="11"/>
        <v>5.7826798278984729E-5</v>
      </c>
      <c r="R102" s="28"/>
      <c r="S102" s="28">
        <f t="shared" si="12"/>
        <v>4.9527076997009336E-5</v>
      </c>
      <c r="T102" s="28">
        <f t="shared" si="13"/>
        <v>6.1059944716656804E-5</v>
      </c>
    </row>
    <row r="103" spans="1:20" x14ac:dyDescent="0.25">
      <c r="A103" s="14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M103" s="28">
        <f t="shared" si="9"/>
        <v>3.2507722072817214E-5</v>
      </c>
      <c r="N103" s="28">
        <f t="shared" si="8"/>
        <v>2.8471779325125309E-5</v>
      </c>
      <c r="O103" s="28"/>
      <c r="P103" s="28">
        <f t="shared" si="10"/>
        <v>5.5437469425554321E-5</v>
      </c>
      <c r="Q103" s="28">
        <f t="shared" si="11"/>
        <v>5.6159363744085276E-5</v>
      </c>
      <c r="R103" s="28"/>
      <c r="S103" s="28">
        <f t="shared" si="12"/>
        <v>4.4272676829415843E-5</v>
      </c>
      <c r="T103" s="28">
        <f t="shared" si="13"/>
        <v>5.5534448468309093E-5</v>
      </c>
    </row>
    <row r="104" spans="1:20" x14ac:dyDescent="0.25">
      <c r="A104" s="14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M104" s="28">
        <f t="shared" si="9"/>
        <v>1.4723965082886888E-5</v>
      </c>
      <c r="N104" s="28">
        <f t="shared" si="8"/>
        <v>1.5593103917100641E-5</v>
      </c>
      <c r="O104" s="28"/>
      <c r="P104" s="28">
        <f t="shared" si="10"/>
        <v>4.7748695017203821E-5</v>
      </c>
      <c r="Q104" s="28">
        <f t="shared" si="11"/>
        <v>4.9488242037082431E-5</v>
      </c>
      <c r="R104" s="28"/>
      <c r="S104" s="28">
        <f t="shared" si="12"/>
        <v>3.971218707652671E-5</v>
      </c>
      <c r="T104" s="28">
        <f t="shared" si="13"/>
        <v>5.0688629505528427E-5</v>
      </c>
    </row>
    <row r="105" spans="1:20" x14ac:dyDescent="0.25">
      <c r="A105" s="14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M105" s="28">
        <f t="shared" si="9"/>
        <v>4.9285238771169496E-5</v>
      </c>
      <c r="N105" s="28">
        <f t="shared" si="8"/>
        <v>7.2021515551030273E-5</v>
      </c>
      <c r="O105" s="28"/>
      <c r="P105" s="28">
        <f t="shared" si="10"/>
        <v>3.6525674355355689E-5</v>
      </c>
      <c r="Q105" s="28">
        <f t="shared" si="11"/>
        <v>3.8628996009361884E-5</v>
      </c>
      <c r="R105" s="28"/>
      <c r="S105" s="28">
        <f t="shared" si="12"/>
        <v>3.5774090978411003E-5</v>
      </c>
      <c r="T105" s="28">
        <f t="shared" si="13"/>
        <v>4.6463145745598274E-5</v>
      </c>
    </row>
    <row r="106" spans="1:20" x14ac:dyDescent="0.25">
      <c r="A106" s="14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M106" s="28">
        <f t="shared" si="9"/>
        <v>5.5651248779112226E-6</v>
      </c>
      <c r="N106" s="28">
        <f t="shared" si="8"/>
        <v>5.8251239537834668E-6</v>
      </c>
      <c r="O106" s="28"/>
      <c r="P106" s="28">
        <f t="shared" si="10"/>
        <v>2.0725467623064042E-5</v>
      </c>
      <c r="Q106" s="28">
        <f t="shared" si="11"/>
        <v>2.2559790023293535E-5</v>
      </c>
      <c r="R106" s="28"/>
      <c r="S106" s="28">
        <f t="shared" si="12"/>
        <v>3.2396630426269232E-5</v>
      </c>
      <c r="T106" s="28">
        <f t="shared" si="13"/>
        <v>4.2806250679591034E-5</v>
      </c>
    </row>
    <row r="107" spans="1:20" x14ac:dyDescent="0.25">
      <c r="A107" s="14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M107" s="28">
        <f t="shared" si="9"/>
        <v>7.2285016864381929E-6</v>
      </c>
      <c r="N107" s="28">
        <f t="shared" si="8"/>
        <v>8.1234721804463301E-6</v>
      </c>
      <c r="O107" s="28"/>
      <c r="P107" s="28">
        <f t="shared" si="10"/>
        <v>1.2746465055230443E-5</v>
      </c>
      <c r="Q107" s="28">
        <f t="shared" si="11"/>
        <v>1.422685004489901E-5</v>
      </c>
      <c r="R107" s="28"/>
      <c r="S107" s="28">
        <f t="shared" si="12"/>
        <v>2.9526838108374729E-5</v>
      </c>
      <c r="T107" s="28">
        <f t="shared" si="13"/>
        <v>3.9673160091220578E-5</v>
      </c>
    </row>
    <row r="108" spans="1:20" x14ac:dyDescent="0.25">
      <c r="A108" s="14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M108" s="28">
        <f t="shared" si="9"/>
        <v>5.2365566194367592E-6</v>
      </c>
      <c r="N108" s="28">
        <f t="shared" si="8"/>
        <v>4.9929633889572574E-6</v>
      </c>
      <c r="O108" s="28"/>
      <c r="P108" s="28">
        <f t="shared" si="10"/>
        <v>7.739820897172283E-6</v>
      </c>
      <c r="Q108" s="28">
        <f t="shared" si="11"/>
        <v>8.8685319985759181E-6</v>
      </c>
      <c r="R108" s="28"/>
      <c r="S108" s="28">
        <f t="shared" si="12"/>
        <v>2.711970688241037E-5</v>
      </c>
      <c r="T108" s="28">
        <f t="shared" si="13"/>
        <v>3.7025502959849393E-5</v>
      </c>
    </row>
    <row r="109" spans="1:20" x14ac:dyDescent="0.25">
      <c r="A109" s="14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M109" s="28">
        <f t="shared" si="9"/>
        <v>3.0597919070434395E-6</v>
      </c>
      <c r="N109" s="28">
        <f t="shared" si="8"/>
        <v>3.2692022189601086E-6</v>
      </c>
      <c r="O109" s="28"/>
      <c r="P109" s="28">
        <f t="shared" si="10"/>
        <v>4.7168225437813248E-6</v>
      </c>
      <c r="Q109" s="28">
        <f t="shared" si="11"/>
        <v>5.5508361989880433E-6</v>
      </c>
      <c r="R109" s="28"/>
      <c r="S109" s="28">
        <f t="shared" si="12"/>
        <v>2.5137484654325004E-5</v>
      </c>
      <c r="T109" s="28">
        <f t="shared" si="13"/>
        <v>3.4830852455364636E-5</v>
      </c>
    </row>
    <row r="110" spans="1:20" x14ac:dyDescent="0.25">
      <c r="A110" s="14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M110" s="28">
        <f t="shared" si="9"/>
        <v>6.5302941371799583E-6</v>
      </c>
      <c r="N110" s="28">
        <f t="shared" si="8"/>
        <v>7.6281385109069207E-6</v>
      </c>
      <c r="O110" s="28"/>
      <c r="P110" s="28">
        <f t="shared" si="10"/>
        <v>2.8939218675288333E-6</v>
      </c>
      <c r="Q110" s="28">
        <f t="shared" si="11"/>
        <v>3.5011135841255574E-6</v>
      </c>
      <c r="R110" s="28"/>
      <c r="S110" s="28">
        <f t="shared" si="12"/>
        <v>2.3549097879119426E-5</v>
      </c>
      <c r="T110" s="28">
        <f t="shared" si="13"/>
        <v>3.3062346671024335E-5</v>
      </c>
    </row>
    <row r="111" spans="1:20" x14ac:dyDescent="0.25">
      <c r="A111" s="14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M111" s="28">
        <f t="shared" si="9"/>
        <v>2.3615843577852053E-6</v>
      </c>
      <c r="N111" s="28">
        <f t="shared" si="8"/>
        <v>2.179468145973406E-6</v>
      </c>
      <c r="O111" s="28"/>
      <c r="P111" s="28">
        <f t="shared" si="10"/>
        <v>1.8065707870427927E-6</v>
      </c>
      <c r="Q111" s="28">
        <f t="shared" si="11"/>
        <v>2.250361817184856E-6</v>
      </c>
      <c r="R111" s="28"/>
      <c r="S111" s="28">
        <f t="shared" si="12"/>
        <v>2.2329467209103144E-5</v>
      </c>
      <c r="T111" s="28">
        <f t="shared" si="13"/>
        <v>3.1698137334168777E-5</v>
      </c>
    </row>
    <row r="112" spans="1:20" x14ac:dyDescent="0.25">
      <c r="A112" s="14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M112" s="28">
        <f t="shared" si="9"/>
        <v>1.8687319700735101E-6</v>
      </c>
      <c r="N112" s="28">
        <f t="shared" si="8"/>
        <v>1.6048810893076898E-6</v>
      </c>
      <c r="O112" s="28"/>
      <c r="P112" s="28">
        <f t="shared" si="10"/>
        <v>1.1793527134573008E-6</v>
      </c>
      <c r="Q112" s="28">
        <f t="shared" si="11"/>
        <v>1.5142546978329603E-6</v>
      </c>
      <c r="R112" s="28"/>
      <c r="S112" s="28">
        <f t="shared" si="12"/>
        <v>2.1460632453631863E-5</v>
      </c>
      <c r="T112" s="28">
        <f t="shared" si="13"/>
        <v>3.0722829267568299E-5</v>
      </c>
    </row>
    <row r="113" spans="1:20" x14ac:dyDescent="0.25">
      <c r="A113" s="14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M113" s="28">
        <f t="shared" si="9"/>
        <v>1.2526664854338915E-6</v>
      </c>
      <c r="N113" s="28">
        <f t="shared" si="8"/>
        <v>1.1293607665498558E-6</v>
      </c>
      <c r="O113" s="28"/>
      <c r="P113" s="28">
        <f t="shared" si="10"/>
        <v>8.5019776961871509E-7</v>
      </c>
      <c r="Q113" s="28">
        <f t="shared" si="11"/>
        <v>1.1217490035701002E-6</v>
      </c>
      <c r="R113" s="28"/>
      <c r="S113" s="28">
        <f t="shared" si="12"/>
        <v>2.0925916822653217E-5</v>
      </c>
      <c r="T113" s="28">
        <f t="shared" si="13"/>
        <v>3.0121062663030321E-5</v>
      </c>
    </row>
    <row r="114" spans="1:20" x14ac:dyDescent="0.25">
      <c r="A114" s="14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M114" s="28">
        <f t="shared" si="9"/>
        <v>1.5812347439083547E-6</v>
      </c>
      <c r="N114" s="28">
        <f t="shared" si="8"/>
        <v>1.1888008068945851E-6</v>
      </c>
      <c r="O114" s="28"/>
      <c r="P114" s="28">
        <f t="shared" si="10"/>
        <v>7.0650312128048228E-7</v>
      </c>
      <c r="Q114" s="28">
        <f t="shared" si="11"/>
        <v>9.4851117334891E-7</v>
      </c>
      <c r="R114" s="28"/>
      <c r="S114" s="28">
        <f t="shared" si="12"/>
        <v>2.0666522143630682E-5</v>
      </c>
      <c r="T114" s="28">
        <f t="shared" si="13"/>
        <v>2.9828672679633881E-5</v>
      </c>
    </row>
    <row r="115" spans="1:20" x14ac:dyDescent="0.25">
      <c r="A115" s="14"/>
      <c r="F115" s="4"/>
      <c r="G115" s="4"/>
      <c r="I115" s="4"/>
      <c r="J115" s="4"/>
    </row>
    <row r="116" spans="1:20" x14ac:dyDescent="0.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6183814.1522739995</v>
      </c>
      <c r="G116" s="4">
        <f>SUM(G5:G114)</f>
        <v>6293152.0130910007</v>
      </c>
      <c r="I116" s="4">
        <f>SUM(I5:I114)</f>
        <v>6740685.6863400014</v>
      </c>
      <c r="J116" s="4">
        <f>SUM(J5:J114)</f>
        <v>6842142.7326650005</v>
      </c>
      <c r="M116" s="25">
        <f>SUM(M5:M114)</f>
        <v>1</v>
      </c>
      <c r="N116" s="25">
        <f>SUM(N5:N114)</f>
        <v>1.0000000000000002</v>
      </c>
      <c r="O116" s="25"/>
      <c r="P116" s="25">
        <f>SUM(P5:P114)</f>
        <v>1.0000000000000009</v>
      </c>
      <c r="Q116" s="25">
        <f>SUM(Q5:Q114)</f>
        <v>0.99999999999999944</v>
      </c>
      <c r="R116" s="25"/>
      <c r="S116" s="25">
        <f>SUM(S5:S114)</f>
        <v>0.99999999999999967</v>
      </c>
      <c r="T116" s="25">
        <f>SUM(T5:T114)</f>
        <v>0.99999999999999978</v>
      </c>
    </row>
    <row r="117" spans="1:20" x14ac:dyDescent="0.25">
      <c r="C117" s="4"/>
      <c r="D117" s="4"/>
    </row>
    <row r="119" spans="1:20" x14ac:dyDescent="0.25">
      <c r="C119" s="4"/>
      <c r="D119" s="4"/>
      <c r="F119" s="4"/>
      <c r="G119" s="4"/>
      <c r="I119" s="4"/>
      <c r="J119" s="4"/>
    </row>
  </sheetData>
  <mergeCells count="8">
    <mergeCell ref="M1:T1"/>
    <mergeCell ref="M2:N2"/>
    <mergeCell ref="P2:Q2"/>
    <mergeCell ref="S2:T2"/>
    <mergeCell ref="C2:D2"/>
    <mergeCell ref="F2:G2"/>
    <mergeCell ref="I2:J2"/>
    <mergeCell ref="C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2026-04-23T03:26:50Z</dcterms:created>
  <dcterms:modified xsi:type="dcterms:W3CDTF">2026-04-23T18:33:27Z</dcterms:modified>
</cp:coreProperties>
</file>