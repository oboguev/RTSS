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workbooks\"/>
    </mc:Choice>
  </mc:AlternateContent>
  <xr:revisionPtr revIDLastSave="0" documentId="13_ncr:1_{68F6E821-B031-4975-8EC5-9EE558D7FF1F}" xr6:coauthVersionLast="45" xr6:coauthVersionMax="45" xr10:uidLastSave="{00000000-0000-0000-0000-000000000000}"/>
  <bookViews>
    <workbookView xWindow="510" yWindow="1710" windowWidth="17820" windowHeight="21015" activeTab="1" xr2:uid="{ADE3E715-68A0-475F-BFDD-EA0E2833FCCA}"/>
  </bookViews>
  <sheets>
    <sheet name="Notes" sheetId="1" r:id="rId1"/>
    <sheet name="MX-1895-raw" sheetId="6" r:id="rId2"/>
    <sheet name="MX-1900-raw" sheetId="2" r:id="rId3"/>
    <sheet name="RU-1897-raw" sheetId="4" r:id="rId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32" i="6" l="1"/>
  <c r="C32" i="6"/>
  <c r="B32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I129" i="4"/>
  <c r="H129" i="4"/>
  <c r="C129" i="4"/>
  <c r="B129" i="4"/>
  <c r="F124" i="4"/>
  <c r="F113" i="4"/>
  <c r="F102" i="4"/>
  <c r="F91" i="4"/>
  <c r="F80" i="4"/>
  <c r="F69" i="4"/>
  <c r="F58" i="4"/>
  <c r="F47" i="4"/>
  <c r="F36" i="4"/>
  <c r="L124" i="4"/>
  <c r="K124" i="4"/>
  <c r="L113" i="4"/>
  <c r="K113" i="4"/>
  <c r="L102" i="4"/>
  <c r="K102" i="4"/>
  <c r="L91" i="4"/>
  <c r="K91" i="4"/>
  <c r="L80" i="4"/>
  <c r="K80" i="4"/>
  <c r="L69" i="4"/>
  <c r="K69" i="4"/>
  <c r="L58" i="4"/>
  <c r="K58" i="4"/>
  <c r="L47" i="4"/>
  <c r="K47" i="4"/>
  <c r="L36" i="4"/>
  <c r="K36" i="4"/>
  <c r="L25" i="4"/>
  <c r="K25" i="4"/>
  <c r="L14" i="4"/>
  <c r="K14" i="4"/>
  <c r="E124" i="4"/>
  <c r="E113" i="4"/>
  <c r="E102" i="4"/>
  <c r="E91" i="4"/>
  <c r="E80" i="4"/>
  <c r="E69" i="4"/>
  <c r="E58" i="4"/>
  <c r="E47" i="4"/>
  <c r="E36" i="4"/>
  <c r="F14" i="4"/>
  <c r="E14" i="4"/>
  <c r="F25" i="4"/>
  <c r="E25" i="4"/>
  <c r="D14" i="2"/>
  <c r="C14" i="2"/>
  <c r="B14" i="2"/>
  <c r="F12" i="2"/>
  <c r="F11" i="2"/>
  <c r="F10" i="2"/>
  <c r="F9" i="2"/>
  <c r="F8" i="2"/>
  <c r="F7" i="2"/>
  <c r="F6" i="2"/>
  <c r="F5" i="2"/>
  <c r="F4" i="2"/>
</calcChain>
</file>

<file path=xl/sharedStrings.xml><?xml version="1.0" encoding="utf-8"?>
<sst xmlns="http://schemas.openxmlformats.org/spreadsheetml/2006/main" count="142" uniqueCount="118">
  <si>
    <t>M</t>
  </si>
  <si>
    <t>F</t>
  </si>
  <si>
    <t>B</t>
  </si>
  <si>
    <t>1-9</t>
  </si>
  <si>
    <t>10-19</t>
  </si>
  <si>
    <t>20-29</t>
  </si>
  <si>
    <t>30-39</t>
  </si>
  <si>
    <t>40-49</t>
  </si>
  <si>
    <t>50-59</t>
  </si>
  <si>
    <t>60-69</t>
  </si>
  <si>
    <t>70+</t>
  </si>
  <si>
    <t>неизв</t>
  </si>
  <si>
    <t>verify</t>
  </si>
  <si>
    <t xml:space="preserve">Secretaria de Fomento, Colonizacion e Industria, Direccion General de Estadistica de la Republica Mexicana, </t>
  </si>
  <si>
    <t>Половозрастная структура населения Мексики по переписи 1900 года</t>
  </si>
  <si>
    <t xml:space="preserve">"Censo de 1900 : Resultado del censo de habitantes que se verifico el 28 de octubre de 1900", </t>
  </si>
  <si>
    <t>стр. 29-33</t>
  </si>
  <si>
    <t>Mexico : Tip. de la Secretaria de Fomento, 1901,</t>
  </si>
  <si>
    <t>age</t>
  </si>
  <si>
    <t>всего</t>
  </si>
  <si>
    <t>Общий свод по Империи результатов разработки данных первой всеобщей переписи населения, произведенной 28 января 1897 года,</t>
  </si>
  <si>
    <t>том 1, С.-Пб, 1905, стр. 56-59</t>
  </si>
  <si>
    <t>RU-1897-raw</t>
  </si>
  <si>
    <t>Половозрастная структура населения Европейской России и Сибири по переписи 1897 года</t>
  </si>
  <si>
    <t>Не включает привислинские губрении, Кавказ и Среднюю Азию, а также Финляндию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</si>
  <si>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</si>
  <si>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</si>
  <si>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</si>
  <si>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</si>
  <si>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</si>
  <si>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</si>
  <si>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</si>
  <si>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</si>
  <si>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</si>
  <si>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</si>
  <si>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</si>
  <si>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</si>
  <si>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</si>
  <si>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</si>
  <si>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</si>
  <si>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</si>
  <si>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</si>
  <si>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</si>
  <si>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</si>
  <si>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</si>
  <si>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</si>
  <si>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</si>
  <si>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</si>
  <si>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</si>
  <si>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</si>
  <si>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</si>
  <si>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</si>
  <si>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</si>
  <si>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</si>
  <si>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</si>
  <si>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</si>
  <si>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</si>
  <si>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</si>
  <si>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</si>
  <si>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</si>
  <si>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</si>
  <si>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</si>
  <si>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</si>
  <si>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</si>
  <si>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</si>
  <si>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</si>
  <si>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</si>
  <si>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</si>
  <si>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</si>
  <si>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</si>
  <si>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</si>
  <si>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</si>
  <si>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</si>
  <si>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</si>
  <si>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</si>
  <si>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</si>
  <si>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</si>
  <si>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</si>
  <si>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</si>
  <si>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</si>
  <si>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Европейская Россия</t>
  </si>
  <si>
    <t>Cибирь</t>
  </si>
  <si>
    <t xml:space="preserve">70-79 </t>
  </si>
  <si>
    <t xml:space="preserve">80-89 </t>
  </si>
  <si>
    <t xml:space="preserve">90-99 </t>
  </si>
  <si>
    <t>100-109</t>
  </si>
  <si>
    <t>110+</t>
  </si>
  <si>
    <t>итого</t>
  </si>
  <si>
    <t>Перенос данных из:</t>
  </si>
  <si>
    <t>MX-1900-raw</t>
  </si>
  <si>
    <t>Ministerio de Fomento, Dirección General de Estadística,</t>
  </si>
  <si>
    <t xml:space="preserve">Censo general de la República Mexicana: verificado el 20 de octubre de 1895, </t>
  </si>
  <si>
    <t>México, 1899</t>
  </si>
  <si>
    <t>MX-1895-raw</t>
  </si>
  <si>
    <t>Половозрастная структура населения Мексики по переписи 1895 года</t>
  </si>
  <si>
    <t>стр. 6-15</t>
  </si>
  <si>
    <t>0-1</t>
  </si>
  <si>
    <t>16-20</t>
  </si>
  <si>
    <t>21-25</t>
  </si>
  <si>
    <t>26-30</t>
  </si>
  <si>
    <t>31-35</t>
  </si>
  <si>
    <t>36-40</t>
  </si>
  <si>
    <t>41-45</t>
  </si>
  <si>
    <t>46-50</t>
  </si>
  <si>
    <t>51-55</t>
  </si>
  <si>
    <t>56-60</t>
  </si>
  <si>
    <t>61-65</t>
  </si>
  <si>
    <t>66-70</t>
  </si>
  <si>
    <t>71-75</t>
  </si>
  <si>
    <t>76-80</t>
  </si>
  <si>
    <t>81-85</t>
  </si>
  <si>
    <t>86-90</t>
  </si>
  <si>
    <t>91-95</t>
  </si>
  <si>
    <t>96-100</t>
  </si>
  <si>
    <t>100+</t>
  </si>
  <si>
    <t>6-10</t>
  </si>
  <si>
    <t>11-15</t>
  </si>
  <si>
    <t>12491573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</si>
</sst>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 Unicode MS"/>
      <family val="2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49" fontId="0" fillId="0" borderId="0" xfId="0" applyNumberFormat="1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3" fontId="0" fillId="0" borderId="0" xfId="0" applyNumberFormat="1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3" fontId="0" fillId="0" borderId="0" xfId="0" applyNumberFormat="1" applyAlignment="1">
      <alignment horizontal="right"/>
    </xf>
    <xf numFmtId="0" fontId="0" fillId="0" borderId="0" xfId="0" applyNumberFormat="1"/>
    <xf numFmtId="3" fontId="2" fillId="0" borderId="0" xfId="0" applyNumberFormat="1" applyFont="1" applyAlignment="1">
      <alignment vertical="center"/>
    </xf>
    <xf numFmtId="0" fontId="0" fillId="0" borderId="0" xfId="0" applyNumberFormat="1" applyAlignment="1">
      <alignment horizontal="center"/>
    </xf>
    <xf numFmtId="3" fontId="3" fillId="0" borderId="0" xfId="0" applyNumberFormat="1" applyFont="1" applyAlignment="1">
      <alignment vertical="center"/>
    </xf>
    <xf numFmtId="3" fontId="0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E6297-7AA9-4082-887A-7490FB1B1C69}">
  <dimension ref="A1:B31"/>
  <sheetViews>
    <sheetView workbookViewId="0">
      <selection activeCell="B10" sqref="B10"/>
    </sheetView>
  </sheetViews>
  <sheetFormatPr defaultRowHeight="15" x14ac:dyDescent="0.25"/>
  <sheetData>
    <row r="1" spans="1:2" x14ac:dyDescent="0.25">
      <c r="A1" s="5" t="s">
        <v>93</v>
      </c>
    </row>
    <row r="3" spans="1:2" x14ac:dyDescent="0.25">
      <c r="B3" t="s">
        <v>94</v>
      </c>
    </row>
    <row r="4" spans="1:2" x14ac:dyDescent="0.25">
      <c r="B4" t="s">
        <v>88</v>
      </c>
    </row>
    <row r="6" spans="1:2" x14ac:dyDescent="0.25">
      <c r="B6" t="s">
        <v>90</v>
      </c>
    </row>
    <row r="7" spans="1:2" x14ac:dyDescent="0.25">
      <c r="B7" t="s">
        <v>91</v>
      </c>
    </row>
    <row r="8" spans="1:2" x14ac:dyDescent="0.25">
      <c r="B8" t="s">
        <v>92</v>
      </c>
    </row>
    <row r="9" spans="1:2" x14ac:dyDescent="0.25">
      <c r="B9" t="s">
        <v>95</v>
      </c>
    </row>
    <row r="11" spans="1:2" x14ac:dyDescent="0.25">
      <c r="A11" s="5" t="s">
        <v>89</v>
      </c>
    </row>
    <row r="14" spans="1:2" x14ac:dyDescent="0.25">
      <c r="B14" t="s">
        <v>14</v>
      </c>
    </row>
    <row r="15" spans="1:2" x14ac:dyDescent="0.25">
      <c r="B15" t="s">
        <v>88</v>
      </c>
    </row>
    <row r="17" spans="1:2" x14ac:dyDescent="0.25">
      <c r="B17" t="s">
        <v>13</v>
      </c>
    </row>
    <row r="18" spans="1:2" x14ac:dyDescent="0.25">
      <c r="B18" t="s">
        <v>15</v>
      </c>
    </row>
    <row r="19" spans="1:2" x14ac:dyDescent="0.25">
      <c r="B19" t="s">
        <v>17</v>
      </c>
    </row>
    <row r="20" spans="1:2" x14ac:dyDescent="0.25">
      <c r="B20" t="s">
        <v>16</v>
      </c>
    </row>
    <row r="22" spans="1:2" x14ac:dyDescent="0.25">
      <c r="A22" s="5" t="s">
        <v>22</v>
      </c>
    </row>
    <row r="25" spans="1:2" x14ac:dyDescent="0.25">
      <c r="B25" t="s">
        <v>23</v>
      </c>
    </row>
    <row r="26" spans="1:2" x14ac:dyDescent="0.25">
      <c r="B26" t="s">
        <v>24</v>
      </c>
    </row>
    <row r="27" spans="1:2" x14ac:dyDescent="0.25">
      <c r="B27" t="s">
        <v>88</v>
      </c>
    </row>
    <row r="29" spans="1:2" x14ac:dyDescent="0.25">
      <c r="B29" t="s">
        <v>20</v>
      </c>
    </row>
    <row r="30" spans="1:2" x14ac:dyDescent="0.25">
      <c r="B30" t="s">
        <v>21</v>
      </c>
    </row>
    <row r="31" spans="1:2" x14ac:dyDescent="0.25">
      <c r="A31" s="5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98FB2-C8D9-4088-84B1-FABE4BAAFA39}">
  <dimension ref="A3:I36"/>
  <sheetViews>
    <sheetView tabSelected="1" workbookViewId="0">
      <selection activeCell="K42" sqref="K42"/>
    </sheetView>
  </sheetViews>
  <sheetFormatPr defaultRowHeight="15" x14ac:dyDescent="0.25"/>
  <sheetData>
    <row r="3" spans="1:9" x14ac:dyDescent="0.25">
      <c r="B3" s="2" t="s">
        <v>0</v>
      </c>
      <c r="C3" s="2" t="s">
        <v>1</v>
      </c>
      <c r="D3" s="2" t="s">
        <v>2</v>
      </c>
      <c r="F3" s="2" t="s">
        <v>12</v>
      </c>
    </row>
    <row r="4" spans="1:9" x14ac:dyDescent="0.25">
      <c r="A4" s="2" t="s">
        <v>96</v>
      </c>
      <c r="B4" s="12">
        <v>324202</v>
      </c>
      <c r="C4" s="12">
        <v>308727</v>
      </c>
      <c r="D4" s="12">
        <v>632929</v>
      </c>
      <c r="F4" s="4">
        <f>B4+C4-D4</f>
        <v>0</v>
      </c>
    </row>
    <row r="5" spans="1:9" x14ac:dyDescent="0.25">
      <c r="A5" s="2">
        <v>2</v>
      </c>
      <c r="B5" s="12">
        <v>189934</v>
      </c>
      <c r="C5" s="12">
        <v>185418</v>
      </c>
      <c r="D5" s="12">
        <v>375352</v>
      </c>
      <c r="F5" s="4">
        <f t="shared" ref="F5:F30" si="0">B5+C5-D5</f>
        <v>0</v>
      </c>
    </row>
    <row r="6" spans="1:9" x14ac:dyDescent="0.25">
      <c r="A6" s="2">
        <v>3</v>
      </c>
      <c r="B6" s="12">
        <v>189977</v>
      </c>
      <c r="C6" s="12">
        <v>187240</v>
      </c>
      <c r="D6" s="12">
        <v>377217</v>
      </c>
      <c r="F6" s="4">
        <f t="shared" si="0"/>
        <v>0</v>
      </c>
    </row>
    <row r="7" spans="1:9" x14ac:dyDescent="0.25">
      <c r="A7" s="2">
        <v>4</v>
      </c>
      <c r="B7" s="12">
        <v>191481</v>
      </c>
      <c r="C7" s="12">
        <v>190397</v>
      </c>
      <c r="D7" s="12">
        <v>381878</v>
      </c>
      <c r="F7" s="4">
        <f t="shared" si="0"/>
        <v>0</v>
      </c>
    </row>
    <row r="8" spans="1:9" x14ac:dyDescent="0.25">
      <c r="A8" s="3" t="s">
        <v>29</v>
      </c>
      <c r="B8" s="12">
        <v>192191</v>
      </c>
      <c r="C8" s="12">
        <v>182763</v>
      </c>
      <c r="D8" s="12">
        <v>374954</v>
      </c>
      <c r="F8" s="4">
        <f t="shared" si="0"/>
        <v>0</v>
      </c>
    </row>
    <row r="9" spans="1:9" x14ac:dyDescent="0.25">
      <c r="A9" s="3" t="s">
        <v>115</v>
      </c>
      <c r="B9" s="12">
        <v>890484</v>
      </c>
      <c r="C9" s="12">
        <v>835203</v>
      </c>
      <c r="D9" s="12">
        <v>1725687</v>
      </c>
      <c r="F9" s="4">
        <f t="shared" si="0"/>
        <v>0</v>
      </c>
    </row>
    <row r="10" spans="1:9" x14ac:dyDescent="0.25">
      <c r="A10" s="3" t="s">
        <v>116</v>
      </c>
      <c r="B10" s="12">
        <v>686088</v>
      </c>
      <c r="C10" s="12">
        <v>656595</v>
      </c>
      <c r="D10" s="12">
        <v>1342683</v>
      </c>
      <c r="F10" s="4">
        <f t="shared" si="0"/>
        <v>0</v>
      </c>
    </row>
    <row r="11" spans="1:9" x14ac:dyDescent="0.25">
      <c r="A11" s="3" t="s">
        <v>97</v>
      </c>
      <c r="B11" s="12">
        <v>594385</v>
      </c>
      <c r="C11" s="12">
        <v>725053</v>
      </c>
      <c r="D11" s="12">
        <v>1319438</v>
      </c>
      <c r="F11" s="4">
        <f t="shared" si="0"/>
        <v>0</v>
      </c>
    </row>
    <row r="12" spans="1:9" x14ac:dyDescent="0.25">
      <c r="A12" s="3" t="s">
        <v>98</v>
      </c>
      <c r="B12" s="12">
        <v>502893</v>
      </c>
      <c r="C12" s="12">
        <v>565579</v>
      </c>
      <c r="D12" s="12">
        <v>1068472</v>
      </c>
      <c r="F12" s="4">
        <f t="shared" si="0"/>
        <v>0</v>
      </c>
    </row>
    <row r="13" spans="1:9" x14ac:dyDescent="0.25">
      <c r="A13" s="3" t="s">
        <v>99</v>
      </c>
      <c r="B13" s="12">
        <v>590050</v>
      </c>
      <c r="C13" s="12">
        <v>664566</v>
      </c>
      <c r="D13" s="12">
        <v>1254616</v>
      </c>
      <c r="F13" s="4">
        <f t="shared" si="0"/>
        <v>0</v>
      </c>
    </row>
    <row r="14" spans="1:9" x14ac:dyDescent="0.25">
      <c r="A14" s="3" t="s">
        <v>100</v>
      </c>
      <c r="B14" s="12">
        <v>342363</v>
      </c>
      <c r="C14" s="12">
        <v>322093</v>
      </c>
      <c r="D14" s="12">
        <v>664456</v>
      </c>
      <c r="F14" s="4">
        <f t="shared" si="0"/>
        <v>0</v>
      </c>
    </row>
    <row r="15" spans="1:9" x14ac:dyDescent="0.25">
      <c r="A15" s="3" t="s">
        <v>101</v>
      </c>
      <c r="B15" s="12">
        <v>459923</v>
      </c>
      <c r="C15" s="12">
        <v>471960</v>
      </c>
      <c r="D15" s="12">
        <v>931883</v>
      </c>
      <c r="F15" s="4">
        <f t="shared" si="0"/>
        <v>0</v>
      </c>
    </row>
    <row r="16" spans="1:9" x14ac:dyDescent="0.25">
      <c r="A16" s="3" t="s">
        <v>102</v>
      </c>
      <c r="B16" s="12">
        <v>210453</v>
      </c>
      <c r="C16" s="12">
        <v>197859</v>
      </c>
      <c r="D16" s="12">
        <v>408312</v>
      </c>
      <c r="F16" s="4">
        <f t="shared" si="0"/>
        <v>0</v>
      </c>
      <c r="H16" s="10"/>
      <c r="I16" s="10"/>
    </row>
    <row r="17" spans="1:6" x14ac:dyDescent="0.25">
      <c r="A17" s="3" t="s">
        <v>103</v>
      </c>
      <c r="B17" s="12">
        <v>282259</v>
      </c>
      <c r="C17" s="12">
        <v>303959</v>
      </c>
      <c r="D17" s="12">
        <v>586218</v>
      </c>
      <c r="F17" s="4">
        <f t="shared" si="0"/>
        <v>0</v>
      </c>
    </row>
    <row r="18" spans="1:6" x14ac:dyDescent="0.25">
      <c r="A18" s="3" t="s">
        <v>104</v>
      </c>
      <c r="B18" s="12">
        <v>122072</v>
      </c>
      <c r="C18" s="12">
        <v>112213</v>
      </c>
      <c r="D18" s="12">
        <v>234285</v>
      </c>
      <c r="F18" s="4">
        <f t="shared" si="0"/>
        <v>0</v>
      </c>
    </row>
    <row r="19" spans="1:6" x14ac:dyDescent="0.25">
      <c r="A19" s="3" t="s">
        <v>105</v>
      </c>
      <c r="B19" s="12">
        <v>191098</v>
      </c>
      <c r="C19" s="12">
        <v>195181</v>
      </c>
      <c r="D19" s="12">
        <v>386279</v>
      </c>
      <c r="F19" s="4">
        <f t="shared" si="0"/>
        <v>0</v>
      </c>
    </row>
    <row r="20" spans="1:6" x14ac:dyDescent="0.25">
      <c r="A20" s="3" t="s">
        <v>106</v>
      </c>
      <c r="B20" s="12">
        <v>86413</v>
      </c>
      <c r="C20" s="12">
        <v>65737</v>
      </c>
      <c r="D20" s="12">
        <v>152150</v>
      </c>
      <c r="F20" s="4">
        <f t="shared" si="0"/>
        <v>0</v>
      </c>
    </row>
    <row r="21" spans="1:6" x14ac:dyDescent="0.25">
      <c r="A21" s="3" t="s">
        <v>107</v>
      </c>
      <c r="B21" s="12">
        <v>71229</v>
      </c>
      <c r="C21" s="12">
        <v>62344</v>
      </c>
      <c r="D21" s="12">
        <v>133573</v>
      </c>
      <c r="F21" s="4">
        <f t="shared" si="0"/>
        <v>0</v>
      </c>
    </row>
    <row r="22" spans="1:6" x14ac:dyDescent="0.25">
      <c r="A22" s="3" t="s">
        <v>108</v>
      </c>
      <c r="B22" s="12">
        <v>24290</v>
      </c>
      <c r="C22" s="12">
        <v>20055</v>
      </c>
      <c r="D22" s="12">
        <v>44345</v>
      </c>
      <c r="F22" s="4">
        <f t="shared" si="0"/>
        <v>0</v>
      </c>
    </row>
    <row r="23" spans="1:6" x14ac:dyDescent="0.25">
      <c r="A23" s="3" t="s">
        <v>109</v>
      </c>
      <c r="B23" s="12">
        <v>24513</v>
      </c>
      <c r="C23" s="12">
        <v>23791</v>
      </c>
      <c r="D23" s="12">
        <v>48304</v>
      </c>
      <c r="F23" s="4">
        <f t="shared" si="0"/>
        <v>0</v>
      </c>
    </row>
    <row r="24" spans="1:6" x14ac:dyDescent="0.25">
      <c r="A24" s="3" t="s">
        <v>110</v>
      </c>
      <c r="B24" s="12">
        <v>7276</v>
      </c>
      <c r="C24" s="12">
        <v>6575</v>
      </c>
      <c r="D24" s="12">
        <v>13851</v>
      </c>
      <c r="F24" s="4">
        <f t="shared" si="0"/>
        <v>0</v>
      </c>
    </row>
    <row r="25" spans="1:6" x14ac:dyDescent="0.25">
      <c r="A25" s="3" t="s">
        <v>111</v>
      </c>
      <c r="B25" s="12">
        <v>6151</v>
      </c>
      <c r="C25" s="12">
        <v>5910</v>
      </c>
      <c r="D25" s="12">
        <v>12061</v>
      </c>
      <c r="F25" s="4">
        <f t="shared" si="0"/>
        <v>0</v>
      </c>
    </row>
    <row r="26" spans="1:6" x14ac:dyDescent="0.25">
      <c r="A26" s="3" t="s">
        <v>112</v>
      </c>
      <c r="B26" s="12">
        <v>2174</v>
      </c>
      <c r="C26" s="12">
        <v>1935</v>
      </c>
      <c r="D26" s="12">
        <v>4109</v>
      </c>
      <c r="F26" s="4">
        <f t="shared" si="0"/>
        <v>0</v>
      </c>
    </row>
    <row r="27" spans="1:6" x14ac:dyDescent="0.25">
      <c r="A27" s="3" t="s">
        <v>113</v>
      </c>
      <c r="B27" s="12">
        <v>1585</v>
      </c>
      <c r="C27" s="12">
        <v>1616</v>
      </c>
      <c r="D27" s="12">
        <v>3201</v>
      </c>
      <c r="F27" s="4">
        <f t="shared" si="0"/>
        <v>0</v>
      </c>
    </row>
    <row r="28" spans="1:6" x14ac:dyDescent="0.25">
      <c r="A28" s="3" t="s">
        <v>114</v>
      </c>
      <c r="B28" s="12">
        <v>330</v>
      </c>
      <c r="C28" s="12">
        <v>381</v>
      </c>
      <c r="D28" s="12">
        <v>711</v>
      </c>
      <c r="F28" s="4">
        <f t="shared" si="0"/>
        <v>0</v>
      </c>
    </row>
    <row r="29" spans="1:6" x14ac:dyDescent="0.25">
      <c r="A29" s="3" t="s">
        <v>11</v>
      </c>
      <c r="B29" s="12">
        <v>6497</v>
      </c>
      <c r="C29" s="12">
        <v>8112</v>
      </c>
      <c r="D29" s="12">
        <v>14609</v>
      </c>
      <c r="F29" s="4">
        <f t="shared" si="0"/>
        <v>0</v>
      </c>
    </row>
    <row r="30" spans="1:6" x14ac:dyDescent="0.25">
      <c r="A30" s="3" t="s">
        <v>19</v>
      </c>
      <c r="B30" s="13">
        <v>6190311</v>
      </c>
      <c r="C30" s="13">
        <v>6301262</v>
      </c>
      <c r="D30" s="13" t="s">
        <v>117</v>
      </c>
      <c r="F30" s="4">
        <f t="shared" si="0"/>
        <v>0</v>
      </c>
    </row>
    <row r="31" spans="1:6" x14ac:dyDescent="0.25">
      <c r="A31" s="1"/>
    </row>
    <row r="32" spans="1:6" x14ac:dyDescent="0.25">
      <c r="A32" s="1"/>
      <c r="B32" s="4">
        <f>SUM(B4:B29)-B30</f>
        <v>0</v>
      </c>
      <c r="C32" s="4">
        <f>SUM(C4:C29)-C30</f>
        <v>0</v>
      </c>
      <c r="D32" s="4">
        <f>SUM(D4:D29)-D30</f>
        <v>0</v>
      </c>
    </row>
    <row r="33" spans="1:1" x14ac:dyDescent="0.25">
      <c r="A33" s="1"/>
    </row>
    <row r="34" spans="1:1" x14ac:dyDescent="0.25">
      <c r="A34" s="1"/>
    </row>
    <row r="35" spans="1:1" x14ac:dyDescent="0.25">
      <c r="A35" s="1"/>
    </row>
    <row r="36" spans="1:1" x14ac:dyDescent="0.25">
      <c r="A36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6B9A9-7CC0-411B-961E-0E444C9F43AF}">
  <dimension ref="A3:F22"/>
  <sheetViews>
    <sheetView workbookViewId="0">
      <selection activeCell="B3" sqref="B3:D3"/>
    </sheetView>
  </sheetViews>
  <sheetFormatPr defaultRowHeight="15" x14ac:dyDescent="0.25"/>
  <cols>
    <col min="2" max="2" width="13.140625" customWidth="1"/>
    <col min="3" max="3" width="15.5703125" customWidth="1"/>
    <col min="4" max="4" width="13" customWidth="1"/>
  </cols>
  <sheetData>
    <row r="3" spans="1:6" x14ac:dyDescent="0.25">
      <c r="B3" s="2" t="s">
        <v>0</v>
      </c>
      <c r="C3" s="2" t="s">
        <v>1</v>
      </c>
      <c r="D3" s="2" t="s">
        <v>2</v>
      </c>
      <c r="F3" s="2" t="s">
        <v>12</v>
      </c>
    </row>
    <row r="4" spans="1:6" x14ac:dyDescent="0.25">
      <c r="A4" s="2">
        <v>0</v>
      </c>
      <c r="B4" s="4">
        <v>362492</v>
      </c>
      <c r="C4" s="4">
        <v>349709</v>
      </c>
      <c r="D4" s="4">
        <v>712201</v>
      </c>
      <c r="F4" s="4">
        <f>B4+C4-D4</f>
        <v>0</v>
      </c>
    </row>
    <row r="5" spans="1:6" x14ac:dyDescent="0.25">
      <c r="A5" s="3" t="s">
        <v>3</v>
      </c>
      <c r="B5" s="4">
        <v>1755611</v>
      </c>
      <c r="C5" s="4">
        <v>1676903</v>
      </c>
      <c r="D5" s="4">
        <v>3432514</v>
      </c>
      <c r="F5" s="4">
        <f t="shared" ref="F5:F12" si="0">B5+C5-D5</f>
        <v>0</v>
      </c>
    </row>
    <row r="6" spans="1:6" x14ac:dyDescent="0.25">
      <c r="A6" s="3" t="s">
        <v>4</v>
      </c>
      <c r="B6" s="4">
        <v>1408696</v>
      </c>
      <c r="C6" s="4">
        <v>1500517</v>
      </c>
      <c r="D6" s="4">
        <v>2909213</v>
      </c>
      <c r="F6" s="4">
        <f t="shared" si="0"/>
        <v>0</v>
      </c>
    </row>
    <row r="7" spans="1:6" x14ac:dyDescent="0.25">
      <c r="A7" s="3" t="s">
        <v>5</v>
      </c>
      <c r="B7" s="4">
        <v>1178701</v>
      </c>
      <c r="C7" s="4">
        <v>1324952</v>
      </c>
      <c r="D7" s="4">
        <v>2503653</v>
      </c>
      <c r="F7" s="4">
        <f t="shared" si="0"/>
        <v>0</v>
      </c>
    </row>
    <row r="8" spans="1:6" x14ac:dyDescent="0.25">
      <c r="A8" s="3" t="s">
        <v>6</v>
      </c>
      <c r="B8" s="4">
        <v>876884</v>
      </c>
      <c r="C8" s="4">
        <v>873706</v>
      </c>
      <c r="D8" s="4">
        <v>1750590</v>
      </c>
      <c r="F8" s="4">
        <f t="shared" si="0"/>
        <v>0</v>
      </c>
    </row>
    <row r="9" spans="1:6" x14ac:dyDescent="0.25">
      <c r="A9" s="3" t="s">
        <v>7</v>
      </c>
      <c r="B9" s="4">
        <v>562647</v>
      </c>
      <c r="C9" s="4">
        <v>554022</v>
      </c>
      <c r="D9" s="4">
        <v>1116669</v>
      </c>
      <c r="F9" s="4">
        <f t="shared" si="0"/>
        <v>0</v>
      </c>
    </row>
    <row r="10" spans="1:6" x14ac:dyDescent="0.25">
      <c r="A10" s="3" t="s">
        <v>8</v>
      </c>
      <c r="B10" s="4">
        <v>345985</v>
      </c>
      <c r="C10" s="4">
        <v>343134</v>
      </c>
      <c r="D10" s="4">
        <v>689119</v>
      </c>
      <c r="F10" s="4">
        <f t="shared" si="0"/>
        <v>0</v>
      </c>
    </row>
    <row r="11" spans="1:6" x14ac:dyDescent="0.25">
      <c r="A11" s="3" t="s">
        <v>9</v>
      </c>
      <c r="B11" s="4">
        <v>170212</v>
      </c>
      <c r="C11" s="4">
        <v>145175</v>
      </c>
      <c r="D11" s="4">
        <v>315387</v>
      </c>
      <c r="F11" s="4">
        <f t="shared" si="0"/>
        <v>0</v>
      </c>
    </row>
    <row r="12" spans="1:6" x14ac:dyDescent="0.25">
      <c r="A12" s="3" t="s">
        <v>10</v>
      </c>
      <c r="B12" s="4">
        <v>79459</v>
      </c>
      <c r="C12" s="4">
        <v>74026</v>
      </c>
      <c r="D12" s="4">
        <v>153485</v>
      </c>
      <c r="F12" s="4">
        <f t="shared" si="0"/>
        <v>0</v>
      </c>
    </row>
    <row r="13" spans="1:6" x14ac:dyDescent="0.25">
      <c r="A13" s="1"/>
    </row>
    <row r="14" spans="1:6" x14ac:dyDescent="0.25">
      <c r="A14" s="1" t="s">
        <v>19</v>
      </c>
      <c r="B14" s="4">
        <f>SUM(B4:B12)</f>
        <v>6740687</v>
      </c>
      <c r="C14" s="4">
        <f>SUM(C4:C12)</f>
        <v>6842144</v>
      </c>
      <c r="D14" s="4">
        <f>SUM(D4:D12)</f>
        <v>13582831</v>
      </c>
    </row>
    <row r="15" spans="1:6" x14ac:dyDescent="0.25">
      <c r="A15" s="1"/>
    </row>
    <row r="16" spans="1:6" x14ac:dyDescent="0.25">
      <c r="A16" s="1"/>
    </row>
    <row r="17" spans="1:1" x14ac:dyDescent="0.25">
      <c r="A17" s="1"/>
    </row>
    <row r="18" spans="1:1" x14ac:dyDescent="0.25">
      <c r="A18" s="1"/>
    </row>
    <row r="19" spans="1:1" x14ac:dyDescent="0.25">
      <c r="A19" s="1"/>
    </row>
    <row r="20" spans="1:1" x14ac:dyDescent="0.25">
      <c r="A20" s="1"/>
    </row>
    <row r="21" spans="1:1" x14ac:dyDescent="0.25">
      <c r="A21" s="1"/>
    </row>
    <row r="22" spans="1:1" x14ac:dyDescent="0.25">
      <c r="A22" s="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4DA50-C1E5-4EC1-8A12-CB61E6926FFF}">
  <dimension ref="A1:M129"/>
  <sheetViews>
    <sheetView workbookViewId="0">
      <selection activeCell="H78" sqref="H78"/>
    </sheetView>
  </sheetViews>
  <sheetFormatPr defaultRowHeight="15" x14ac:dyDescent="0.25"/>
  <cols>
    <col min="2" max="2" width="17" customWidth="1"/>
    <col min="3" max="3" width="12.7109375" customWidth="1"/>
    <col min="4" max="4" width="7.140625" customWidth="1"/>
    <col min="5" max="5" width="8.28515625" customWidth="1"/>
    <col min="6" max="6" width="11.28515625" customWidth="1"/>
    <col min="7" max="7" width="16.5703125" customWidth="1"/>
    <col min="8" max="8" width="10.28515625" bestFit="1" customWidth="1"/>
    <col min="9" max="9" width="10.140625" bestFit="1" customWidth="1"/>
  </cols>
  <sheetData>
    <row r="1" spans="1:13" x14ac:dyDescent="0.25">
      <c r="B1" s="6" t="s">
        <v>80</v>
      </c>
      <c r="C1" s="6"/>
      <c r="D1" s="7"/>
      <c r="E1" s="7"/>
      <c r="H1" s="6" t="s">
        <v>81</v>
      </c>
      <c r="I1" s="6"/>
    </row>
    <row r="3" spans="1:13" x14ac:dyDescent="0.25">
      <c r="A3" s="7" t="s">
        <v>18</v>
      </c>
      <c r="B3" s="7" t="s">
        <v>0</v>
      </c>
      <c r="C3" s="7" t="s">
        <v>1</v>
      </c>
      <c r="D3" s="7"/>
      <c r="E3" s="6" t="s">
        <v>12</v>
      </c>
      <c r="F3" s="6"/>
      <c r="H3" s="7" t="s">
        <v>0</v>
      </c>
      <c r="I3" s="7" t="s">
        <v>1</v>
      </c>
      <c r="K3" s="6" t="s">
        <v>12</v>
      </c>
      <c r="L3" s="6"/>
    </row>
    <row r="4" spans="1:13" x14ac:dyDescent="0.25">
      <c r="A4" s="3">
        <v>0</v>
      </c>
      <c r="B4" s="4">
        <v>1696639</v>
      </c>
      <c r="C4" s="8">
        <v>1691019</v>
      </c>
      <c r="D4" s="8"/>
      <c r="E4" s="8"/>
      <c r="F4" s="4"/>
      <c r="G4" s="4"/>
      <c r="H4" s="8">
        <v>102946</v>
      </c>
      <c r="I4" s="8">
        <v>101930</v>
      </c>
      <c r="J4" s="4"/>
      <c r="K4" s="4"/>
      <c r="L4" s="4"/>
      <c r="M4" s="4"/>
    </row>
    <row r="5" spans="1:13" x14ac:dyDescent="0.25">
      <c r="A5" s="3" t="s">
        <v>25</v>
      </c>
      <c r="B5" s="4">
        <v>1355265</v>
      </c>
      <c r="C5" s="8">
        <v>1373391</v>
      </c>
      <c r="D5" s="8"/>
      <c r="E5" s="8"/>
      <c r="F5" s="4"/>
      <c r="G5" s="4"/>
      <c r="H5" s="8">
        <v>75319</v>
      </c>
      <c r="I5" s="8">
        <v>76657</v>
      </c>
      <c r="J5" s="4"/>
      <c r="K5" s="4"/>
      <c r="L5" s="4"/>
      <c r="M5" s="4"/>
    </row>
    <row r="6" spans="1:13" x14ac:dyDescent="0.25">
      <c r="A6" s="3" t="s">
        <v>26</v>
      </c>
      <c r="B6" s="4">
        <v>1372943</v>
      </c>
      <c r="C6" s="8">
        <v>1381997</v>
      </c>
      <c r="D6" s="8"/>
      <c r="E6" s="8"/>
      <c r="F6" s="4"/>
      <c r="G6" s="4"/>
      <c r="H6" s="8">
        <v>77487</v>
      </c>
      <c r="I6" s="8">
        <v>78860</v>
      </c>
      <c r="J6" s="4"/>
      <c r="K6" s="4"/>
      <c r="L6" s="4"/>
      <c r="M6" s="4"/>
    </row>
    <row r="7" spans="1:13" x14ac:dyDescent="0.25">
      <c r="A7" s="3" t="s">
        <v>27</v>
      </c>
      <c r="B7" s="4">
        <v>1347969</v>
      </c>
      <c r="C7" s="8">
        <v>1365241</v>
      </c>
      <c r="D7" s="8"/>
      <c r="E7" s="8"/>
      <c r="F7" s="4"/>
      <c r="G7" s="4"/>
      <c r="H7" s="8">
        <v>80165</v>
      </c>
      <c r="I7" s="8">
        <v>82876</v>
      </c>
      <c r="J7" s="4"/>
      <c r="K7" s="4"/>
      <c r="L7" s="4"/>
      <c r="M7" s="4"/>
    </row>
    <row r="8" spans="1:13" x14ac:dyDescent="0.25">
      <c r="A8" s="3" t="s">
        <v>28</v>
      </c>
      <c r="B8" s="4">
        <v>1257445</v>
      </c>
      <c r="C8" s="8">
        <v>1287984</v>
      </c>
      <c r="D8" s="8"/>
      <c r="E8" s="8"/>
      <c r="F8" s="4"/>
      <c r="G8" s="4"/>
      <c r="H8" s="8">
        <v>73849</v>
      </c>
      <c r="I8" s="8">
        <v>75892</v>
      </c>
      <c r="J8" s="4"/>
      <c r="K8" s="4"/>
      <c r="L8" s="4"/>
      <c r="M8" s="4"/>
    </row>
    <row r="9" spans="1:13" x14ac:dyDescent="0.25">
      <c r="A9" s="3" t="s">
        <v>29</v>
      </c>
      <c r="B9" s="4">
        <v>1185013</v>
      </c>
      <c r="C9" s="8">
        <v>1200875</v>
      </c>
      <c r="D9" s="8"/>
      <c r="E9" s="8"/>
      <c r="F9" s="4"/>
      <c r="G9" s="4"/>
      <c r="H9" s="8">
        <v>68517</v>
      </c>
      <c r="I9" s="8">
        <v>68509</v>
      </c>
      <c r="J9" s="4"/>
      <c r="K9" s="4"/>
      <c r="L9" s="4"/>
      <c r="M9" s="4"/>
    </row>
    <row r="10" spans="1:13" x14ac:dyDescent="0.25">
      <c r="A10" s="3" t="s">
        <v>30</v>
      </c>
      <c r="B10" s="4">
        <v>1163049</v>
      </c>
      <c r="C10" s="8">
        <v>1177832</v>
      </c>
      <c r="D10" s="8"/>
      <c r="E10" s="8"/>
      <c r="F10" s="4"/>
      <c r="G10" s="4"/>
      <c r="H10" s="8">
        <v>69146</v>
      </c>
      <c r="I10" s="8">
        <v>70049</v>
      </c>
      <c r="J10" s="4"/>
      <c r="K10" s="4"/>
      <c r="L10" s="4"/>
      <c r="M10" s="4"/>
    </row>
    <row r="11" spans="1:13" x14ac:dyDescent="0.25">
      <c r="A11" s="3" t="s">
        <v>31</v>
      </c>
      <c r="B11" s="4">
        <v>1111074</v>
      </c>
      <c r="C11" s="8">
        <v>1153694</v>
      </c>
      <c r="D11" s="8"/>
      <c r="E11" s="8"/>
      <c r="F11" s="4"/>
      <c r="G11" s="4"/>
      <c r="H11" s="8">
        <v>68118</v>
      </c>
      <c r="I11" s="8">
        <v>69314</v>
      </c>
      <c r="J11" s="4"/>
      <c r="K11" s="4"/>
      <c r="L11" s="4"/>
      <c r="M11" s="4"/>
    </row>
    <row r="12" spans="1:13" x14ac:dyDescent="0.25">
      <c r="A12" s="3" t="s">
        <v>32</v>
      </c>
      <c r="B12" s="4">
        <v>1148195</v>
      </c>
      <c r="C12" s="8">
        <v>1167479</v>
      </c>
      <c r="D12" s="8"/>
      <c r="E12" s="8"/>
      <c r="F12" s="4"/>
      <c r="G12" s="4"/>
      <c r="H12" s="8">
        <v>67383</v>
      </c>
      <c r="I12" s="8">
        <v>67548</v>
      </c>
      <c r="J12" s="4"/>
      <c r="K12" s="4"/>
      <c r="L12" s="4"/>
      <c r="M12" s="4"/>
    </row>
    <row r="13" spans="1:13" x14ac:dyDescent="0.25">
      <c r="A13" s="3" t="s">
        <v>33</v>
      </c>
      <c r="B13" s="4">
        <v>1035579</v>
      </c>
      <c r="C13" s="8">
        <v>1034521</v>
      </c>
      <c r="D13" s="8"/>
      <c r="E13" s="8"/>
      <c r="F13" s="4"/>
      <c r="G13" s="4"/>
      <c r="H13" s="8">
        <v>60055</v>
      </c>
      <c r="I13" s="8">
        <v>59476</v>
      </c>
      <c r="J13" s="4"/>
      <c r="K13" s="4"/>
      <c r="L13" s="4"/>
      <c r="M13" s="4"/>
    </row>
    <row r="14" spans="1:13" x14ac:dyDescent="0.25">
      <c r="A14" s="3" t="s">
        <v>3</v>
      </c>
      <c r="B14" s="4">
        <v>10976532</v>
      </c>
      <c r="C14" s="8">
        <v>11143014</v>
      </c>
      <c r="D14" s="8"/>
      <c r="E14" s="8">
        <f>SUM(B5:B13)-B14</f>
        <v>0</v>
      </c>
      <c r="F14" s="8">
        <f>SUM(C5:C13)-C14</f>
        <v>0</v>
      </c>
      <c r="G14" s="8"/>
      <c r="H14" s="8">
        <v>640039</v>
      </c>
      <c r="I14" s="8">
        <v>649181</v>
      </c>
      <c r="J14" s="4"/>
      <c r="K14" s="8">
        <f>SUM(H5:H13)-H14</f>
        <v>0</v>
      </c>
      <c r="L14" s="8">
        <f>SUM(I5:I13)-I14</f>
        <v>0</v>
      </c>
      <c r="M14" s="4"/>
    </row>
    <row r="15" spans="1:13" x14ac:dyDescent="0.25">
      <c r="A15" s="3" t="s">
        <v>34</v>
      </c>
      <c r="B15" s="4">
        <v>1139461</v>
      </c>
      <c r="C15" s="8">
        <v>1151719</v>
      </c>
      <c r="D15" s="8"/>
      <c r="E15" s="8"/>
      <c r="F15" s="4"/>
      <c r="G15" s="4"/>
      <c r="H15" s="8">
        <v>64617</v>
      </c>
      <c r="I15" s="8">
        <v>63636</v>
      </c>
      <c r="J15" s="4"/>
      <c r="K15" s="4"/>
      <c r="L15" s="4"/>
      <c r="M15" s="4"/>
    </row>
    <row r="16" spans="1:13" x14ac:dyDescent="0.25">
      <c r="A16" s="3" t="s">
        <v>35</v>
      </c>
      <c r="B16" s="4">
        <v>925573</v>
      </c>
      <c r="C16" s="8">
        <v>914121</v>
      </c>
      <c r="D16" s="8"/>
      <c r="E16" s="8"/>
      <c r="F16" s="4"/>
      <c r="G16" s="4"/>
      <c r="H16" s="8">
        <v>56360</v>
      </c>
      <c r="I16" s="8">
        <v>55103</v>
      </c>
      <c r="J16" s="4"/>
      <c r="K16" s="4"/>
      <c r="L16" s="4"/>
      <c r="M16" s="4"/>
    </row>
    <row r="17" spans="1:13" x14ac:dyDescent="0.25">
      <c r="A17" s="3" t="s">
        <v>36</v>
      </c>
      <c r="B17" s="4">
        <v>1208197</v>
      </c>
      <c r="C17" s="8">
        <v>1214158</v>
      </c>
      <c r="D17" s="8"/>
      <c r="E17" s="8"/>
      <c r="F17" s="4"/>
      <c r="G17" s="4"/>
      <c r="H17" s="8">
        <v>68110</v>
      </c>
      <c r="I17" s="8">
        <v>66909</v>
      </c>
      <c r="J17" s="4"/>
      <c r="K17" s="4"/>
      <c r="L17" s="4"/>
      <c r="M17" s="4"/>
    </row>
    <row r="18" spans="1:13" x14ac:dyDescent="0.25">
      <c r="A18" s="3" t="s">
        <v>37</v>
      </c>
      <c r="B18" s="4">
        <v>993623</v>
      </c>
      <c r="C18" s="8">
        <v>1001076</v>
      </c>
      <c r="D18" s="8"/>
      <c r="E18" s="8"/>
      <c r="F18" s="4"/>
      <c r="G18" s="4"/>
      <c r="H18" s="8">
        <v>59084</v>
      </c>
      <c r="I18" s="8">
        <v>57823</v>
      </c>
      <c r="J18" s="4"/>
      <c r="K18" s="4"/>
      <c r="L18" s="4"/>
      <c r="M18" s="4"/>
    </row>
    <row r="19" spans="1:13" x14ac:dyDescent="0.25">
      <c r="A19" s="3" t="s">
        <v>38</v>
      </c>
      <c r="B19" s="4">
        <v>965771</v>
      </c>
      <c r="C19" s="8">
        <v>991005</v>
      </c>
      <c r="D19" s="8"/>
      <c r="E19" s="8"/>
      <c r="F19" s="4"/>
      <c r="G19" s="4"/>
      <c r="H19" s="8">
        <v>58175</v>
      </c>
      <c r="I19" s="8">
        <v>58043</v>
      </c>
      <c r="J19" s="4"/>
      <c r="K19" s="4"/>
      <c r="L19" s="4"/>
      <c r="M19" s="4"/>
    </row>
    <row r="20" spans="1:13" x14ac:dyDescent="0.25">
      <c r="A20" s="3" t="s">
        <v>39</v>
      </c>
      <c r="B20" s="4">
        <v>936067</v>
      </c>
      <c r="C20" s="8">
        <v>965617</v>
      </c>
      <c r="D20" s="8"/>
      <c r="E20" s="8"/>
      <c r="F20" s="4"/>
      <c r="G20" s="4"/>
      <c r="H20" s="8">
        <v>56770</v>
      </c>
      <c r="I20" s="8">
        <v>56425</v>
      </c>
      <c r="J20" s="4"/>
      <c r="K20" s="4"/>
      <c r="L20" s="4"/>
      <c r="M20" s="4"/>
    </row>
    <row r="21" spans="1:13" x14ac:dyDescent="0.25">
      <c r="A21" s="3" t="s">
        <v>40</v>
      </c>
      <c r="B21" s="4">
        <v>929092</v>
      </c>
      <c r="C21" s="8">
        <v>1036199</v>
      </c>
      <c r="D21" s="8"/>
      <c r="E21" s="8"/>
      <c r="F21" s="4"/>
      <c r="G21" s="4"/>
      <c r="H21" s="8">
        <v>55520</v>
      </c>
      <c r="I21" s="8">
        <v>58672</v>
      </c>
      <c r="J21" s="4"/>
      <c r="K21" s="4"/>
      <c r="L21" s="4"/>
      <c r="M21" s="4"/>
    </row>
    <row r="22" spans="1:13" x14ac:dyDescent="0.25">
      <c r="A22" s="3" t="s">
        <v>41</v>
      </c>
      <c r="B22" s="4">
        <v>923880</v>
      </c>
      <c r="C22" s="8">
        <v>1039885</v>
      </c>
      <c r="D22" s="8"/>
      <c r="E22" s="8"/>
      <c r="F22" s="4"/>
      <c r="G22" s="4"/>
      <c r="H22" s="8">
        <v>54749</v>
      </c>
      <c r="I22" s="8">
        <v>58575</v>
      </c>
      <c r="J22" s="4"/>
      <c r="K22" s="4"/>
      <c r="L22" s="4"/>
      <c r="M22" s="4"/>
    </row>
    <row r="23" spans="1:13" x14ac:dyDescent="0.25">
      <c r="A23" s="3" t="s">
        <v>42</v>
      </c>
      <c r="B23" s="4">
        <v>942665</v>
      </c>
      <c r="C23" s="8">
        <v>1034438</v>
      </c>
      <c r="D23" s="8"/>
      <c r="E23" s="8"/>
      <c r="F23" s="4"/>
      <c r="G23" s="4"/>
      <c r="H23" s="8">
        <v>56058</v>
      </c>
      <c r="I23" s="8">
        <v>54912</v>
      </c>
      <c r="J23" s="4"/>
      <c r="K23" s="4"/>
      <c r="L23" s="4"/>
      <c r="M23" s="4"/>
    </row>
    <row r="24" spans="1:13" x14ac:dyDescent="0.25">
      <c r="A24" s="3" t="s">
        <v>43</v>
      </c>
      <c r="B24" s="4">
        <v>798772</v>
      </c>
      <c r="C24" s="8">
        <v>848781</v>
      </c>
      <c r="D24" s="8"/>
      <c r="E24" s="8"/>
      <c r="F24" s="4"/>
      <c r="G24" s="4"/>
      <c r="H24" s="8">
        <v>49429</v>
      </c>
      <c r="I24" s="8">
        <v>48707</v>
      </c>
      <c r="J24" s="4"/>
      <c r="K24" s="4"/>
      <c r="L24" s="4"/>
      <c r="M24" s="4"/>
    </row>
    <row r="25" spans="1:13" x14ac:dyDescent="0.25">
      <c r="A25" s="3" t="s">
        <v>4</v>
      </c>
      <c r="B25" s="4">
        <v>9763101</v>
      </c>
      <c r="C25" s="8">
        <v>10196999</v>
      </c>
      <c r="D25" s="8"/>
      <c r="E25" s="8">
        <f>SUM(B15:B24)-B25</f>
        <v>0</v>
      </c>
      <c r="F25" s="8">
        <f>SUM(C15:C24)-C25</f>
        <v>0</v>
      </c>
      <c r="G25" s="8"/>
      <c r="H25" s="8">
        <v>578872</v>
      </c>
      <c r="I25" s="8">
        <v>578805</v>
      </c>
      <c r="J25" s="4"/>
      <c r="K25" s="8">
        <f>SUM(H15:H24)-H25</f>
        <v>0</v>
      </c>
      <c r="L25" s="8">
        <f>SUM(I15:I24)-I25</f>
        <v>0</v>
      </c>
      <c r="M25" s="4"/>
    </row>
    <row r="26" spans="1:13" x14ac:dyDescent="0.25">
      <c r="A26" s="3" t="s">
        <v>44</v>
      </c>
      <c r="B26" s="4">
        <v>824970</v>
      </c>
      <c r="C26" s="8">
        <v>1132162</v>
      </c>
      <c r="D26" s="8"/>
      <c r="E26" s="8"/>
      <c r="F26" s="4"/>
      <c r="G26" s="4"/>
      <c r="H26" s="8">
        <v>54194</v>
      </c>
      <c r="I26" s="8">
        <v>59880</v>
      </c>
      <c r="J26" s="4"/>
      <c r="K26" s="4"/>
      <c r="L26" s="4"/>
      <c r="M26" s="4"/>
    </row>
    <row r="27" spans="1:13" x14ac:dyDescent="0.25">
      <c r="A27" s="3" t="s">
        <v>45</v>
      </c>
      <c r="B27" s="4">
        <v>753475</v>
      </c>
      <c r="C27" s="8">
        <v>598088</v>
      </c>
      <c r="D27" s="8"/>
      <c r="E27" s="8"/>
      <c r="F27" s="4"/>
      <c r="G27" s="4"/>
      <c r="H27" s="8">
        <v>46704</v>
      </c>
      <c r="I27" s="8">
        <v>38721</v>
      </c>
      <c r="J27" s="4"/>
      <c r="K27" s="4"/>
      <c r="L27" s="4"/>
      <c r="M27" s="4"/>
    </row>
    <row r="28" spans="1:13" x14ac:dyDescent="0.25">
      <c r="A28" s="3" t="s">
        <v>46</v>
      </c>
      <c r="B28" s="4">
        <v>806863</v>
      </c>
      <c r="C28" s="8">
        <v>836333</v>
      </c>
      <c r="D28" s="8"/>
      <c r="E28" s="8"/>
      <c r="F28" s="4"/>
      <c r="G28" s="4"/>
      <c r="H28" s="8">
        <v>56824</v>
      </c>
      <c r="I28" s="8">
        <v>49195</v>
      </c>
      <c r="J28" s="4"/>
      <c r="K28" s="4"/>
      <c r="L28" s="4"/>
      <c r="M28" s="4"/>
    </row>
    <row r="29" spans="1:13" x14ac:dyDescent="0.25">
      <c r="A29" s="3" t="s">
        <v>47</v>
      </c>
      <c r="B29" s="4">
        <v>742533</v>
      </c>
      <c r="C29" s="8">
        <v>780534</v>
      </c>
      <c r="D29" s="8"/>
      <c r="E29" s="8"/>
      <c r="F29" s="4"/>
      <c r="G29" s="4"/>
      <c r="H29" s="8">
        <v>49281</v>
      </c>
      <c r="I29" s="8">
        <v>45296</v>
      </c>
      <c r="J29" s="4"/>
      <c r="K29" s="4"/>
      <c r="L29" s="4"/>
      <c r="M29" s="4"/>
    </row>
    <row r="30" spans="1:13" x14ac:dyDescent="0.25">
      <c r="A30" s="3" t="s">
        <v>48</v>
      </c>
      <c r="B30" s="4">
        <v>645241</v>
      </c>
      <c r="C30" s="8">
        <v>680194</v>
      </c>
      <c r="D30" s="8"/>
      <c r="E30" s="8"/>
      <c r="F30" s="4"/>
      <c r="G30" s="4"/>
      <c r="H30" s="8">
        <v>45491</v>
      </c>
      <c r="I30" s="8">
        <v>40022</v>
      </c>
      <c r="J30" s="4"/>
      <c r="K30" s="4"/>
      <c r="L30" s="4"/>
      <c r="M30" s="4"/>
    </row>
    <row r="31" spans="1:13" x14ac:dyDescent="0.25">
      <c r="A31" s="3" t="s">
        <v>49</v>
      </c>
      <c r="B31" s="4">
        <v>741966</v>
      </c>
      <c r="C31" s="8">
        <v>1018833</v>
      </c>
      <c r="D31" s="8"/>
      <c r="E31" s="8"/>
      <c r="F31" s="4"/>
      <c r="G31" s="4"/>
      <c r="H31" s="8">
        <v>53148</v>
      </c>
      <c r="I31" s="8">
        <v>54036</v>
      </c>
      <c r="J31" s="4"/>
      <c r="K31" s="4"/>
      <c r="L31" s="4"/>
      <c r="M31" s="4"/>
    </row>
    <row r="32" spans="1:13" x14ac:dyDescent="0.25">
      <c r="A32" s="3" t="s">
        <v>50</v>
      </c>
      <c r="B32" s="4">
        <v>703248</v>
      </c>
      <c r="C32" s="8">
        <v>686783</v>
      </c>
      <c r="D32" s="8"/>
      <c r="E32" s="8"/>
      <c r="F32" s="4"/>
      <c r="G32" s="4"/>
      <c r="H32" s="8">
        <v>45214</v>
      </c>
      <c r="I32" s="8">
        <v>40690</v>
      </c>
      <c r="J32" s="4"/>
      <c r="K32" s="4"/>
      <c r="L32" s="4"/>
      <c r="M32" s="4"/>
    </row>
    <row r="33" spans="1:13" x14ac:dyDescent="0.25">
      <c r="A33" s="3" t="s">
        <v>51</v>
      </c>
      <c r="B33" s="4">
        <v>737207</v>
      </c>
      <c r="C33" s="8">
        <v>716992</v>
      </c>
      <c r="D33" s="8"/>
      <c r="E33" s="8"/>
      <c r="F33" s="4"/>
      <c r="G33" s="4"/>
      <c r="H33" s="8">
        <v>48727</v>
      </c>
      <c r="I33" s="8">
        <v>43812</v>
      </c>
      <c r="J33" s="4"/>
      <c r="K33" s="4"/>
      <c r="L33" s="4"/>
      <c r="M33" s="4"/>
    </row>
    <row r="34" spans="1:13" x14ac:dyDescent="0.25">
      <c r="A34" s="3" t="s">
        <v>52</v>
      </c>
      <c r="B34" s="4">
        <v>737482</v>
      </c>
      <c r="C34" s="8">
        <v>766016</v>
      </c>
      <c r="D34" s="8"/>
      <c r="E34" s="8"/>
      <c r="F34" s="4"/>
      <c r="G34" s="4"/>
      <c r="H34" s="8">
        <v>47532</v>
      </c>
      <c r="I34" s="8">
        <v>41722</v>
      </c>
      <c r="J34" s="4"/>
      <c r="K34" s="4"/>
      <c r="L34" s="4"/>
      <c r="M34" s="4"/>
    </row>
    <row r="35" spans="1:13" x14ac:dyDescent="0.25">
      <c r="A35" s="3" t="s">
        <v>53</v>
      </c>
      <c r="B35" s="4">
        <v>473199</v>
      </c>
      <c r="C35" s="8">
        <v>413701</v>
      </c>
      <c r="D35" s="8"/>
      <c r="E35" s="8"/>
      <c r="F35" s="4"/>
      <c r="G35" s="4"/>
      <c r="H35" s="8">
        <v>31802</v>
      </c>
      <c r="I35" s="8">
        <v>25588</v>
      </c>
      <c r="J35" s="4"/>
      <c r="K35" s="4"/>
      <c r="L35" s="4"/>
      <c r="M35" s="4"/>
    </row>
    <row r="36" spans="1:13" x14ac:dyDescent="0.25">
      <c r="A36" s="3" t="s">
        <v>5</v>
      </c>
      <c r="B36" s="4">
        <v>7166184</v>
      </c>
      <c r="C36" s="8">
        <v>7629636</v>
      </c>
      <c r="D36" s="8"/>
      <c r="E36" s="8">
        <f>SUM(B26:B35)-B36</f>
        <v>0</v>
      </c>
      <c r="F36" s="8">
        <f>SUM(C26:C35)-C36</f>
        <v>0</v>
      </c>
      <c r="G36" s="8"/>
      <c r="H36" s="8">
        <v>478917</v>
      </c>
      <c r="I36" s="8">
        <v>438962</v>
      </c>
      <c r="J36" s="4"/>
      <c r="K36" s="8">
        <f>SUM(H26:H35)-H36</f>
        <v>0</v>
      </c>
      <c r="L36" s="8">
        <f>SUM(I26:I35)-I36</f>
        <v>0</v>
      </c>
      <c r="M36" s="4"/>
    </row>
    <row r="37" spans="1:13" x14ac:dyDescent="0.25">
      <c r="A37" s="3" t="s">
        <v>54</v>
      </c>
      <c r="B37" s="4">
        <v>993418</v>
      </c>
      <c r="C37" s="8">
        <v>1310719</v>
      </c>
      <c r="D37" s="8"/>
      <c r="E37" s="8"/>
      <c r="F37" s="4"/>
      <c r="G37" s="4"/>
      <c r="H37" s="8">
        <v>62276</v>
      </c>
      <c r="I37" s="8">
        <v>66080</v>
      </c>
      <c r="J37" s="4"/>
      <c r="K37" s="4"/>
      <c r="L37" s="4"/>
      <c r="M37" s="4"/>
    </row>
    <row r="38" spans="1:13" x14ac:dyDescent="0.25">
      <c r="A38" s="3" t="s">
        <v>55</v>
      </c>
      <c r="B38" s="4">
        <v>375701</v>
      </c>
      <c r="C38" s="8">
        <v>319260</v>
      </c>
      <c r="D38" s="8"/>
      <c r="E38" s="8"/>
      <c r="F38" s="4"/>
      <c r="G38" s="4"/>
      <c r="H38" s="8">
        <v>26016</v>
      </c>
      <c r="I38" s="8">
        <v>20566</v>
      </c>
      <c r="J38" s="4"/>
      <c r="K38" s="4"/>
      <c r="L38" s="4"/>
      <c r="M38" s="4"/>
    </row>
    <row r="39" spans="1:13" x14ac:dyDescent="0.25">
      <c r="A39" s="3" t="s">
        <v>56</v>
      </c>
      <c r="B39" s="4">
        <v>565468</v>
      </c>
      <c r="C39" s="8">
        <v>549253</v>
      </c>
      <c r="D39" s="8"/>
      <c r="E39" s="8"/>
      <c r="F39" s="4"/>
      <c r="G39" s="4"/>
      <c r="H39" s="8">
        <v>37293</v>
      </c>
      <c r="I39" s="8">
        <v>32042</v>
      </c>
      <c r="J39" s="4"/>
      <c r="K39" s="4"/>
      <c r="L39" s="4"/>
      <c r="M39" s="4"/>
    </row>
    <row r="40" spans="1:13" x14ac:dyDescent="0.25">
      <c r="A40" s="3" t="s">
        <v>57</v>
      </c>
      <c r="B40" s="4">
        <v>537927</v>
      </c>
      <c r="C40" s="8">
        <v>497069</v>
      </c>
      <c r="D40" s="8"/>
      <c r="E40" s="8"/>
      <c r="F40" s="4"/>
      <c r="G40" s="4"/>
      <c r="H40" s="8">
        <v>35986</v>
      </c>
      <c r="I40" s="8">
        <v>30630</v>
      </c>
      <c r="J40" s="4"/>
      <c r="K40" s="4"/>
      <c r="L40" s="4"/>
      <c r="M40" s="4"/>
    </row>
    <row r="41" spans="1:13" x14ac:dyDescent="0.25">
      <c r="A41" s="3" t="s">
        <v>58</v>
      </c>
      <c r="B41" s="4">
        <v>403960</v>
      </c>
      <c r="C41" s="8">
        <v>412742</v>
      </c>
      <c r="D41" s="8"/>
      <c r="E41" s="8"/>
      <c r="F41" s="4"/>
      <c r="G41" s="4"/>
      <c r="H41" s="8">
        <v>28000</v>
      </c>
      <c r="I41" s="8">
        <v>25044</v>
      </c>
      <c r="J41" s="4"/>
      <c r="K41" s="4"/>
      <c r="L41" s="4"/>
      <c r="M41" s="4"/>
    </row>
    <row r="42" spans="1:13" x14ac:dyDescent="0.25">
      <c r="A42" s="3" t="s">
        <v>59</v>
      </c>
      <c r="B42" s="4">
        <v>762283</v>
      </c>
      <c r="C42" s="8">
        <v>903607</v>
      </c>
      <c r="D42" s="8"/>
      <c r="E42" s="8"/>
      <c r="F42" s="4"/>
      <c r="G42" s="4"/>
      <c r="H42" s="8">
        <v>51137</v>
      </c>
      <c r="I42" s="8">
        <v>48731</v>
      </c>
      <c r="J42" s="4"/>
      <c r="K42" s="4"/>
      <c r="L42" s="4"/>
      <c r="M42" s="4"/>
    </row>
    <row r="43" spans="1:13" x14ac:dyDescent="0.25">
      <c r="A43" s="3" t="s">
        <v>60</v>
      </c>
      <c r="B43" s="4">
        <v>532233</v>
      </c>
      <c r="C43" s="8">
        <v>511406</v>
      </c>
      <c r="D43" s="8"/>
      <c r="E43" s="8"/>
      <c r="F43" s="4"/>
      <c r="G43" s="4"/>
      <c r="H43" s="8">
        <v>38465</v>
      </c>
      <c r="I43" s="8">
        <v>32346</v>
      </c>
      <c r="J43" s="4"/>
      <c r="K43" s="4"/>
      <c r="L43" s="4"/>
      <c r="M43" s="4"/>
    </row>
    <row r="44" spans="1:13" x14ac:dyDescent="0.25">
      <c r="A44" s="3" t="s">
        <v>61</v>
      </c>
      <c r="B44" s="4">
        <v>544070</v>
      </c>
      <c r="C44" s="8">
        <v>507837</v>
      </c>
      <c r="D44" s="8"/>
      <c r="E44" s="8"/>
      <c r="F44" s="4"/>
      <c r="G44" s="4"/>
      <c r="H44" s="8">
        <v>40616</v>
      </c>
      <c r="I44" s="8">
        <v>34775</v>
      </c>
      <c r="J44" s="4"/>
      <c r="K44" s="4"/>
      <c r="L44" s="4"/>
      <c r="M44" s="4"/>
    </row>
    <row r="45" spans="1:13" x14ac:dyDescent="0.25">
      <c r="A45" s="3" t="s">
        <v>62</v>
      </c>
      <c r="B45" s="4">
        <v>590814</v>
      </c>
      <c r="C45" s="8">
        <v>571083</v>
      </c>
      <c r="D45" s="8"/>
      <c r="E45" s="8"/>
      <c r="F45" s="4"/>
      <c r="G45" s="4"/>
      <c r="H45" s="8">
        <v>41719</v>
      </c>
      <c r="I45" s="8">
        <v>34483</v>
      </c>
      <c r="J45" s="4"/>
      <c r="K45" s="4"/>
      <c r="L45" s="4"/>
      <c r="M45" s="4"/>
    </row>
    <row r="46" spans="1:13" x14ac:dyDescent="0.25">
      <c r="A46" s="3" t="s">
        <v>63</v>
      </c>
      <c r="B46" s="4">
        <v>371801</v>
      </c>
      <c r="C46" s="8">
        <v>319225</v>
      </c>
      <c r="D46" s="8"/>
      <c r="E46" s="8"/>
      <c r="F46" s="4"/>
      <c r="G46" s="4"/>
      <c r="H46" s="8">
        <v>27984</v>
      </c>
      <c r="I46" s="8">
        <v>21403</v>
      </c>
      <c r="J46" s="4"/>
      <c r="K46" s="4"/>
      <c r="L46" s="4"/>
      <c r="M46" s="4"/>
    </row>
    <row r="47" spans="1:13" x14ac:dyDescent="0.25">
      <c r="A47" s="3" t="s">
        <v>6</v>
      </c>
      <c r="B47" s="4">
        <v>5677675</v>
      </c>
      <c r="C47" s="8">
        <v>5902201</v>
      </c>
      <c r="D47" s="8"/>
      <c r="E47" s="8">
        <f>SUM(B37:B46)-B47</f>
        <v>0</v>
      </c>
      <c r="F47" s="8">
        <f>SUM(C37:C46)-C47</f>
        <v>0</v>
      </c>
      <c r="G47" s="8"/>
      <c r="H47" s="8">
        <v>389492</v>
      </c>
      <c r="I47" s="8">
        <v>346100</v>
      </c>
      <c r="J47" s="4"/>
      <c r="K47" s="8">
        <f>SUM(H37:H46)-H47</f>
        <v>0</v>
      </c>
      <c r="L47" s="8">
        <f>SUM(I37:I46)-I47</f>
        <v>0</v>
      </c>
      <c r="M47" s="4"/>
    </row>
    <row r="48" spans="1:13" x14ac:dyDescent="0.25">
      <c r="A48" s="3" t="s">
        <v>64</v>
      </c>
      <c r="B48" s="4">
        <v>845897</v>
      </c>
      <c r="C48" s="8">
        <v>1137285</v>
      </c>
      <c r="D48" s="8"/>
      <c r="E48" s="8"/>
      <c r="F48" s="4"/>
      <c r="G48" s="4"/>
      <c r="H48" s="8">
        <v>59608</v>
      </c>
      <c r="I48" s="8">
        <v>61859</v>
      </c>
      <c r="J48" s="4"/>
      <c r="K48" s="4"/>
      <c r="L48" s="4"/>
      <c r="M48" s="4"/>
    </row>
    <row r="49" spans="1:13" x14ac:dyDescent="0.25">
      <c r="A49" s="3" t="s">
        <v>65</v>
      </c>
      <c r="B49" s="4">
        <v>285755</v>
      </c>
      <c r="C49" s="8">
        <v>239131</v>
      </c>
      <c r="D49" s="8"/>
      <c r="E49" s="8"/>
      <c r="F49" s="4"/>
      <c r="G49" s="4"/>
      <c r="H49" s="8">
        <v>22314</v>
      </c>
      <c r="I49" s="8">
        <v>17053</v>
      </c>
      <c r="J49" s="4"/>
      <c r="K49" s="4"/>
      <c r="L49" s="4"/>
      <c r="M49" s="4"/>
    </row>
    <row r="50" spans="1:13" x14ac:dyDescent="0.25">
      <c r="A50" s="3" t="s">
        <v>66</v>
      </c>
      <c r="B50" s="4">
        <v>470392</v>
      </c>
      <c r="C50" s="8">
        <v>426651</v>
      </c>
      <c r="D50" s="8"/>
      <c r="E50" s="8"/>
      <c r="F50" s="4"/>
      <c r="G50" s="4"/>
      <c r="H50" s="8">
        <v>33497</v>
      </c>
      <c r="I50" s="8">
        <v>25975</v>
      </c>
      <c r="J50" s="4"/>
      <c r="K50" s="4"/>
      <c r="L50" s="4"/>
      <c r="M50" s="4"/>
    </row>
    <row r="51" spans="1:13" x14ac:dyDescent="0.25">
      <c r="A51" s="3" t="s">
        <v>67</v>
      </c>
      <c r="B51" s="4">
        <v>396143</v>
      </c>
      <c r="C51" s="8">
        <v>362891</v>
      </c>
      <c r="D51" s="8"/>
      <c r="E51" s="8"/>
      <c r="F51" s="4"/>
      <c r="G51" s="4"/>
      <c r="H51" s="8">
        <v>27567</v>
      </c>
      <c r="I51" s="8">
        <v>22906</v>
      </c>
      <c r="J51" s="4"/>
      <c r="K51" s="4"/>
      <c r="L51" s="4"/>
      <c r="M51" s="4"/>
    </row>
    <row r="52" spans="1:13" x14ac:dyDescent="0.25">
      <c r="A52" s="3" t="s">
        <v>68</v>
      </c>
      <c r="B52" s="4">
        <v>317679</v>
      </c>
      <c r="C52" s="8">
        <v>307635</v>
      </c>
      <c r="D52" s="8"/>
      <c r="E52" s="8"/>
      <c r="F52" s="4"/>
      <c r="G52" s="4"/>
      <c r="H52" s="8">
        <v>23966</v>
      </c>
      <c r="I52" s="8">
        <v>20598</v>
      </c>
      <c r="J52" s="4"/>
      <c r="K52" s="4"/>
      <c r="L52" s="4"/>
      <c r="M52" s="4"/>
    </row>
    <row r="53" spans="1:13" x14ac:dyDescent="0.25">
      <c r="A53" s="3" t="s">
        <v>69</v>
      </c>
      <c r="B53" s="4">
        <v>670439</v>
      </c>
      <c r="C53" s="8">
        <v>754688</v>
      </c>
      <c r="D53" s="8"/>
      <c r="E53" s="8"/>
      <c r="F53" s="4"/>
      <c r="G53" s="4"/>
      <c r="H53" s="8">
        <v>45170</v>
      </c>
      <c r="I53" s="8">
        <v>41672</v>
      </c>
      <c r="J53" s="4"/>
      <c r="K53" s="4"/>
      <c r="L53" s="4"/>
      <c r="M53" s="4"/>
    </row>
    <row r="54" spans="1:13" x14ac:dyDescent="0.25">
      <c r="A54" s="3" t="s">
        <v>70</v>
      </c>
      <c r="B54" s="4">
        <v>357420</v>
      </c>
      <c r="C54" s="8">
        <v>318900</v>
      </c>
      <c r="D54" s="8"/>
      <c r="E54" s="8"/>
      <c r="F54" s="4"/>
      <c r="G54" s="4"/>
      <c r="H54" s="8">
        <v>26260</v>
      </c>
      <c r="I54" s="8">
        <v>21153</v>
      </c>
      <c r="J54" s="4"/>
      <c r="K54" s="4"/>
      <c r="L54" s="4"/>
      <c r="M54" s="4"/>
    </row>
    <row r="55" spans="1:13" x14ac:dyDescent="0.25">
      <c r="A55" s="3" t="s">
        <v>71</v>
      </c>
      <c r="B55" s="4">
        <v>334129</v>
      </c>
      <c r="C55" s="8">
        <v>313291</v>
      </c>
      <c r="D55" s="8"/>
      <c r="E55" s="8"/>
      <c r="F55" s="4"/>
      <c r="G55" s="4"/>
      <c r="H55" s="8">
        <v>26483</v>
      </c>
      <c r="I55" s="8">
        <v>22061</v>
      </c>
      <c r="J55" s="4"/>
      <c r="K55" s="4"/>
      <c r="L55" s="4"/>
      <c r="M55" s="4"/>
    </row>
    <row r="56" spans="1:13" x14ac:dyDescent="0.25">
      <c r="A56" s="3" t="s">
        <v>72</v>
      </c>
      <c r="B56" s="4">
        <v>410605</v>
      </c>
      <c r="C56" s="8">
        <v>395746</v>
      </c>
      <c r="D56" s="8"/>
      <c r="E56" s="8"/>
      <c r="F56" s="4"/>
      <c r="G56" s="4"/>
      <c r="H56" s="8">
        <v>30247</v>
      </c>
      <c r="I56" s="8">
        <v>23987</v>
      </c>
      <c r="J56" s="4"/>
      <c r="K56" s="4"/>
      <c r="L56" s="4"/>
      <c r="M56" s="4"/>
    </row>
    <row r="57" spans="1:13" x14ac:dyDescent="0.25">
      <c r="A57" s="3" t="s">
        <v>73</v>
      </c>
      <c r="B57" s="4">
        <v>225880</v>
      </c>
      <c r="C57" s="8">
        <v>209479</v>
      </c>
      <c r="D57" s="8"/>
      <c r="E57" s="8"/>
      <c r="F57" s="4"/>
      <c r="G57" s="4"/>
      <c r="H57" s="8">
        <v>18906</v>
      </c>
      <c r="I57" s="8">
        <v>14380</v>
      </c>
      <c r="J57" s="4"/>
      <c r="K57" s="4"/>
      <c r="L57" s="4"/>
      <c r="M57" s="4"/>
    </row>
    <row r="58" spans="1:13" x14ac:dyDescent="0.25">
      <c r="A58" s="3" t="s">
        <v>7</v>
      </c>
      <c r="B58" s="4">
        <v>4314339</v>
      </c>
      <c r="C58" s="8">
        <v>4465697</v>
      </c>
      <c r="D58" s="8"/>
      <c r="E58" s="8">
        <f>SUM(B48:B57)-B58</f>
        <v>0</v>
      </c>
      <c r="F58" s="8">
        <f>SUM(C48:C57)-C58</f>
        <v>0</v>
      </c>
      <c r="G58" s="8"/>
      <c r="H58" s="8">
        <v>314018</v>
      </c>
      <c r="I58" s="8">
        <v>271644</v>
      </c>
      <c r="J58" s="4"/>
      <c r="K58" s="8">
        <f>SUM(H48:H57)-H58</f>
        <v>0</v>
      </c>
      <c r="L58" s="8">
        <f>SUM(I48:I57)-I58</f>
        <v>0</v>
      </c>
      <c r="M58" s="4"/>
    </row>
    <row r="59" spans="1:13" x14ac:dyDescent="0.25">
      <c r="A59" s="3" t="s">
        <v>74</v>
      </c>
      <c r="B59" s="4">
        <v>763548</v>
      </c>
      <c r="C59" s="8">
        <v>1027884</v>
      </c>
      <c r="D59" s="8"/>
      <c r="E59" s="8"/>
      <c r="F59" s="4"/>
      <c r="G59" s="4"/>
      <c r="H59" s="8">
        <v>49287</v>
      </c>
      <c r="I59" s="8">
        <v>54440</v>
      </c>
      <c r="J59" s="4"/>
      <c r="K59" s="4"/>
      <c r="L59" s="4"/>
      <c r="M59" s="4"/>
    </row>
    <row r="60" spans="1:13" x14ac:dyDescent="0.25">
      <c r="A60" s="3" t="s">
        <v>75</v>
      </c>
      <c r="B60" s="4">
        <v>168768</v>
      </c>
      <c r="C60" s="8">
        <v>159547</v>
      </c>
      <c r="D60" s="8"/>
      <c r="E60" s="8"/>
      <c r="F60" s="4"/>
      <c r="G60" s="4"/>
      <c r="H60" s="8">
        <v>14610</v>
      </c>
      <c r="I60" s="8">
        <v>11350</v>
      </c>
      <c r="J60" s="4"/>
      <c r="K60" s="4"/>
      <c r="L60" s="4"/>
      <c r="M60" s="4"/>
    </row>
    <row r="61" spans="1:13" x14ac:dyDescent="0.25">
      <c r="A61" s="3" t="s">
        <v>76</v>
      </c>
      <c r="B61" s="4">
        <v>291755</v>
      </c>
      <c r="C61" s="8">
        <v>278743</v>
      </c>
      <c r="D61" s="8"/>
      <c r="E61" s="8"/>
      <c r="F61" s="4"/>
      <c r="G61" s="4"/>
      <c r="H61" s="8">
        <v>21433</v>
      </c>
      <c r="I61" s="8">
        <v>16915</v>
      </c>
      <c r="J61" s="4"/>
      <c r="K61" s="4"/>
      <c r="L61" s="4"/>
      <c r="M61" s="4"/>
    </row>
    <row r="62" spans="1:13" x14ac:dyDescent="0.25">
      <c r="A62" s="3" t="s">
        <v>77</v>
      </c>
      <c r="B62" s="4">
        <v>241194</v>
      </c>
      <c r="C62" s="8">
        <v>238729</v>
      </c>
      <c r="D62" s="8"/>
      <c r="E62" s="8"/>
      <c r="F62" s="4"/>
      <c r="G62" s="4"/>
      <c r="H62" s="8">
        <v>18166</v>
      </c>
      <c r="I62" s="8">
        <v>14971</v>
      </c>
      <c r="J62" s="4"/>
      <c r="K62" s="4"/>
      <c r="L62" s="4"/>
      <c r="M62" s="4"/>
    </row>
    <row r="63" spans="1:13" x14ac:dyDescent="0.25">
      <c r="A63" s="3" t="s">
        <v>78</v>
      </c>
      <c r="B63" s="4">
        <v>194666</v>
      </c>
      <c r="C63" s="8">
        <v>208179</v>
      </c>
      <c r="D63" s="8"/>
      <c r="E63" s="8"/>
      <c r="F63" s="4"/>
      <c r="G63" s="4"/>
      <c r="H63" s="8">
        <v>16076</v>
      </c>
      <c r="I63" s="8">
        <v>14005</v>
      </c>
      <c r="J63" s="4"/>
      <c r="K63" s="4"/>
      <c r="L63" s="4"/>
      <c r="M63" s="4"/>
    </row>
    <row r="64" spans="1:13" x14ac:dyDescent="0.25">
      <c r="A64" s="3" t="s">
        <v>79</v>
      </c>
      <c r="B64" s="4">
        <v>509066</v>
      </c>
      <c r="C64" s="8">
        <v>554892</v>
      </c>
      <c r="D64" s="8"/>
      <c r="E64" s="8"/>
      <c r="F64" s="4"/>
      <c r="G64" s="4"/>
      <c r="H64" s="8">
        <v>33384</v>
      </c>
      <c r="I64" s="8">
        <v>30244</v>
      </c>
      <c r="J64" s="4"/>
      <c r="K64" s="4"/>
      <c r="L64" s="4"/>
      <c r="M64" s="4"/>
    </row>
    <row r="65" spans="1:13" x14ac:dyDescent="0.25">
      <c r="A65" s="2">
        <v>56</v>
      </c>
      <c r="B65" s="8">
        <v>267596</v>
      </c>
      <c r="C65" s="8">
        <v>242422</v>
      </c>
      <c r="D65" s="8"/>
      <c r="E65" s="8"/>
      <c r="F65" s="4"/>
      <c r="G65" s="4"/>
      <c r="H65" s="8">
        <v>21184</v>
      </c>
      <c r="I65" s="8">
        <v>16155</v>
      </c>
      <c r="J65" s="4"/>
      <c r="K65" s="4"/>
      <c r="L65" s="4"/>
      <c r="M65" s="4"/>
    </row>
    <row r="66" spans="1:13" x14ac:dyDescent="0.25">
      <c r="A66" s="2">
        <v>57</v>
      </c>
      <c r="B66" s="8">
        <v>214375</v>
      </c>
      <c r="C66" s="8">
        <v>194253</v>
      </c>
      <c r="D66" s="8"/>
      <c r="E66" s="8"/>
      <c r="F66" s="4"/>
      <c r="G66" s="4"/>
      <c r="H66" s="8">
        <v>18168</v>
      </c>
      <c r="I66" s="8">
        <v>14057</v>
      </c>
      <c r="J66" s="4"/>
      <c r="K66" s="4"/>
      <c r="L66" s="4"/>
      <c r="M66" s="4"/>
    </row>
    <row r="67" spans="1:13" x14ac:dyDescent="0.25">
      <c r="A67" s="2">
        <v>58</v>
      </c>
      <c r="B67" s="8">
        <v>234447</v>
      </c>
      <c r="C67" s="8">
        <v>220324</v>
      </c>
      <c r="D67" s="8"/>
      <c r="E67" s="8"/>
      <c r="F67" s="4"/>
      <c r="G67" s="4"/>
      <c r="H67" s="8">
        <v>17834</v>
      </c>
      <c r="I67" s="8">
        <v>13588</v>
      </c>
      <c r="J67" s="4"/>
      <c r="K67" s="4"/>
      <c r="L67" s="4"/>
      <c r="M67" s="4"/>
    </row>
    <row r="68" spans="1:13" x14ac:dyDescent="0.25">
      <c r="A68" s="2">
        <v>59</v>
      </c>
      <c r="B68" s="8">
        <v>129351</v>
      </c>
      <c r="C68" s="8">
        <v>116298</v>
      </c>
      <c r="D68" s="8"/>
      <c r="E68" s="8"/>
      <c r="F68" s="4"/>
      <c r="G68" s="4"/>
      <c r="H68" s="8">
        <v>11339</v>
      </c>
      <c r="I68" s="8">
        <v>9008</v>
      </c>
      <c r="J68" s="4"/>
      <c r="K68" s="4"/>
      <c r="L68" s="4"/>
      <c r="M68" s="4"/>
    </row>
    <row r="69" spans="1:13" x14ac:dyDescent="0.25">
      <c r="A69" s="2" t="s">
        <v>8</v>
      </c>
      <c r="B69" s="8">
        <v>3014766</v>
      </c>
      <c r="C69" s="8">
        <v>3241271</v>
      </c>
      <c r="D69" s="8"/>
      <c r="E69" s="8">
        <f>SUM(B59:B68)-B69</f>
        <v>0</v>
      </c>
      <c r="F69" s="8">
        <f>SUM(C59:C68)-C69</f>
        <v>0</v>
      </c>
      <c r="G69" s="8"/>
      <c r="H69" s="8">
        <v>221481</v>
      </c>
      <c r="I69" s="8">
        <v>194733</v>
      </c>
      <c r="J69" s="4"/>
      <c r="K69" s="8">
        <f>SUM(H59:H68)-H69</f>
        <v>0</v>
      </c>
      <c r="L69" s="8">
        <f>SUM(I59:I68)-I69</f>
        <v>0</v>
      </c>
      <c r="M69" s="4"/>
    </row>
    <row r="70" spans="1:13" x14ac:dyDescent="0.25">
      <c r="A70" s="2">
        <v>60</v>
      </c>
      <c r="B70" s="8">
        <v>643708</v>
      </c>
      <c r="C70" s="8">
        <v>861175</v>
      </c>
      <c r="D70" s="8"/>
      <c r="E70" s="8"/>
      <c r="F70" s="4"/>
      <c r="G70" s="4"/>
      <c r="H70" s="8">
        <v>42342</v>
      </c>
      <c r="I70" s="8">
        <v>46600</v>
      </c>
      <c r="J70" s="4"/>
      <c r="K70" s="4"/>
      <c r="L70" s="4"/>
      <c r="M70" s="4"/>
    </row>
    <row r="71" spans="1:13" x14ac:dyDescent="0.25">
      <c r="A71" s="2">
        <v>61</v>
      </c>
      <c r="B71" s="8">
        <v>108105</v>
      </c>
      <c r="C71" s="8">
        <v>95028</v>
      </c>
      <c r="D71" s="8"/>
      <c r="E71" s="8"/>
      <c r="F71" s="4"/>
      <c r="G71" s="4"/>
      <c r="H71" s="8">
        <v>10146</v>
      </c>
      <c r="I71" s="8">
        <v>7387</v>
      </c>
      <c r="J71" s="4"/>
      <c r="K71" s="4"/>
      <c r="L71" s="4"/>
      <c r="M71" s="4"/>
    </row>
    <row r="72" spans="1:13" x14ac:dyDescent="0.25">
      <c r="A72" s="2">
        <v>62</v>
      </c>
      <c r="B72" s="8">
        <v>182621</v>
      </c>
      <c r="C72" s="8">
        <v>166253</v>
      </c>
      <c r="D72" s="8"/>
      <c r="E72" s="8"/>
      <c r="F72" s="4"/>
      <c r="G72" s="4"/>
      <c r="H72" s="8">
        <v>14685</v>
      </c>
      <c r="I72" s="8">
        <v>10800</v>
      </c>
      <c r="J72" s="4"/>
      <c r="K72" s="4"/>
      <c r="L72" s="4"/>
      <c r="M72" s="4"/>
    </row>
    <row r="73" spans="1:13" x14ac:dyDescent="0.25">
      <c r="A73" s="2">
        <v>63</v>
      </c>
      <c r="B73" s="8">
        <v>163747</v>
      </c>
      <c r="C73" s="8">
        <v>149351</v>
      </c>
      <c r="D73" s="8"/>
      <c r="E73" s="8"/>
      <c r="F73" s="4"/>
      <c r="G73" s="4"/>
      <c r="H73" s="8">
        <v>13235</v>
      </c>
      <c r="I73" s="8">
        <v>9620</v>
      </c>
      <c r="J73" s="4"/>
      <c r="K73" s="4"/>
      <c r="L73" s="4"/>
      <c r="M73" s="4"/>
    </row>
    <row r="74" spans="1:13" x14ac:dyDescent="0.25">
      <c r="A74" s="2">
        <v>64</v>
      </c>
      <c r="B74" s="8">
        <v>113167</v>
      </c>
      <c r="C74" s="8">
        <v>110139</v>
      </c>
      <c r="D74" s="8"/>
      <c r="E74" s="8"/>
      <c r="F74" s="4"/>
      <c r="G74" s="4"/>
      <c r="H74" s="8">
        <v>9512</v>
      </c>
      <c r="I74" s="8">
        <v>7586</v>
      </c>
      <c r="J74" s="4"/>
      <c r="K74" s="4"/>
      <c r="L74" s="4"/>
      <c r="M74" s="4"/>
    </row>
    <row r="75" spans="1:13" x14ac:dyDescent="0.25">
      <c r="A75" s="2">
        <v>65</v>
      </c>
      <c r="B75" s="8">
        <v>336633</v>
      </c>
      <c r="C75" s="8">
        <v>372005</v>
      </c>
      <c r="D75" s="8"/>
      <c r="E75" s="8"/>
      <c r="F75" s="4"/>
      <c r="G75" s="4"/>
      <c r="H75" s="8">
        <v>20693</v>
      </c>
      <c r="I75" s="8">
        <v>18903</v>
      </c>
      <c r="J75" s="4"/>
      <c r="K75" s="4"/>
      <c r="L75" s="4"/>
      <c r="M75" s="4"/>
    </row>
    <row r="76" spans="1:13" x14ac:dyDescent="0.25">
      <c r="A76" s="2">
        <v>66</v>
      </c>
      <c r="B76" s="8">
        <v>129285</v>
      </c>
      <c r="C76" s="8">
        <v>105776</v>
      </c>
      <c r="D76" s="8"/>
      <c r="E76" s="8"/>
      <c r="F76" s="4"/>
      <c r="G76" s="4"/>
      <c r="H76" s="8">
        <v>11172</v>
      </c>
      <c r="I76" s="8">
        <v>7661</v>
      </c>
      <c r="J76" s="4"/>
      <c r="K76" s="4"/>
      <c r="L76" s="4"/>
      <c r="M76" s="4"/>
    </row>
    <row r="77" spans="1:13" x14ac:dyDescent="0.25">
      <c r="A77" s="2">
        <v>67</v>
      </c>
      <c r="B77" s="8">
        <v>136905</v>
      </c>
      <c r="C77" s="8">
        <v>118578</v>
      </c>
      <c r="D77" s="8"/>
      <c r="E77" s="8"/>
      <c r="F77" s="4"/>
      <c r="G77" s="4"/>
      <c r="H77" s="8">
        <v>11835</v>
      </c>
      <c r="I77" s="8">
        <v>8445</v>
      </c>
      <c r="J77" s="4"/>
      <c r="K77" s="4"/>
      <c r="L77" s="4"/>
      <c r="M77" s="4"/>
    </row>
    <row r="78" spans="1:13" x14ac:dyDescent="0.25">
      <c r="A78" s="2">
        <v>68</v>
      </c>
      <c r="B78" s="8">
        <v>106248</v>
      </c>
      <c r="C78" s="8">
        <v>102565</v>
      </c>
      <c r="D78" s="8"/>
      <c r="E78" s="8"/>
      <c r="F78" s="4"/>
      <c r="G78" s="4"/>
      <c r="H78" s="8">
        <v>7866</v>
      </c>
      <c r="I78" s="8">
        <v>6172</v>
      </c>
      <c r="J78" s="4"/>
      <c r="K78" s="4"/>
      <c r="L78" s="4"/>
      <c r="M78" s="4"/>
    </row>
    <row r="79" spans="1:13" x14ac:dyDescent="0.25">
      <c r="A79" s="2">
        <v>69</v>
      </c>
      <c r="B79" s="8">
        <v>56265</v>
      </c>
      <c r="C79" s="8">
        <v>56526</v>
      </c>
      <c r="D79" s="8"/>
      <c r="E79" s="8"/>
      <c r="F79" s="4"/>
      <c r="G79" s="4"/>
      <c r="H79" s="8">
        <v>4840</v>
      </c>
      <c r="I79" s="8">
        <v>3982</v>
      </c>
      <c r="J79" s="4"/>
      <c r="K79" s="4"/>
      <c r="L79" s="4"/>
      <c r="M79" s="4"/>
    </row>
    <row r="80" spans="1:13" x14ac:dyDescent="0.25">
      <c r="A80" s="2" t="s">
        <v>9</v>
      </c>
      <c r="B80" s="8">
        <v>1976684</v>
      </c>
      <c r="C80" s="8">
        <v>2137396</v>
      </c>
      <c r="D80" s="8"/>
      <c r="E80" s="8">
        <f>SUM(B70:B79)-B80</f>
        <v>0</v>
      </c>
      <c r="F80" s="8">
        <f>SUM(C70:C79)-C80</f>
        <v>0</v>
      </c>
      <c r="G80" s="8"/>
      <c r="H80" s="8">
        <v>146326</v>
      </c>
      <c r="I80" s="8">
        <v>127156</v>
      </c>
      <c r="J80" s="4"/>
      <c r="K80" s="8">
        <f>SUM(H70:H79)-H80</f>
        <v>0</v>
      </c>
      <c r="L80" s="8">
        <f>SUM(I70:I79)-I80</f>
        <v>0</v>
      </c>
      <c r="M80" s="4"/>
    </row>
    <row r="81" spans="1:13" x14ac:dyDescent="0.25">
      <c r="A81" s="2">
        <v>70</v>
      </c>
      <c r="B81" s="8">
        <v>355633</v>
      </c>
      <c r="C81" s="8">
        <v>492944</v>
      </c>
      <c r="D81" s="8"/>
      <c r="E81" s="8"/>
      <c r="F81" s="4"/>
      <c r="G81" s="4"/>
      <c r="H81" s="8">
        <v>23627</v>
      </c>
      <c r="I81" s="8">
        <v>29384</v>
      </c>
      <c r="J81" s="4"/>
      <c r="K81" s="4"/>
      <c r="L81" s="4"/>
      <c r="M81" s="4"/>
    </row>
    <row r="82" spans="1:13" x14ac:dyDescent="0.25">
      <c r="A82" s="2">
        <v>71</v>
      </c>
      <c r="B82" s="8">
        <v>43447</v>
      </c>
      <c r="C82" s="8">
        <v>40219</v>
      </c>
      <c r="D82" s="8"/>
      <c r="E82" s="8"/>
      <c r="F82" s="4"/>
      <c r="G82" s="4"/>
      <c r="H82" s="8">
        <v>3915</v>
      </c>
      <c r="I82" s="8">
        <v>3073</v>
      </c>
      <c r="J82" s="4"/>
      <c r="K82" s="4"/>
      <c r="L82" s="4"/>
      <c r="M82" s="4"/>
    </row>
    <row r="83" spans="1:13" x14ac:dyDescent="0.25">
      <c r="A83" s="2">
        <v>72</v>
      </c>
      <c r="B83" s="8">
        <v>74715</v>
      </c>
      <c r="C83" s="8">
        <v>67526</v>
      </c>
      <c r="D83" s="8"/>
      <c r="E83" s="8"/>
      <c r="F83" s="4"/>
      <c r="G83" s="4"/>
      <c r="H83" s="8">
        <v>5915</v>
      </c>
      <c r="I83" s="8">
        <v>4328</v>
      </c>
      <c r="J83" s="4"/>
      <c r="K83" s="4"/>
      <c r="L83" s="4"/>
      <c r="M83" s="4"/>
    </row>
    <row r="84" spans="1:13" x14ac:dyDescent="0.25">
      <c r="A84" s="2">
        <v>73</v>
      </c>
      <c r="B84" s="8">
        <v>58130</v>
      </c>
      <c r="C84" s="8">
        <v>52418</v>
      </c>
      <c r="D84" s="8"/>
      <c r="E84" s="8"/>
      <c r="F84" s="4"/>
      <c r="G84" s="4"/>
      <c r="H84" s="8">
        <v>4771</v>
      </c>
      <c r="I84" s="8">
        <v>3556</v>
      </c>
      <c r="J84" s="4"/>
      <c r="K84" s="4"/>
      <c r="L84" s="4"/>
      <c r="M84" s="4"/>
    </row>
    <row r="85" spans="1:13" x14ac:dyDescent="0.25">
      <c r="A85" s="2">
        <v>74</v>
      </c>
      <c r="B85" s="8">
        <v>42652</v>
      </c>
      <c r="C85" s="8">
        <v>38230</v>
      </c>
      <c r="D85" s="8"/>
      <c r="E85" s="8"/>
      <c r="F85" s="4"/>
      <c r="G85" s="4"/>
      <c r="H85" s="8">
        <v>3688</v>
      </c>
      <c r="I85" s="8">
        <v>2941</v>
      </c>
      <c r="J85" s="4"/>
      <c r="K85" s="4"/>
      <c r="L85" s="4"/>
      <c r="M85" s="4"/>
    </row>
    <row r="86" spans="1:13" x14ac:dyDescent="0.25">
      <c r="A86" s="2">
        <v>75</v>
      </c>
      <c r="B86" s="8">
        <v>149460</v>
      </c>
      <c r="C86" s="8">
        <v>151133</v>
      </c>
      <c r="D86" s="8"/>
      <c r="E86" s="8"/>
      <c r="F86" s="4"/>
      <c r="G86" s="4"/>
      <c r="H86" s="8">
        <v>9322</v>
      </c>
      <c r="I86" s="8">
        <v>8289</v>
      </c>
      <c r="J86" s="4"/>
      <c r="K86" s="4"/>
      <c r="L86" s="4"/>
      <c r="M86" s="4"/>
    </row>
    <row r="87" spans="1:13" x14ac:dyDescent="0.25">
      <c r="A87" s="2">
        <v>76</v>
      </c>
      <c r="B87" s="8">
        <v>45629</v>
      </c>
      <c r="C87" s="8">
        <v>36698</v>
      </c>
      <c r="D87" s="8"/>
      <c r="E87" s="8"/>
      <c r="F87" s="4"/>
      <c r="G87" s="4"/>
      <c r="H87" s="8">
        <v>4045</v>
      </c>
      <c r="I87" s="8">
        <v>2747</v>
      </c>
      <c r="J87" s="4"/>
      <c r="K87" s="4"/>
      <c r="L87" s="4"/>
      <c r="M87" s="4"/>
    </row>
    <row r="88" spans="1:13" x14ac:dyDescent="0.25">
      <c r="A88" s="2">
        <v>77</v>
      </c>
      <c r="B88" s="8">
        <v>37136</v>
      </c>
      <c r="C88" s="8">
        <v>29059</v>
      </c>
      <c r="D88" s="8"/>
      <c r="E88" s="8"/>
      <c r="F88" s="4"/>
      <c r="G88" s="4"/>
      <c r="H88" s="8">
        <v>3689</v>
      </c>
      <c r="I88" s="8">
        <v>2404</v>
      </c>
      <c r="J88" s="4"/>
      <c r="K88" s="4"/>
      <c r="L88" s="4"/>
      <c r="M88" s="4"/>
    </row>
    <row r="89" spans="1:13" x14ac:dyDescent="0.25">
      <c r="A89" s="2">
        <v>78</v>
      </c>
      <c r="B89" s="8">
        <v>42429</v>
      </c>
      <c r="C89" s="8">
        <v>36768</v>
      </c>
      <c r="D89" s="8"/>
      <c r="E89" s="8"/>
      <c r="F89" s="4"/>
      <c r="G89" s="4"/>
      <c r="H89" s="8">
        <v>3638</v>
      </c>
      <c r="I89" s="8">
        <v>2611</v>
      </c>
      <c r="J89" s="4"/>
      <c r="K89" s="4"/>
      <c r="L89" s="4"/>
      <c r="M89" s="4"/>
    </row>
    <row r="90" spans="1:13" x14ac:dyDescent="0.25">
      <c r="A90" s="2">
        <v>79</v>
      </c>
      <c r="B90" s="8">
        <v>17313</v>
      </c>
      <c r="C90" s="8">
        <v>15690</v>
      </c>
      <c r="D90" s="8"/>
      <c r="E90" s="8"/>
      <c r="F90" s="4"/>
      <c r="G90" s="4"/>
      <c r="H90" s="8">
        <v>1737</v>
      </c>
      <c r="I90" s="8">
        <v>1260</v>
      </c>
      <c r="J90" s="4"/>
      <c r="K90" s="4"/>
      <c r="L90" s="4"/>
      <c r="M90" s="4"/>
    </row>
    <row r="91" spans="1:13" x14ac:dyDescent="0.25">
      <c r="A91" s="2" t="s">
        <v>82</v>
      </c>
      <c r="B91" s="8">
        <v>866544</v>
      </c>
      <c r="C91" s="8">
        <v>960685</v>
      </c>
      <c r="D91" s="8"/>
      <c r="E91" s="8">
        <f>SUM(B81:B90)-B91</f>
        <v>0</v>
      </c>
      <c r="F91" s="8">
        <f>SUM(C81:C90)-C91</f>
        <v>0</v>
      </c>
      <c r="G91" s="8"/>
      <c r="H91" s="8">
        <v>64347</v>
      </c>
      <c r="I91" s="8">
        <v>60593</v>
      </c>
      <c r="J91" s="4"/>
      <c r="K91" s="8">
        <f>SUM(H81:H90)-H91</f>
        <v>0</v>
      </c>
      <c r="L91" s="8">
        <f>SUM(I81:I90)-I91</f>
        <v>0</v>
      </c>
      <c r="M91" s="4"/>
    </row>
    <row r="92" spans="1:13" x14ac:dyDescent="0.25">
      <c r="A92" s="2">
        <v>80</v>
      </c>
      <c r="B92" s="8">
        <v>131060</v>
      </c>
      <c r="C92" s="8">
        <v>163226</v>
      </c>
      <c r="D92" s="8"/>
      <c r="E92" s="8"/>
      <c r="F92" s="4"/>
      <c r="G92" s="4"/>
      <c r="H92" s="8">
        <v>10307</v>
      </c>
      <c r="I92" s="8">
        <v>11875</v>
      </c>
      <c r="J92" s="4"/>
      <c r="K92" s="4"/>
      <c r="L92" s="4"/>
      <c r="M92" s="4"/>
    </row>
    <row r="93" spans="1:13" x14ac:dyDescent="0.25">
      <c r="A93" s="2">
        <v>81</v>
      </c>
      <c r="B93" s="8">
        <v>10969</v>
      </c>
      <c r="C93" s="8">
        <v>9583</v>
      </c>
      <c r="D93" s="8"/>
      <c r="E93" s="8"/>
      <c r="F93" s="4"/>
      <c r="G93" s="4"/>
      <c r="H93" s="8">
        <v>1208</v>
      </c>
      <c r="I93" s="8">
        <v>875</v>
      </c>
      <c r="J93" s="4"/>
      <c r="K93" s="4"/>
      <c r="L93" s="4"/>
      <c r="M93" s="4"/>
    </row>
    <row r="94" spans="1:13" x14ac:dyDescent="0.25">
      <c r="A94" s="2">
        <v>82</v>
      </c>
      <c r="B94" s="8">
        <v>16538</v>
      </c>
      <c r="C94" s="8">
        <v>14100</v>
      </c>
      <c r="D94" s="8"/>
      <c r="E94" s="8"/>
      <c r="F94" s="4"/>
      <c r="G94" s="4"/>
      <c r="H94" s="8">
        <v>1515</v>
      </c>
      <c r="I94" s="8">
        <v>1147</v>
      </c>
      <c r="J94" s="4"/>
      <c r="K94" s="4"/>
      <c r="L94" s="4"/>
      <c r="M94" s="4"/>
    </row>
    <row r="95" spans="1:13" x14ac:dyDescent="0.25">
      <c r="A95" s="2">
        <v>83</v>
      </c>
      <c r="B95" s="8">
        <v>11952</v>
      </c>
      <c r="C95" s="8">
        <v>10103</v>
      </c>
      <c r="D95" s="8"/>
      <c r="E95" s="8"/>
      <c r="F95" s="4"/>
      <c r="G95" s="4"/>
      <c r="H95" s="8">
        <v>1194</v>
      </c>
      <c r="I95" s="8">
        <v>872</v>
      </c>
      <c r="J95" s="4"/>
      <c r="K95" s="4"/>
      <c r="L95" s="4"/>
      <c r="M95" s="4"/>
    </row>
    <row r="96" spans="1:13" x14ac:dyDescent="0.25">
      <c r="A96" s="2">
        <v>84</v>
      </c>
      <c r="B96" s="8">
        <v>10947</v>
      </c>
      <c r="C96" s="8">
        <v>8651</v>
      </c>
      <c r="D96" s="8"/>
      <c r="E96" s="8"/>
      <c r="F96" s="4"/>
      <c r="G96" s="4"/>
      <c r="H96" s="8">
        <v>1047</v>
      </c>
      <c r="I96" s="8">
        <v>661</v>
      </c>
      <c r="J96" s="4"/>
      <c r="K96" s="4"/>
      <c r="L96" s="4"/>
      <c r="M96" s="4"/>
    </row>
    <row r="97" spans="1:13" x14ac:dyDescent="0.25">
      <c r="A97" s="2">
        <v>85</v>
      </c>
      <c r="B97" s="8">
        <v>33818</v>
      </c>
      <c r="C97" s="8">
        <v>32819</v>
      </c>
      <c r="D97" s="8"/>
      <c r="E97" s="8"/>
      <c r="F97" s="4"/>
      <c r="G97" s="4"/>
      <c r="H97" s="8">
        <v>2628</v>
      </c>
      <c r="I97" s="8">
        <v>2066</v>
      </c>
      <c r="J97" s="4"/>
      <c r="K97" s="4"/>
      <c r="L97" s="4"/>
      <c r="M97" s="4"/>
    </row>
    <row r="98" spans="1:13" x14ac:dyDescent="0.25">
      <c r="A98" s="2">
        <v>86</v>
      </c>
      <c r="B98" s="8">
        <v>8708</v>
      </c>
      <c r="C98" s="8">
        <v>6685</v>
      </c>
      <c r="D98" s="8"/>
      <c r="E98" s="8"/>
      <c r="F98" s="4"/>
      <c r="G98" s="4"/>
      <c r="H98" s="8">
        <v>949</v>
      </c>
      <c r="I98" s="8">
        <v>579</v>
      </c>
      <c r="J98" s="4"/>
      <c r="K98" s="4"/>
      <c r="L98" s="4"/>
      <c r="M98" s="4"/>
    </row>
    <row r="99" spans="1:13" x14ac:dyDescent="0.25">
      <c r="A99" s="2">
        <v>87</v>
      </c>
      <c r="B99" s="8">
        <v>7036</v>
      </c>
      <c r="C99" s="8">
        <v>5869</v>
      </c>
      <c r="D99" s="8"/>
      <c r="E99" s="8"/>
      <c r="F99" s="4"/>
      <c r="G99" s="4"/>
      <c r="H99" s="8">
        <v>833</v>
      </c>
      <c r="I99" s="8">
        <v>519</v>
      </c>
      <c r="J99" s="4"/>
      <c r="K99" s="4"/>
      <c r="L99" s="4"/>
      <c r="M99" s="4"/>
    </row>
    <row r="100" spans="1:13" x14ac:dyDescent="0.25">
      <c r="A100" s="2">
        <v>88</v>
      </c>
      <c r="B100" s="8">
        <v>5592</v>
      </c>
      <c r="C100" s="8">
        <v>4856</v>
      </c>
      <c r="D100" s="8"/>
      <c r="E100" s="8"/>
      <c r="F100" s="4"/>
      <c r="G100" s="4"/>
      <c r="H100" s="8">
        <v>721</v>
      </c>
      <c r="I100" s="8">
        <v>486</v>
      </c>
      <c r="J100" s="4"/>
      <c r="K100" s="4"/>
      <c r="L100" s="4"/>
      <c r="M100" s="4"/>
    </row>
    <row r="101" spans="1:13" x14ac:dyDescent="0.25">
      <c r="A101" s="2">
        <v>89</v>
      </c>
      <c r="B101" s="8">
        <v>3253</v>
      </c>
      <c r="C101" s="8">
        <v>3295</v>
      </c>
      <c r="D101" s="8"/>
      <c r="E101" s="8"/>
      <c r="F101" s="4"/>
      <c r="G101" s="4"/>
      <c r="H101" s="8">
        <v>482</v>
      </c>
      <c r="I101" s="8">
        <v>355</v>
      </c>
      <c r="J101" s="4"/>
      <c r="K101" s="4"/>
      <c r="L101" s="4"/>
      <c r="M101" s="4"/>
    </row>
    <row r="102" spans="1:13" x14ac:dyDescent="0.25">
      <c r="A102" s="2" t="s">
        <v>83</v>
      </c>
      <c r="B102" s="8">
        <v>239873</v>
      </c>
      <c r="C102" s="8">
        <v>259187</v>
      </c>
      <c r="D102" s="8"/>
      <c r="E102" s="8">
        <f>SUM(B92:B101)-B102</f>
        <v>0</v>
      </c>
      <c r="F102" s="8">
        <f>SUM(C92:C101)-C102</f>
        <v>0</v>
      </c>
      <c r="G102" s="8"/>
      <c r="H102" s="8">
        <v>20884</v>
      </c>
      <c r="I102" s="8">
        <v>19435</v>
      </c>
      <c r="J102" s="4"/>
      <c r="K102" s="8">
        <f>SUM(H92:H101)-H102</f>
        <v>0</v>
      </c>
      <c r="L102" s="8">
        <f>SUM(I92:I101)-I102</f>
        <v>0</v>
      </c>
      <c r="M102" s="4"/>
    </row>
    <row r="103" spans="1:13" x14ac:dyDescent="0.25">
      <c r="A103" s="2">
        <v>90</v>
      </c>
      <c r="B103" s="8">
        <v>22012</v>
      </c>
      <c r="C103" s="8">
        <v>29902</v>
      </c>
      <c r="D103" s="8"/>
      <c r="E103" s="8"/>
      <c r="F103" s="4"/>
      <c r="G103" s="4"/>
      <c r="H103" s="8">
        <v>2464</v>
      </c>
      <c r="I103" s="8">
        <v>2723</v>
      </c>
      <c r="J103" s="4"/>
      <c r="K103" s="4"/>
      <c r="L103" s="4"/>
      <c r="M103" s="4"/>
    </row>
    <row r="104" spans="1:13" x14ac:dyDescent="0.25">
      <c r="A104" s="2">
        <v>91</v>
      </c>
      <c r="B104" s="8">
        <v>1301</v>
      </c>
      <c r="C104" s="8">
        <v>1367</v>
      </c>
      <c r="D104" s="8"/>
      <c r="E104" s="8"/>
      <c r="F104" s="4"/>
      <c r="G104" s="4"/>
      <c r="H104" s="8">
        <v>259</v>
      </c>
      <c r="I104" s="8">
        <v>162</v>
      </c>
      <c r="J104" s="4"/>
      <c r="K104" s="4"/>
      <c r="L104" s="4"/>
      <c r="M104" s="4"/>
    </row>
    <row r="105" spans="1:13" x14ac:dyDescent="0.25">
      <c r="A105" s="2">
        <v>92</v>
      </c>
      <c r="B105" s="8">
        <v>1675</v>
      </c>
      <c r="C105" s="8">
        <v>1816</v>
      </c>
      <c r="D105" s="8"/>
      <c r="E105" s="8"/>
      <c r="F105" s="4"/>
      <c r="G105" s="4"/>
      <c r="H105" s="8">
        <v>266</v>
      </c>
      <c r="I105" s="8">
        <v>181</v>
      </c>
      <c r="J105" s="4"/>
      <c r="K105" s="4"/>
      <c r="L105" s="4"/>
      <c r="M105" s="4"/>
    </row>
    <row r="106" spans="1:13" x14ac:dyDescent="0.25">
      <c r="A106" s="2">
        <v>93</v>
      </c>
      <c r="B106" s="8">
        <v>1425</v>
      </c>
      <c r="C106" s="8">
        <v>1386</v>
      </c>
      <c r="D106" s="8"/>
      <c r="E106" s="8"/>
      <c r="F106" s="4"/>
      <c r="G106" s="4"/>
      <c r="H106" s="8">
        <v>245</v>
      </c>
      <c r="I106" s="8">
        <v>141</v>
      </c>
      <c r="J106" s="4"/>
      <c r="K106" s="4"/>
      <c r="L106" s="4"/>
      <c r="M106" s="4"/>
    </row>
    <row r="107" spans="1:13" x14ac:dyDescent="0.25">
      <c r="A107" s="2">
        <v>94</v>
      </c>
      <c r="B107" s="8">
        <v>1192</v>
      </c>
      <c r="C107" s="8">
        <v>1041</v>
      </c>
      <c r="D107" s="8"/>
      <c r="E107" s="8"/>
      <c r="F107" s="4"/>
      <c r="G107" s="4"/>
      <c r="H107" s="8">
        <v>199</v>
      </c>
      <c r="I107" s="8">
        <v>101</v>
      </c>
      <c r="J107" s="4"/>
      <c r="K107" s="4"/>
      <c r="L107" s="4"/>
      <c r="M107" s="4"/>
    </row>
    <row r="108" spans="1:13" x14ac:dyDescent="0.25">
      <c r="A108" s="2">
        <v>95</v>
      </c>
      <c r="B108" s="8">
        <v>4720</v>
      </c>
      <c r="C108" s="8">
        <v>5317</v>
      </c>
      <c r="D108" s="8"/>
      <c r="E108" s="8"/>
      <c r="F108" s="4"/>
      <c r="G108" s="4"/>
      <c r="H108" s="8">
        <v>524</v>
      </c>
      <c r="I108" s="8">
        <v>428</v>
      </c>
      <c r="J108" s="4"/>
      <c r="K108" s="4"/>
      <c r="L108" s="4"/>
      <c r="M108" s="4"/>
    </row>
    <row r="109" spans="1:13" x14ac:dyDescent="0.25">
      <c r="A109" s="2">
        <v>96</v>
      </c>
      <c r="B109" s="8">
        <v>1839</v>
      </c>
      <c r="C109" s="8">
        <v>1646</v>
      </c>
      <c r="D109" s="8"/>
      <c r="E109" s="8"/>
      <c r="F109" s="4"/>
      <c r="G109" s="4"/>
      <c r="H109" s="8">
        <v>315</v>
      </c>
      <c r="I109" s="8">
        <v>181</v>
      </c>
      <c r="J109" s="4"/>
      <c r="K109" s="4"/>
      <c r="L109" s="4"/>
      <c r="M109" s="4"/>
    </row>
    <row r="110" spans="1:13" x14ac:dyDescent="0.25">
      <c r="A110" s="2">
        <v>97</v>
      </c>
      <c r="B110" s="8">
        <v>1432</v>
      </c>
      <c r="C110" s="8">
        <v>1213</v>
      </c>
      <c r="D110" s="8"/>
      <c r="E110" s="8"/>
      <c r="F110" s="4"/>
      <c r="G110" s="4"/>
      <c r="H110" s="8">
        <v>206</v>
      </c>
      <c r="I110" s="8">
        <v>107</v>
      </c>
      <c r="J110" s="4"/>
      <c r="K110" s="4"/>
      <c r="L110" s="4"/>
      <c r="M110" s="4"/>
    </row>
    <row r="111" spans="1:13" x14ac:dyDescent="0.25">
      <c r="A111" s="2">
        <v>98</v>
      </c>
      <c r="B111" s="8">
        <v>1400</v>
      </c>
      <c r="C111" s="8">
        <v>1331</v>
      </c>
      <c r="D111" s="8"/>
      <c r="E111" s="8"/>
      <c r="F111" s="4"/>
      <c r="G111" s="4"/>
      <c r="H111" s="8">
        <v>183</v>
      </c>
      <c r="I111" s="8">
        <v>106</v>
      </c>
      <c r="J111" s="4"/>
      <c r="K111" s="4"/>
      <c r="L111" s="4"/>
      <c r="M111" s="4"/>
    </row>
    <row r="112" spans="1:13" x14ac:dyDescent="0.25">
      <c r="A112" s="2">
        <v>99</v>
      </c>
      <c r="B112" s="8">
        <v>609</v>
      </c>
      <c r="C112" s="8">
        <v>699</v>
      </c>
      <c r="D112" s="8"/>
      <c r="E112" s="8"/>
      <c r="F112" s="4"/>
      <c r="G112" s="4"/>
      <c r="H112" s="8">
        <v>108</v>
      </c>
      <c r="I112" s="8">
        <v>88</v>
      </c>
      <c r="J112" s="4"/>
      <c r="K112" s="4"/>
      <c r="L112" s="4"/>
      <c r="M112" s="4"/>
    </row>
    <row r="113" spans="1:13" x14ac:dyDescent="0.25">
      <c r="A113" s="2" t="s">
        <v>84</v>
      </c>
      <c r="B113" s="8">
        <v>37605</v>
      </c>
      <c r="C113" s="8">
        <v>45718</v>
      </c>
      <c r="D113" s="8"/>
      <c r="E113" s="8">
        <f>SUM(B103:B112)-B113</f>
        <v>0</v>
      </c>
      <c r="F113" s="8">
        <f>SUM(C103:C112)-C113</f>
        <v>0</v>
      </c>
      <c r="G113" s="8"/>
      <c r="H113" s="8">
        <v>4769</v>
      </c>
      <c r="I113" s="8">
        <v>4218</v>
      </c>
      <c r="J113" s="4"/>
      <c r="K113" s="8">
        <f>SUM(H103:H112)-H113</f>
        <v>0</v>
      </c>
      <c r="L113" s="8">
        <f>SUM(I103:I112)-I113</f>
        <v>0</v>
      </c>
      <c r="M113" s="4"/>
    </row>
    <row r="114" spans="1:13" x14ac:dyDescent="0.25">
      <c r="A114" s="2">
        <v>100</v>
      </c>
      <c r="B114" s="8">
        <v>2044</v>
      </c>
      <c r="C114" s="8">
        <v>3241</v>
      </c>
      <c r="D114" s="8"/>
      <c r="E114" s="8"/>
      <c r="F114" s="4"/>
      <c r="G114" s="4"/>
      <c r="H114" s="8">
        <v>356</v>
      </c>
      <c r="I114" s="8">
        <v>394</v>
      </c>
      <c r="J114" s="4"/>
      <c r="K114" s="4"/>
      <c r="L114" s="4"/>
      <c r="M114" s="4"/>
    </row>
    <row r="115" spans="1:13" x14ac:dyDescent="0.25">
      <c r="A115" s="2">
        <v>101</v>
      </c>
      <c r="B115" s="8">
        <v>230</v>
      </c>
      <c r="C115" s="8">
        <v>258</v>
      </c>
      <c r="D115" s="8"/>
      <c r="E115" s="8"/>
      <c r="F115" s="4"/>
      <c r="G115" s="4"/>
      <c r="H115" s="8">
        <v>41</v>
      </c>
      <c r="I115" s="8">
        <v>36</v>
      </c>
      <c r="J115" s="4"/>
      <c r="K115" s="4"/>
      <c r="L115" s="4"/>
      <c r="M115" s="4"/>
    </row>
    <row r="116" spans="1:13" x14ac:dyDescent="0.25">
      <c r="A116" s="2">
        <v>102</v>
      </c>
      <c r="B116" s="8">
        <v>278</v>
      </c>
      <c r="C116" s="8">
        <v>358</v>
      </c>
      <c r="D116" s="8"/>
      <c r="E116" s="8"/>
      <c r="F116" s="4"/>
      <c r="G116" s="4"/>
      <c r="H116" s="8">
        <v>74</v>
      </c>
      <c r="I116" s="8">
        <v>52</v>
      </c>
      <c r="J116" s="4"/>
      <c r="K116" s="4"/>
      <c r="L116" s="4"/>
      <c r="M116" s="4"/>
    </row>
    <row r="117" spans="1:13" x14ac:dyDescent="0.25">
      <c r="A117" s="2">
        <v>103</v>
      </c>
      <c r="B117" s="8">
        <v>202</v>
      </c>
      <c r="C117" s="8">
        <v>226</v>
      </c>
      <c r="D117" s="8"/>
      <c r="E117" s="8"/>
      <c r="F117" s="4"/>
      <c r="G117" s="4"/>
      <c r="H117" s="8">
        <v>53</v>
      </c>
      <c r="I117" s="8">
        <v>26</v>
      </c>
      <c r="J117" s="4"/>
      <c r="K117" s="4"/>
      <c r="L117" s="4"/>
      <c r="M117" s="4"/>
    </row>
    <row r="118" spans="1:13" x14ac:dyDescent="0.25">
      <c r="A118" s="2">
        <v>104</v>
      </c>
      <c r="B118" s="8">
        <v>125</v>
      </c>
      <c r="C118" s="8">
        <v>143</v>
      </c>
      <c r="D118" s="8"/>
      <c r="E118" s="8"/>
      <c r="F118" s="4"/>
      <c r="G118" s="4"/>
      <c r="H118" s="8">
        <v>24</v>
      </c>
      <c r="I118" s="8">
        <v>22</v>
      </c>
      <c r="J118" s="4"/>
      <c r="K118" s="4"/>
      <c r="L118" s="4"/>
      <c r="M118" s="4"/>
    </row>
    <row r="119" spans="1:13" x14ac:dyDescent="0.25">
      <c r="A119" s="2">
        <v>105</v>
      </c>
      <c r="B119" s="8">
        <v>249</v>
      </c>
      <c r="C119" s="8">
        <v>350</v>
      </c>
      <c r="D119" s="8"/>
      <c r="E119" s="8"/>
      <c r="F119" s="4"/>
      <c r="G119" s="4"/>
      <c r="H119" s="8">
        <v>69</v>
      </c>
      <c r="I119" s="8">
        <v>35</v>
      </c>
      <c r="J119" s="4"/>
      <c r="K119" s="4"/>
      <c r="L119" s="4"/>
      <c r="M119" s="4"/>
    </row>
    <row r="120" spans="1:13" x14ac:dyDescent="0.25">
      <c r="A120" s="2">
        <v>106</v>
      </c>
      <c r="B120" s="8">
        <v>83</v>
      </c>
      <c r="C120" s="8">
        <v>91</v>
      </c>
      <c r="D120" s="8"/>
      <c r="E120" s="8"/>
      <c r="F120" s="4"/>
      <c r="G120" s="4"/>
      <c r="H120" s="8">
        <v>32</v>
      </c>
      <c r="I120" s="8">
        <v>19</v>
      </c>
      <c r="J120" s="4"/>
      <c r="K120" s="4"/>
      <c r="L120" s="4"/>
      <c r="M120" s="4"/>
    </row>
    <row r="121" spans="1:13" x14ac:dyDescent="0.25">
      <c r="A121" s="2">
        <v>107</v>
      </c>
      <c r="B121" s="8">
        <v>70</v>
      </c>
      <c r="C121" s="8">
        <v>69</v>
      </c>
      <c r="D121" s="8"/>
      <c r="E121" s="8"/>
      <c r="F121" s="4"/>
      <c r="G121" s="4"/>
      <c r="H121" s="8">
        <v>21</v>
      </c>
      <c r="I121" s="8">
        <v>12</v>
      </c>
      <c r="J121" s="4"/>
      <c r="K121" s="4"/>
      <c r="L121" s="4"/>
      <c r="M121" s="4"/>
    </row>
    <row r="122" spans="1:13" x14ac:dyDescent="0.25">
      <c r="A122" s="2">
        <v>108</v>
      </c>
      <c r="B122" s="8">
        <v>45</v>
      </c>
      <c r="C122" s="8">
        <v>50</v>
      </c>
      <c r="D122" s="8"/>
      <c r="E122" s="8"/>
      <c r="F122" s="4"/>
      <c r="G122" s="4"/>
      <c r="H122" s="8">
        <v>16</v>
      </c>
      <c r="I122" s="8">
        <v>7</v>
      </c>
      <c r="J122" s="4"/>
      <c r="K122" s="4"/>
      <c r="L122" s="4"/>
      <c r="M122" s="4"/>
    </row>
    <row r="123" spans="1:13" x14ac:dyDescent="0.25">
      <c r="A123" s="2">
        <v>109</v>
      </c>
      <c r="B123" s="8">
        <v>65</v>
      </c>
      <c r="C123" s="8">
        <v>56</v>
      </c>
      <c r="D123" s="8"/>
      <c r="E123" s="8"/>
      <c r="F123" s="4"/>
      <c r="G123" s="4"/>
      <c r="H123" s="8">
        <v>12</v>
      </c>
      <c r="I123" s="8">
        <v>4</v>
      </c>
      <c r="J123" s="4"/>
      <c r="K123" s="4"/>
      <c r="L123" s="4"/>
      <c r="M123" s="4"/>
    </row>
    <row r="124" spans="1:13" x14ac:dyDescent="0.25">
      <c r="A124" s="2" t="s">
        <v>85</v>
      </c>
      <c r="B124" s="8">
        <v>3391</v>
      </c>
      <c r="C124" s="8">
        <v>4842</v>
      </c>
      <c r="D124" s="8"/>
      <c r="E124" s="8">
        <f>SUM(B114:B123)-B124</f>
        <v>0</v>
      </c>
      <c r="F124" s="8">
        <f>SUM(C114:C123)-C124</f>
        <v>0</v>
      </c>
      <c r="G124" s="8"/>
      <c r="H124" s="8">
        <v>698</v>
      </c>
      <c r="I124" s="8">
        <v>607</v>
      </c>
      <c r="J124" s="4"/>
      <c r="K124" s="8">
        <f>SUM(H114:H123)-H124</f>
        <v>0</v>
      </c>
      <c r="L124" s="8">
        <f>SUM(I114:I123)-I124</f>
        <v>0</v>
      </c>
      <c r="M124" s="4"/>
    </row>
    <row r="125" spans="1:13" x14ac:dyDescent="0.25">
      <c r="A125" s="2" t="s">
        <v>86</v>
      </c>
      <c r="B125" s="8">
        <v>94</v>
      </c>
      <c r="C125" s="8">
        <v>184</v>
      </c>
      <c r="D125" s="8"/>
      <c r="E125" s="8"/>
      <c r="F125" s="4"/>
      <c r="G125" s="4"/>
      <c r="H125" s="8">
        <v>33</v>
      </c>
      <c r="I125" s="8">
        <v>38</v>
      </c>
      <c r="J125" s="4"/>
      <c r="K125" s="4"/>
      <c r="L125" s="4"/>
      <c r="M125" s="4"/>
    </row>
    <row r="126" spans="1:13" x14ac:dyDescent="0.25">
      <c r="A126" s="2" t="s">
        <v>11</v>
      </c>
      <c r="B126" s="8">
        <v>16148</v>
      </c>
      <c r="C126" s="8">
        <v>15440</v>
      </c>
      <c r="D126" s="8"/>
      <c r="E126" s="8"/>
      <c r="F126" s="4"/>
      <c r="G126" s="4"/>
      <c r="H126" s="8">
        <v>1597</v>
      </c>
      <c r="I126" s="8">
        <v>1001</v>
      </c>
      <c r="J126" s="4"/>
      <c r="K126" s="4"/>
      <c r="L126" s="4"/>
      <c r="M126" s="4"/>
    </row>
    <row r="127" spans="1:13" x14ac:dyDescent="0.25">
      <c r="A127" s="2" t="s">
        <v>87</v>
      </c>
      <c r="B127" s="8">
        <v>45749575</v>
      </c>
      <c r="C127" s="8">
        <v>47693289</v>
      </c>
      <c r="D127" s="8"/>
      <c r="E127" s="8"/>
      <c r="F127" s="4"/>
      <c r="G127" s="4"/>
      <c r="H127" s="8">
        <v>2964419</v>
      </c>
      <c r="I127" s="8">
        <v>2794403</v>
      </c>
      <c r="J127" s="4"/>
      <c r="K127" s="4"/>
      <c r="L127" s="4"/>
      <c r="M127" s="4"/>
    </row>
    <row r="128" spans="1:13" x14ac:dyDescent="0.25">
      <c r="B128" s="1"/>
      <c r="C128" s="1"/>
      <c r="D128" s="1"/>
      <c r="E128" s="1"/>
      <c r="F128" s="1"/>
      <c r="G128" s="1"/>
      <c r="H128" s="1"/>
      <c r="I128" s="1"/>
      <c r="J128" s="1"/>
      <c r="K128" s="1"/>
    </row>
    <row r="129" spans="1:13" x14ac:dyDescent="0.25">
      <c r="A129" s="11" t="s">
        <v>12</v>
      </c>
      <c r="B129" s="10">
        <f>B4 + B14 + B25 + B36 + B47 + B58 + B69 + B80 + B91 + B102 + B113 + B124 + B125 + B126 - B127</f>
        <v>0</v>
      </c>
      <c r="C129" s="10">
        <f>C4 + C14 + C25 + C36 + C47 + C58 + C69 + C80 + C91 + C102 + C113 + C124 + C125 + C126 - C127</f>
        <v>0</v>
      </c>
      <c r="D129" s="9"/>
      <c r="E129" s="9"/>
      <c r="F129" s="9"/>
      <c r="G129" s="9"/>
      <c r="H129" s="10">
        <f>H4 + H14 + H25 + H36 + H47 + H58 + H69 + H80 + H91 + H102 + H113 + H124 + H125 + H126 - H127</f>
        <v>0</v>
      </c>
      <c r="I129" s="10">
        <f>I4 + I14 + I25 + I36 + I47 + I58 + I69 + I80 + I91 + I102 + I113 + I124 + I125 + I126 - I127</f>
        <v>0</v>
      </c>
      <c r="J129" s="9"/>
      <c r="K129" s="9"/>
      <c r="L129" s="9"/>
      <c r="M129" s="9"/>
    </row>
  </sheetData>
  <mergeCells count="4">
    <mergeCell ref="B1:C1"/>
    <mergeCell ref="H1:I1"/>
    <mergeCell ref="E3:F3"/>
    <mergeCell ref="K3:L3"/>
  </mergeCells>
  <pageMargins left="0.7" right="0.7" top="0.75" bottom="0.75" header="0.3" footer="0.3"/>
  <ignoredErrors>
    <ignoredError sqref="A5:A48 A49:A64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Notes</vt:lpstr>
      <vt:lpstr>MX-1895-raw</vt:lpstr>
      <vt:lpstr>MX-1900-raw</vt:lpstr>
      <vt:lpstr>RU-1897-raw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2026-04-23T03:26:50Z</dcterms:created>
  <dcterms:modified xsi:type="dcterms:W3CDTF">2026-04-23T06:42:54Z</dcterms:modified>
</cp:coreProperties>
</file>