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7238F5FC-DABB-4FD4-945F-4071834D0621}" xr6:coauthVersionLast="47" xr6:coauthVersionMax="47" xr10:uidLastSave="{00000000-0000-0000-0000-000000000000}"/>
  <bookViews>
    <workbookView xWindow="76020" yWindow="2775" windowWidth="30030" windowHeight="15165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H4" i="2"/>
  <c r="I11" i="2"/>
  <c r="I10" i="2"/>
  <c r="I9" i="2"/>
  <c r="I8" i="2"/>
  <c r="I7" i="2"/>
  <c r="I6" i="2"/>
  <c r="I5" i="2"/>
  <c r="H11" i="2"/>
  <c r="H10" i="2"/>
  <c r="H9" i="2"/>
  <c r="H8" i="2"/>
  <c r="H7" i="2"/>
  <c r="H6" i="2"/>
  <c r="H5" i="2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S108" i="10"/>
  <c r="T107" i="10"/>
  <c r="S107" i="10"/>
  <c r="S105" i="10"/>
  <c r="T102" i="10"/>
  <c r="S100" i="10"/>
  <c r="T99" i="10"/>
  <c r="S99" i="10"/>
  <c r="S97" i="10"/>
  <c r="T94" i="10"/>
  <c r="S92" i="10"/>
  <c r="T91" i="10"/>
  <c r="S91" i="10"/>
  <c r="S89" i="10"/>
  <c r="T86" i="10"/>
  <c r="S84" i="10"/>
  <c r="T83" i="10"/>
  <c r="S83" i="10"/>
  <c r="S81" i="10"/>
  <c r="T78" i="10"/>
  <c r="S76" i="10"/>
  <c r="T75" i="10"/>
  <c r="S75" i="10"/>
  <c r="S73" i="10"/>
  <c r="T70" i="10"/>
  <c r="S68" i="10"/>
  <c r="T67" i="10"/>
  <c r="S67" i="10"/>
  <c r="S65" i="10"/>
  <c r="T62" i="10"/>
  <c r="S60" i="10"/>
  <c r="T59" i="10"/>
  <c r="S59" i="10"/>
  <c r="S57" i="10"/>
  <c r="T54" i="10"/>
  <c r="S52" i="10"/>
  <c r="T51" i="10"/>
  <c r="S51" i="10"/>
  <c r="S49" i="10"/>
  <c r="T46" i="10"/>
  <c r="S44" i="10"/>
  <c r="T43" i="10"/>
  <c r="S43" i="10"/>
  <c r="S41" i="10"/>
  <c r="T38" i="10"/>
  <c r="S36" i="10"/>
  <c r="T35" i="10"/>
  <c r="S35" i="10"/>
  <c r="S33" i="10"/>
  <c r="T30" i="10"/>
  <c r="S28" i="10"/>
  <c r="T27" i="10"/>
  <c r="S27" i="10"/>
  <c r="S25" i="10"/>
  <c r="T22" i="10"/>
  <c r="S20" i="10"/>
  <c r="T19" i="10"/>
  <c r="S19" i="10"/>
  <c r="S17" i="10"/>
  <c r="T14" i="10"/>
  <c r="S12" i="10"/>
  <c r="T11" i="10"/>
  <c r="S11" i="10"/>
  <c r="S9" i="10"/>
  <c r="T6" i="10"/>
  <c r="N108" i="10"/>
  <c r="N107" i="10"/>
  <c r="N92" i="10"/>
  <c r="N91" i="10"/>
  <c r="N76" i="10"/>
  <c r="N75" i="10"/>
  <c r="N60" i="10"/>
  <c r="N59" i="10"/>
  <c r="N44" i="10"/>
  <c r="N43" i="10"/>
  <c r="N28" i="10"/>
  <c r="N27" i="10"/>
  <c r="N12" i="10"/>
  <c r="N11" i="10"/>
  <c r="M112" i="10"/>
  <c r="M108" i="10"/>
  <c r="M107" i="10"/>
  <c r="M106" i="10"/>
  <c r="M105" i="10"/>
  <c r="M101" i="10"/>
  <c r="M96" i="10"/>
  <c r="M92" i="10"/>
  <c r="M91" i="10"/>
  <c r="M90" i="10"/>
  <c r="M89" i="10"/>
  <c r="M85" i="10"/>
  <c r="M80" i="10"/>
  <c r="M76" i="10"/>
  <c r="M75" i="10"/>
  <c r="M74" i="10"/>
  <c r="M73" i="10"/>
  <c r="M69" i="10"/>
  <c r="M64" i="10"/>
  <c r="M60" i="10"/>
  <c r="M59" i="10"/>
  <c r="M58" i="10"/>
  <c r="M57" i="10"/>
  <c r="M53" i="10"/>
  <c r="M49" i="10"/>
  <c r="M48" i="10"/>
  <c r="M44" i="10"/>
  <c r="M43" i="10"/>
  <c r="M42" i="10"/>
  <c r="M41" i="10"/>
  <c r="M37" i="10"/>
  <c r="M33" i="10"/>
  <c r="M32" i="10"/>
  <c r="M28" i="10"/>
  <c r="M27" i="10"/>
  <c r="M26" i="10"/>
  <c r="M25" i="10"/>
  <c r="M21" i="10"/>
  <c r="M17" i="10"/>
  <c r="M16" i="10"/>
  <c r="M12" i="10"/>
  <c r="M11" i="10"/>
  <c r="M10" i="10"/>
  <c r="M9" i="10"/>
  <c r="M5" i="10"/>
  <c r="J116" i="10"/>
  <c r="T109" i="10" s="1"/>
  <c r="I116" i="10"/>
  <c r="S109" i="10" s="1"/>
  <c r="G116" i="10"/>
  <c r="Q114" i="10" s="1"/>
  <c r="F116" i="10"/>
  <c r="P114" i="10" s="1"/>
  <c r="D116" i="10"/>
  <c r="N112" i="10" s="1"/>
  <c r="C116" i="10"/>
  <c r="M110" i="10" s="1"/>
  <c r="I5" i="7"/>
  <c r="I6" i="7"/>
  <c r="I7" i="7"/>
  <c r="I8" i="7"/>
  <c r="I9" i="7"/>
  <c r="I10" i="7"/>
  <c r="I116" i="7" s="1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Q30" i="7" s="1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H20" i="7"/>
  <c r="Q20" i="7" s="1"/>
  <c r="H21" i="7"/>
  <c r="H22" i="7"/>
  <c r="H23" i="7"/>
  <c r="H24" i="7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H43" i="7"/>
  <c r="Q43" i="7" s="1"/>
  <c r="H44" i="7"/>
  <c r="H45" i="7"/>
  <c r="H46" i="7"/>
  <c r="H47" i="7"/>
  <c r="H48" i="7"/>
  <c r="Q48" i="7" s="1"/>
  <c r="H49" i="7"/>
  <c r="H50" i="7"/>
  <c r="H51" i="7"/>
  <c r="H52" i="7"/>
  <c r="H53" i="7"/>
  <c r="Q53" i="7" s="1"/>
  <c r="H54" i="7"/>
  <c r="Q54" i="7" s="1"/>
  <c r="H55" i="7"/>
  <c r="H56" i="7"/>
  <c r="H57" i="7"/>
  <c r="H58" i="7"/>
  <c r="H59" i="7"/>
  <c r="H60" i="7"/>
  <c r="Q60" i="7" s="1"/>
  <c r="H61" i="7"/>
  <c r="H62" i="7"/>
  <c r="H63" i="7"/>
  <c r="H64" i="7"/>
  <c r="H65" i="7"/>
  <c r="Q65" i="7" s="1"/>
  <c r="H66" i="7"/>
  <c r="Q66" i="7" s="1"/>
  <c r="H67" i="7"/>
  <c r="H68" i="7"/>
  <c r="Q68" i="7" s="1"/>
  <c r="H69" i="7"/>
  <c r="H70" i="7"/>
  <c r="H71" i="7"/>
  <c r="H72" i="7"/>
  <c r="H73" i="7"/>
  <c r="Q73" i="7" s="1"/>
  <c r="H74" i="7"/>
  <c r="H75" i="7"/>
  <c r="H76" i="7"/>
  <c r="H77" i="7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Q90" i="7" s="1"/>
  <c r="H91" i="7"/>
  <c r="Q91" i="7" s="1"/>
  <c r="H92" i="7"/>
  <c r="Q92" i="7" s="1"/>
  <c r="H93" i="7"/>
  <c r="H94" i="7"/>
  <c r="H95" i="7"/>
  <c r="H96" i="7"/>
  <c r="Q96" i="7" s="1"/>
  <c r="H97" i="7"/>
  <c r="H98" i="7"/>
  <c r="H99" i="7"/>
  <c r="H100" i="7"/>
  <c r="H101" i="7"/>
  <c r="Q101" i="7" s="1"/>
  <c r="H102" i="7"/>
  <c r="Q102" i="7" s="1"/>
  <c r="H103" i="7"/>
  <c r="H104" i="7"/>
  <c r="H105" i="7"/>
  <c r="H106" i="7"/>
  <c r="H107" i="7"/>
  <c r="H108" i="7"/>
  <c r="Q108" i="7" s="1"/>
  <c r="H109" i="7"/>
  <c r="H110" i="7"/>
  <c r="H111" i="7"/>
  <c r="H112" i="7"/>
  <c r="H113" i="7"/>
  <c r="Q113" i="7" s="1"/>
  <c r="H114" i="7"/>
  <c r="Q114" i="7" s="1"/>
  <c r="Q78" i="7"/>
  <c r="Q77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F115" i="9" s="1"/>
  <c r="P16" i="10" l="1"/>
  <c r="Q40" i="10"/>
  <c r="P65" i="10"/>
  <c r="Q91" i="10"/>
  <c r="Q16" i="10"/>
  <c r="P41" i="10"/>
  <c r="Q67" i="10"/>
  <c r="P94" i="10"/>
  <c r="P17" i="10"/>
  <c r="Q43" i="10"/>
  <c r="P70" i="10"/>
  <c r="P96" i="10"/>
  <c r="Q19" i="10"/>
  <c r="P46" i="10"/>
  <c r="P72" i="10"/>
  <c r="Q96" i="10"/>
  <c r="Q99" i="10"/>
  <c r="Q24" i="10"/>
  <c r="P49" i="10"/>
  <c r="Q75" i="10"/>
  <c r="P102" i="10"/>
  <c r="P97" i="10"/>
  <c r="P73" i="10"/>
  <c r="P25" i="10"/>
  <c r="Q51" i="10"/>
  <c r="P78" i="10"/>
  <c r="P104" i="10"/>
  <c r="Q48" i="10"/>
  <c r="Q27" i="10"/>
  <c r="P54" i="10"/>
  <c r="P80" i="10"/>
  <c r="Q104" i="10"/>
  <c r="P48" i="10"/>
  <c r="P24" i="10"/>
  <c r="P30" i="10"/>
  <c r="P56" i="10"/>
  <c r="Q80" i="10"/>
  <c r="P105" i="10"/>
  <c r="P22" i="10"/>
  <c r="P6" i="10"/>
  <c r="P32" i="10"/>
  <c r="Q56" i="10"/>
  <c r="P81" i="10"/>
  <c r="Q107" i="10"/>
  <c r="P8" i="10"/>
  <c r="Q32" i="10"/>
  <c r="P57" i="10"/>
  <c r="Q83" i="10"/>
  <c r="P110" i="10"/>
  <c r="P112" i="10"/>
  <c r="Q59" i="10"/>
  <c r="P9" i="10"/>
  <c r="Q35" i="10"/>
  <c r="P62" i="10"/>
  <c r="P88" i="10"/>
  <c r="Q112" i="10"/>
  <c r="P86" i="10"/>
  <c r="Q11" i="10"/>
  <c r="P38" i="10"/>
  <c r="P64" i="10"/>
  <c r="Q88" i="10"/>
  <c r="P113" i="10"/>
  <c r="Q72" i="10"/>
  <c r="Q8" i="10"/>
  <c r="P33" i="10"/>
  <c r="P14" i="10"/>
  <c r="P40" i="10"/>
  <c r="Q64" i="10"/>
  <c r="P89" i="10"/>
  <c r="N13" i="10"/>
  <c r="M15" i="10"/>
  <c r="M31" i="10"/>
  <c r="M47" i="10"/>
  <c r="M63" i="10"/>
  <c r="M79" i="10"/>
  <c r="M95" i="10"/>
  <c r="M111" i="10"/>
  <c r="N17" i="10"/>
  <c r="N33" i="10"/>
  <c r="N49" i="10"/>
  <c r="N65" i="10"/>
  <c r="N81" i="10"/>
  <c r="N97" i="10"/>
  <c r="N113" i="10"/>
  <c r="P11" i="10"/>
  <c r="P19" i="10"/>
  <c r="P27" i="10"/>
  <c r="P35" i="10"/>
  <c r="P43" i="10"/>
  <c r="P51" i="10"/>
  <c r="P59" i="10"/>
  <c r="P67" i="10"/>
  <c r="P75" i="10"/>
  <c r="P83" i="10"/>
  <c r="P91" i="10"/>
  <c r="P99" i="10"/>
  <c r="P107" i="10"/>
  <c r="S6" i="10"/>
  <c r="S14" i="10"/>
  <c r="S22" i="10"/>
  <c r="S30" i="10"/>
  <c r="S38" i="10"/>
  <c r="S46" i="10"/>
  <c r="S54" i="10"/>
  <c r="S62" i="10"/>
  <c r="S70" i="10"/>
  <c r="S78" i="10"/>
  <c r="S86" i="10"/>
  <c r="S94" i="10"/>
  <c r="S102" i="10"/>
  <c r="S110" i="10"/>
  <c r="N18" i="10"/>
  <c r="N82" i="10"/>
  <c r="T110" i="10"/>
  <c r="N50" i="10"/>
  <c r="M65" i="10"/>
  <c r="M81" i="10"/>
  <c r="M97" i="10"/>
  <c r="M113" i="10"/>
  <c r="N19" i="10"/>
  <c r="N35" i="10"/>
  <c r="N51" i="10"/>
  <c r="N67" i="10"/>
  <c r="N83" i="10"/>
  <c r="N99" i="10"/>
  <c r="P5" i="10"/>
  <c r="P12" i="10"/>
  <c r="P20" i="10"/>
  <c r="P28" i="10"/>
  <c r="P36" i="10"/>
  <c r="P44" i="10"/>
  <c r="P52" i="10"/>
  <c r="P60" i="10"/>
  <c r="P68" i="10"/>
  <c r="P76" i="10"/>
  <c r="P84" i="10"/>
  <c r="P92" i="10"/>
  <c r="P100" i="10"/>
  <c r="P108" i="10"/>
  <c r="S7" i="10"/>
  <c r="S15" i="10"/>
  <c r="S23" i="10"/>
  <c r="S31" i="10"/>
  <c r="S39" i="10"/>
  <c r="S47" i="10"/>
  <c r="S55" i="10"/>
  <c r="S63" i="10"/>
  <c r="S71" i="10"/>
  <c r="S79" i="10"/>
  <c r="S87" i="10"/>
  <c r="S95" i="10"/>
  <c r="S103" i="10"/>
  <c r="S111" i="10"/>
  <c r="Q67" i="7"/>
  <c r="Q19" i="7"/>
  <c r="Q97" i="7"/>
  <c r="Q49" i="7"/>
  <c r="M18" i="10"/>
  <c r="M34" i="10"/>
  <c r="M50" i="10"/>
  <c r="M66" i="10"/>
  <c r="M82" i="10"/>
  <c r="M98" i="10"/>
  <c r="M114" i="10"/>
  <c r="N20" i="10"/>
  <c r="N36" i="10"/>
  <c r="N52" i="10"/>
  <c r="N68" i="10"/>
  <c r="N84" i="10"/>
  <c r="N100" i="10"/>
  <c r="Q5" i="10"/>
  <c r="Q12" i="10"/>
  <c r="Q20" i="10"/>
  <c r="Q28" i="10"/>
  <c r="Q36" i="10"/>
  <c r="Q44" i="10"/>
  <c r="Q52" i="10"/>
  <c r="Q60" i="10"/>
  <c r="Q68" i="10"/>
  <c r="Q76" i="10"/>
  <c r="Q84" i="10"/>
  <c r="Q92" i="10"/>
  <c r="Q100" i="10"/>
  <c r="Q108" i="10"/>
  <c r="T7" i="10"/>
  <c r="T15" i="10"/>
  <c r="T23" i="10"/>
  <c r="T31" i="10"/>
  <c r="T39" i="10"/>
  <c r="T47" i="10"/>
  <c r="T55" i="10"/>
  <c r="T63" i="10"/>
  <c r="T71" i="10"/>
  <c r="T79" i="10"/>
  <c r="T87" i="10"/>
  <c r="T95" i="10"/>
  <c r="T103" i="10"/>
  <c r="T111" i="10"/>
  <c r="N34" i="10"/>
  <c r="N66" i="10"/>
  <c r="N98" i="10"/>
  <c r="N114" i="10"/>
  <c r="M19" i="10"/>
  <c r="M35" i="10"/>
  <c r="M51" i="10"/>
  <c r="M67" i="10"/>
  <c r="M83" i="10"/>
  <c r="M99" i="10"/>
  <c r="N5" i="10"/>
  <c r="N21" i="10"/>
  <c r="N37" i="10"/>
  <c r="N53" i="10"/>
  <c r="N69" i="10"/>
  <c r="N85" i="10"/>
  <c r="N101" i="10"/>
  <c r="S5" i="10"/>
  <c r="P13" i="10"/>
  <c r="P21" i="10"/>
  <c r="P29" i="10"/>
  <c r="P37" i="10"/>
  <c r="P45" i="10"/>
  <c r="P53" i="10"/>
  <c r="P61" i="10"/>
  <c r="P69" i="10"/>
  <c r="P77" i="10"/>
  <c r="P85" i="10"/>
  <c r="P93" i="10"/>
  <c r="P101" i="10"/>
  <c r="P109" i="10"/>
  <c r="S8" i="10"/>
  <c r="S16" i="10"/>
  <c r="S24" i="10"/>
  <c r="S32" i="10"/>
  <c r="S40" i="10"/>
  <c r="S48" i="10"/>
  <c r="S56" i="10"/>
  <c r="S64" i="10"/>
  <c r="S72" i="10"/>
  <c r="S80" i="10"/>
  <c r="S88" i="10"/>
  <c r="S96" i="10"/>
  <c r="S104" i="10"/>
  <c r="S112" i="10"/>
  <c r="M20" i="10"/>
  <c r="M36" i="10"/>
  <c r="M52" i="10"/>
  <c r="M68" i="10"/>
  <c r="M84" i="10"/>
  <c r="M100" i="10"/>
  <c r="N6" i="10"/>
  <c r="N22" i="10"/>
  <c r="N38" i="10"/>
  <c r="N54" i="10"/>
  <c r="N70" i="10"/>
  <c r="N86" i="10"/>
  <c r="N102" i="10"/>
  <c r="T5" i="10"/>
  <c r="Q13" i="10"/>
  <c r="Q21" i="10"/>
  <c r="Q29" i="10"/>
  <c r="Q37" i="10"/>
  <c r="Q45" i="10"/>
  <c r="Q53" i="10"/>
  <c r="Q61" i="10"/>
  <c r="Q69" i="10"/>
  <c r="Q77" i="10"/>
  <c r="Q85" i="10"/>
  <c r="Q93" i="10"/>
  <c r="Q101" i="10"/>
  <c r="Q109" i="10"/>
  <c r="T8" i="10"/>
  <c r="T16" i="10"/>
  <c r="T24" i="10"/>
  <c r="T32" i="10"/>
  <c r="T40" i="10"/>
  <c r="T48" i="10"/>
  <c r="T56" i="10"/>
  <c r="T64" i="10"/>
  <c r="T72" i="10"/>
  <c r="T80" i="10"/>
  <c r="T88" i="10"/>
  <c r="T96" i="10"/>
  <c r="T104" i="10"/>
  <c r="T112" i="10"/>
  <c r="S113" i="10"/>
  <c r="N71" i="10"/>
  <c r="Q109" i="7"/>
  <c r="Q61" i="7"/>
  <c r="Q13" i="7"/>
  <c r="M6" i="10"/>
  <c r="M22" i="10"/>
  <c r="M38" i="10"/>
  <c r="M54" i="10"/>
  <c r="M70" i="10"/>
  <c r="M86" i="10"/>
  <c r="M102" i="10"/>
  <c r="N8" i="10"/>
  <c r="N24" i="10"/>
  <c r="N40" i="10"/>
  <c r="N56" i="10"/>
  <c r="N72" i="10"/>
  <c r="N88" i="10"/>
  <c r="N104" i="10"/>
  <c r="Q6" i="10"/>
  <c r="Q14" i="10"/>
  <c r="Q22" i="10"/>
  <c r="Q30" i="10"/>
  <c r="Q38" i="10"/>
  <c r="Q46" i="10"/>
  <c r="Q54" i="10"/>
  <c r="Q62" i="10"/>
  <c r="Q70" i="10"/>
  <c r="Q78" i="10"/>
  <c r="Q86" i="10"/>
  <c r="Q94" i="10"/>
  <c r="Q102" i="10"/>
  <c r="Q110" i="10"/>
  <c r="T9" i="10"/>
  <c r="T17" i="10"/>
  <c r="T25" i="10"/>
  <c r="T33" i="10"/>
  <c r="T41" i="10"/>
  <c r="T49" i="10"/>
  <c r="T57" i="10"/>
  <c r="T65" i="10"/>
  <c r="T73" i="10"/>
  <c r="T81" i="10"/>
  <c r="T89" i="10"/>
  <c r="T97" i="10"/>
  <c r="T105" i="10"/>
  <c r="T113" i="10"/>
  <c r="N7" i="10"/>
  <c r="N39" i="10"/>
  <c r="N87" i="10"/>
  <c r="M7" i="10"/>
  <c r="M23" i="10"/>
  <c r="M39" i="10"/>
  <c r="M55" i="10"/>
  <c r="M71" i="10"/>
  <c r="M87" i="10"/>
  <c r="M103" i="10"/>
  <c r="N9" i="10"/>
  <c r="N25" i="10"/>
  <c r="N41" i="10"/>
  <c r="N57" i="10"/>
  <c r="N73" i="10"/>
  <c r="N89" i="10"/>
  <c r="N105" i="10"/>
  <c r="P7" i="10"/>
  <c r="P15" i="10"/>
  <c r="P23" i="10"/>
  <c r="P31" i="10"/>
  <c r="P39" i="10"/>
  <c r="P47" i="10"/>
  <c r="P55" i="10"/>
  <c r="P63" i="10"/>
  <c r="P71" i="10"/>
  <c r="P79" i="10"/>
  <c r="P87" i="10"/>
  <c r="P95" i="10"/>
  <c r="P103" i="10"/>
  <c r="P111" i="10"/>
  <c r="S10" i="10"/>
  <c r="S18" i="10"/>
  <c r="S26" i="10"/>
  <c r="S34" i="10"/>
  <c r="S42" i="10"/>
  <c r="S50" i="10"/>
  <c r="S58" i="10"/>
  <c r="S66" i="10"/>
  <c r="S74" i="10"/>
  <c r="S82" i="10"/>
  <c r="S90" i="10"/>
  <c r="S98" i="10"/>
  <c r="S106" i="10"/>
  <c r="S114" i="10"/>
  <c r="N23" i="10"/>
  <c r="N55" i="10"/>
  <c r="N103" i="10"/>
  <c r="M8" i="10"/>
  <c r="M24" i="10"/>
  <c r="M40" i="10"/>
  <c r="M56" i="10"/>
  <c r="M72" i="10"/>
  <c r="M88" i="10"/>
  <c r="M104" i="10"/>
  <c r="N10" i="10"/>
  <c r="N26" i="10"/>
  <c r="N42" i="10"/>
  <c r="N58" i="10"/>
  <c r="N74" i="10"/>
  <c r="N90" i="10"/>
  <c r="N106" i="10"/>
  <c r="Q7" i="10"/>
  <c r="Q15" i="10"/>
  <c r="Q23" i="10"/>
  <c r="Q31" i="10"/>
  <c r="Q39" i="10"/>
  <c r="Q47" i="10"/>
  <c r="Q55" i="10"/>
  <c r="Q63" i="10"/>
  <c r="Q71" i="10"/>
  <c r="Q79" i="10"/>
  <c r="Q87" i="10"/>
  <c r="Q95" i="10"/>
  <c r="Q103" i="10"/>
  <c r="Q111" i="10"/>
  <c r="T10" i="10"/>
  <c r="T18" i="10"/>
  <c r="T26" i="10"/>
  <c r="T34" i="10"/>
  <c r="T42" i="10"/>
  <c r="T50" i="10"/>
  <c r="T58" i="10"/>
  <c r="T66" i="10"/>
  <c r="T74" i="10"/>
  <c r="T82" i="10"/>
  <c r="T90" i="10"/>
  <c r="T98" i="10"/>
  <c r="T106" i="10"/>
  <c r="T114" i="10"/>
  <c r="N29" i="10"/>
  <c r="N61" i="10"/>
  <c r="N77" i="10"/>
  <c r="N109" i="10"/>
  <c r="N14" i="10"/>
  <c r="N30" i="10"/>
  <c r="N46" i="10"/>
  <c r="N62" i="10"/>
  <c r="N78" i="10"/>
  <c r="N94" i="10"/>
  <c r="N110" i="10"/>
  <c r="Q9" i="10"/>
  <c r="Q17" i="10"/>
  <c r="Q25" i="10"/>
  <c r="Q33" i="10"/>
  <c r="Q41" i="10"/>
  <c r="Q49" i="10"/>
  <c r="Q57" i="10"/>
  <c r="Q65" i="10"/>
  <c r="Q73" i="10"/>
  <c r="Q81" i="10"/>
  <c r="Q89" i="10"/>
  <c r="Q97" i="10"/>
  <c r="Q105" i="10"/>
  <c r="Q113" i="10"/>
  <c r="T12" i="10"/>
  <c r="T20" i="10"/>
  <c r="T28" i="10"/>
  <c r="T36" i="10"/>
  <c r="T44" i="10"/>
  <c r="T52" i="10"/>
  <c r="T60" i="10"/>
  <c r="T68" i="10"/>
  <c r="T76" i="10"/>
  <c r="T84" i="10"/>
  <c r="T92" i="10"/>
  <c r="T100" i="10"/>
  <c r="T108" i="10"/>
  <c r="Q104" i="7"/>
  <c r="Q72" i="7"/>
  <c r="Q56" i="7"/>
  <c r="Q24" i="7"/>
  <c r="M13" i="10"/>
  <c r="M29" i="10"/>
  <c r="M45" i="10"/>
  <c r="M61" i="10"/>
  <c r="M77" i="10"/>
  <c r="M93" i="10"/>
  <c r="M109" i="10"/>
  <c r="N15" i="10"/>
  <c r="N31" i="10"/>
  <c r="N47" i="10"/>
  <c r="N63" i="10"/>
  <c r="N79" i="10"/>
  <c r="N95" i="10"/>
  <c r="N111" i="10"/>
  <c r="P10" i="10"/>
  <c r="P18" i="10"/>
  <c r="P26" i="10"/>
  <c r="P34" i="10"/>
  <c r="P42" i="10"/>
  <c r="P50" i="10"/>
  <c r="P58" i="10"/>
  <c r="P66" i="10"/>
  <c r="P74" i="10"/>
  <c r="P82" i="10"/>
  <c r="P90" i="10"/>
  <c r="P98" i="10"/>
  <c r="P106" i="10"/>
  <c r="S13" i="10"/>
  <c r="S21" i="10"/>
  <c r="S29" i="10"/>
  <c r="S37" i="10"/>
  <c r="S45" i="10"/>
  <c r="S53" i="10"/>
  <c r="S61" i="10"/>
  <c r="S69" i="10"/>
  <c r="S77" i="10"/>
  <c r="S85" i="10"/>
  <c r="S93" i="10"/>
  <c r="S101" i="10"/>
  <c r="Q42" i="7"/>
  <c r="N45" i="10"/>
  <c r="N93" i="10"/>
  <c r="Q85" i="7"/>
  <c r="Q37" i="7"/>
  <c r="M14" i="10"/>
  <c r="M30" i="10"/>
  <c r="M46" i="10"/>
  <c r="M62" i="10"/>
  <c r="M78" i="10"/>
  <c r="M94" i="10"/>
  <c r="N16" i="10"/>
  <c r="N32" i="10"/>
  <c r="N48" i="10"/>
  <c r="N64" i="10"/>
  <c r="N80" i="10"/>
  <c r="N96" i="10"/>
  <c r="Q10" i="10"/>
  <c r="Q18" i="10"/>
  <c r="Q26" i="10"/>
  <c r="Q34" i="10"/>
  <c r="Q42" i="10"/>
  <c r="Q50" i="10"/>
  <c r="Q58" i="10"/>
  <c r="Q66" i="10"/>
  <c r="Q74" i="10"/>
  <c r="Q82" i="10"/>
  <c r="Q90" i="10"/>
  <c r="Q98" i="10"/>
  <c r="Q106" i="10"/>
  <c r="T13" i="10"/>
  <c r="T21" i="10"/>
  <c r="T29" i="10"/>
  <c r="T37" i="10"/>
  <c r="T45" i="10"/>
  <c r="T53" i="10"/>
  <c r="T61" i="10"/>
  <c r="T69" i="10"/>
  <c r="T77" i="10"/>
  <c r="T85" i="10"/>
  <c r="T93" i="10"/>
  <c r="T101" i="10"/>
  <c r="G115" i="1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G115" i="8" s="1"/>
  <c r="N116" i="7"/>
  <c r="H116" i="7"/>
  <c r="F116" i="7"/>
  <c r="E116" i="7"/>
  <c r="C116" i="7"/>
  <c r="B116" i="7"/>
  <c r="Q5" i="7"/>
  <c r="N5" i="7"/>
  <c r="K5" i="7"/>
  <c r="K116" i="7" s="1"/>
  <c r="M116" i="10" l="1"/>
  <c r="T116" i="10"/>
  <c r="N116" i="10"/>
  <c r="P116" i="10"/>
  <c r="Q116" i="10"/>
  <c r="S116" i="10"/>
  <c r="Q116" i="7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<sst xmlns="http://schemas.openxmlformats.org/spreadsheetml/2006/main" count="218" uniqueCount="154">
  <si>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</si>
  <si>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</si>
  <si>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</si>
  <si>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</si>
  <si>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</si>
  <si>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</si>
  <si>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</si>
  <si>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</si>
  <si>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</si>
  <si>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</si>
  <si>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</si>
  <si>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</si>
  <si>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</si>
  <si>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</si>
  <si>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</si>
  <si>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</si>
  <si>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</si>
  <si>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</si>
  <si>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</si>
  <si>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</si>
  <si>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</si>
  <si>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</si>
  <si>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</si>
  <si>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</si>
  <si>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</si>
  <si>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</si>
  <si>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</si>
  <si>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</si>
  <si>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</si>
  <si>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</si>
  <si>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</si>
  <si>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</si>
  <si>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</si>
  <si>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</si>
  <si>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</si>
  <si>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</si>
  <si>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</si>
  <si>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</si>
  <si>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</si>
  <si>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</si>
  <si>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</si>
  <si>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</si>
  <si>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</si>
  <si>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</si>
  <si>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</si>
  <si>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</si>
  <si>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</si>
  <si>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</si>
  <si>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</si>
  <si>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</si>
  <si>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</si>
  <si>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</si>
  <si>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</si>
  <si>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</si>
  <si>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</si>
  <si>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</si>
  <si>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</si>
  <si>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</si>
  <si>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</si>
  <si>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</si>
  <si>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</si>
  <si>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</si>
  <si>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</si>
  <si>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</si>
  <si>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</si>
  <si>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</si>
  <si>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</si>
  <si>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</si>
  <si>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</si>
  <si>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</si>
  <si>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</si>
  <si>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</si>
  <si>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</si>
  <si>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</si>
  <si>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</si>
  <si>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</si>
  <si>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</si>
  <si>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</si>
  <si>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</si>
  <si>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</si>
  <si>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</si>
  <si>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</si>
  <si>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</si>
  <si>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</si>
  <si>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</si>
  <si>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</si>
  <si>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</si>
  <si>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</si>
  <si>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</si>
  <si>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</si>
  <si>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</si>
  <si>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</si>
  <si>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</si>
  <si>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</si>
  <si>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</si>
  <si>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</si>
  <si>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</si>
  <si>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</si>
  <si>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</si>
  <si>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</si>
  <si>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</si>
  <si>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</si>
  <si>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</si>
  <si>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</si>
  <si>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</si>
  <si>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</si>
  <si>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</si>
  <si>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</si>
  <si>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</si>
  <si>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</si>
  <si>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</si>
  <si>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</si>
  <si>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</si>
  <si>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</si>
  <si>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</si>
  <si>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</si>
  <si>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</si>
  <si>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</si>
  <si>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</si>
  <si>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</si>
  <si>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</si>
  <si>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</si>
  <si>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</si>
  <si>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</si>
  <si>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</si>
  <si>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</si>
  <si>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</si>
  <si>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</si>
  <si>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</si>
  <si>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</si>
  <si>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</si>
  <si>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</si>
  <si>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</si>
  <si>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</si>
  <si>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</si>
  <si>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нормированная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</si>
  <si>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</si>
  <si>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</si>
  <si>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</si>
  <si>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</si>
  <si>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</si>
  <si>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</si>
  <si>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</si>
  <si>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</si>
  <si>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</si>
  <si>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</si>
  <si>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</si>
  <si>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</si>
  <si>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</si>
  <si>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</si>
  <si>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</si>
  <si>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</si>
  <si>
    <t>Минимальная коррекция MX-1895-dis на недоучёт переписью детей возрастов 0-1</t>
  </si>
  <si>
    <t>Заметен явный недоучёт детей в возрасте 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</si>
</sst>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000000"/>
    <numFmt numFmtId="167" formatCode="0.00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" fontId="0" fillId="0" borderId="0" xfId="0" applyNumberFormat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3</xdr:row>
      <xdr:rowOff>61911</xdr:rowOff>
    </xdr:from>
    <xdr:to>
      <xdr:col>20</xdr:col>
      <xdr:colOff>600075</xdr:colOff>
      <xdr:row>42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38"/>
  <sheetViews>
    <sheetView tabSelected="1" workbookViewId="0">
      <selection activeCell="B7" sqref="B7"/>
    </sheetView>
  </sheetViews>
  <sheetFormatPr defaultRowHeight="14.4"/>
  <cols>
    <col min="1" max="1" width="20.15625" customWidth="1"/>
  </cols>
  <sheetData>
    <row r="1" spans="1:2">
      <c r="A1" s="5" t="s">
        <v>89</v>
      </c>
      <c r="B1" t="s">
        <v>90</v>
      </c>
    </row>
    <row r="2" spans="1:2">
      <c r="B2" t="s">
        <v>85</v>
      </c>
    </row>
    <row r="3" spans="1:2">
      <c r="B3" t="s">
        <v>87</v>
      </c>
    </row>
    <row r="4" spans="1:2">
      <c r="B4" t="s">
        <v>88</v>
      </c>
    </row>
    <row r="5" spans="1:2">
      <c r="B5" t="s">
        <v>143</v>
      </c>
    </row>
    <row r="6" spans="1:2">
      <c r="B6" t="s">
        <v>153</v>
      </c>
    </row>
    <row r="8" spans="1:2">
      <c r="A8" s="5" t="s">
        <v>140</v>
      </c>
      <c r="B8" t="s">
        <v>122</v>
      </c>
    </row>
    <row r="9" spans="1:2">
      <c r="B9" t="s">
        <v>121</v>
      </c>
    </row>
    <row r="11" spans="1:2">
      <c r="A11" s="5" t="s">
        <v>146</v>
      </c>
      <c r="B11" t="s">
        <v>152</v>
      </c>
    </row>
    <row r="12" spans="1:2">
      <c r="B12" t="s">
        <v>147</v>
      </c>
    </row>
    <row r="13" spans="1:2">
      <c r="B13" t="s">
        <v>149</v>
      </c>
    </row>
    <row r="14" spans="1:2">
      <c r="B14" t="s">
        <v>150</v>
      </c>
    </row>
    <row r="15" spans="1:2">
      <c r="B15" t="s">
        <v>151</v>
      </c>
    </row>
    <row r="17" spans="1:2">
      <c r="A17" s="5" t="s">
        <v>86</v>
      </c>
      <c r="B17" t="s">
        <v>14</v>
      </c>
    </row>
    <row r="18" spans="1:2">
      <c r="B18" t="s">
        <v>85</v>
      </c>
    </row>
    <row r="19" spans="1:2">
      <c r="B19" t="s">
        <v>13</v>
      </c>
    </row>
    <row r="20" spans="1:2">
      <c r="B20" t="s">
        <v>15</v>
      </c>
    </row>
    <row r="21" spans="1:2">
      <c r="B21" t="s">
        <v>144</v>
      </c>
    </row>
    <row r="23" spans="1:2">
      <c r="A23" s="5" t="s">
        <v>141</v>
      </c>
      <c r="B23" t="s">
        <v>124</v>
      </c>
    </row>
    <row r="24" spans="1:2">
      <c r="B24" t="s">
        <v>121</v>
      </c>
    </row>
    <row r="26" spans="1:2">
      <c r="A26" s="5" t="s">
        <v>19</v>
      </c>
      <c r="B26" t="s">
        <v>20</v>
      </c>
    </row>
    <row r="27" spans="1:2">
      <c r="B27" t="s">
        <v>21</v>
      </c>
    </row>
    <row r="28" spans="1:2">
      <c r="B28" t="s">
        <v>85</v>
      </c>
    </row>
    <row r="29" spans="1:2">
      <c r="B29" t="s">
        <v>145</v>
      </c>
    </row>
    <row r="30" spans="1:2">
      <c r="B30" t="s">
        <v>18</v>
      </c>
    </row>
    <row r="32" spans="1:2">
      <c r="A32" s="5" t="s">
        <v>112</v>
      </c>
      <c r="B32" t="s">
        <v>20</v>
      </c>
    </row>
    <row r="33" spans="1:2">
      <c r="B33" t="s">
        <v>142</v>
      </c>
    </row>
    <row r="34" spans="1:2">
      <c r="B34" t="s">
        <v>113</v>
      </c>
    </row>
    <row r="36" spans="1:2">
      <c r="A36" s="5" t="s">
        <v>125</v>
      </c>
      <c r="B36" t="s">
        <v>126</v>
      </c>
    </row>
    <row r="37" spans="1:2">
      <c r="B37" t="s">
        <v>127</v>
      </c>
    </row>
    <row r="38" spans="1:2">
      <c r="B38" t="s">
        <v>128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workbookViewId="0">
      <selection activeCell="F47" sqref="F47"/>
    </sheetView>
  </sheetViews>
  <sheetFormatPr defaultRowHeight="14.4"/>
  <cols>
    <col min="1" max="1" width="10.41796875" customWidth="1"/>
  </cols>
  <sheetData>
    <row r="3" spans="1:9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>
      <c r="A4" s="2" t="s">
        <v>91</v>
      </c>
      <c r="B4" s="9">
        <v>324202</v>
      </c>
      <c r="C4" s="9">
        <v>308727</v>
      </c>
      <c r="D4" s="9">
        <v>632929</v>
      </c>
      <c r="F4" s="4">
        <f>B4+C4-D4</f>
        <v>0</v>
      </c>
    </row>
    <row r="5" spans="1:9">
      <c r="A5" s="2">
        <v>2</v>
      </c>
      <c r="B5" s="9">
        <v>189934</v>
      </c>
      <c r="C5" s="9">
        <v>185418</v>
      </c>
      <c r="D5" s="9">
        <v>375352</v>
      </c>
      <c r="F5" s="4">
        <f t="shared" ref="F5:F30" si="0">B5+C5-D5</f>
        <v>0</v>
      </c>
    </row>
    <row r="6" spans="1:9">
      <c r="A6" s="2">
        <v>3</v>
      </c>
      <c r="B6" s="9">
        <v>189977</v>
      </c>
      <c r="C6" s="9">
        <v>187240</v>
      </c>
      <c r="D6" s="9">
        <v>377217</v>
      </c>
      <c r="F6" s="4">
        <f t="shared" si="0"/>
        <v>0</v>
      </c>
    </row>
    <row r="7" spans="1:9">
      <c r="A7" s="2">
        <v>4</v>
      </c>
      <c r="B7" s="9">
        <v>191481</v>
      </c>
      <c r="C7" s="9">
        <v>190397</v>
      </c>
      <c r="D7" s="9">
        <v>381878</v>
      </c>
      <c r="F7" s="4">
        <f t="shared" si="0"/>
        <v>0</v>
      </c>
    </row>
    <row r="8" spans="1:9">
      <c r="A8" s="3" t="s">
        <v>26</v>
      </c>
      <c r="B8" s="9">
        <v>192191</v>
      </c>
      <c r="C8" s="9">
        <v>182763</v>
      </c>
      <c r="D8" s="9">
        <v>374954</v>
      </c>
      <c r="F8" s="4">
        <f t="shared" si="0"/>
        <v>0</v>
      </c>
    </row>
    <row r="9" spans="1:9">
      <c r="A9" s="3" t="s">
        <v>109</v>
      </c>
      <c r="B9" s="9">
        <v>890484</v>
      </c>
      <c r="C9" s="9">
        <v>835203</v>
      </c>
      <c r="D9" s="9">
        <v>1725687</v>
      </c>
      <c r="F9" s="4">
        <f t="shared" si="0"/>
        <v>0</v>
      </c>
    </row>
    <row r="10" spans="1:9">
      <c r="A10" s="3" t="s">
        <v>110</v>
      </c>
      <c r="B10" s="9">
        <v>686088</v>
      </c>
      <c r="C10" s="9">
        <v>656595</v>
      </c>
      <c r="D10" s="9">
        <v>1342683</v>
      </c>
      <c r="F10" s="4">
        <f t="shared" si="0"/>
        <v>0</v>
      </c>
    </row>
    <row r="11" spans="1:9">
      <c r="A11" s="3" t="s">
        <v>92</v>
      </c>
      <c r="B11" s="9">
        <v>594385</v>
      </c>
      <c r="C11" s="9">
        <v>725053</v>
      </c>
      <c r="D11" s="9">
        <v>1319438</v>
      </c>
      <c r="F11" s="4">
        <f t="shared" si="0"/>
        <v>0</v>
      </c>
    </row>
    <row r="12" spans="1:9">
      <c r="A12" s="3" t="s">
        <v>93</v>
      </c>
      <c r="B12" s="9">
        <v>502893</v>
      </c>
      <c r="C12" s="9">
        <v>565579</v>
      </c>
      <c r="D12" s="9">
        <v>1068472</v>
      </c>
      <c r="F12" s="4">
        <f t="shared" si="0"/>
        <v>0</v>
      </c>
    </row>
    <row r="13" spans="1:9">
      <c r="A13" s="3" t="s">
        <v>94</v>
      </c>
      <c r="B13" s="9">
        <v>590050</v>
      </c>
      <c r="C13" s="9">
        <v>664566</v>
      </c>
      <c r="D13" s="9">
        <v>1254616</v>
      </c>
      <c r="F13" s="4">
        <f t="shared" si="0"/>
        <v>0</v>
      </c>
    </row>
    <row r="14" spans="1:9">
      <c r="A14" s="3" t="s">
        <v>95</v>
      </c>
      <c r="B14" s="9">
        <v>342363</v>
      </c>
      <c r="C14" s="9">
        <v>322093</v>
      </c>
      <c r="D14" s="9">
        <v>664456</v>
      </c>
      <c r="F14" s="4">
        <f t="shared" si="0"/>
        <v>0</v>
      </c>
    </row>
    <row r="15" spans="1:9">
      <c r="A15" s="3" t="s">
        <v>96</v>
      </c>
      <c r="B15" s="9">
        <v>459923</v>
      </c>
      <c r="C15" s="9">
        <v>471960</v>
      </c>
      <c r="D15" s="9">
        <v>931883</v>
      </c>
      <c r="F15" s="4">
        <f t="shared" si="0"/>
        <v>0</v>
      </c>
    </row>
    <row r="16" spans="1:9">
      <c r="A16" s="3" t="s">
        <v>97</v>
      </c>
      <c r="B16" s="9">
        <v>210453</v>
      </c>
      <c r="C16" s="9">
        <v>197859</v>
      </c>
      <c r="D16" s="9">
        <v>408312</v>
      </c>
      <c r="F16" s="4">
        <f t="shared" si="0"/>
        <v>0</v>
      </c>
      <c r="H16" s="8"/>
      <c r="I16" s="8"/>
    </row>
    <row r="17" spans="1:6">
      <c r="A17" s="3" t="s">
        <v>98</v>
      </c>
      <c r="B17" s="9">
        <v>282259</v>
      </c>
      <c r="C17" s="9">
        <v>303959</v>
      </c>
      <c r="D17" s="9">
        <v>586218</v>
      </c>
      <c r="F17" s="4">
        <f t="shared" si="0"/>
        <v>0</v>
      </c>
    </row>
    <row r="18" spans="1:6">
      <c r="A18" s="3" t="s">
        <v>99</v>
      </c>
      <c r="B18" s="9">
        <v>122072</v>
      </c>
      <c r="C18" s="9">
        <v>112213</v>
      </c>
      <c r="D18" s="9">
        <v>234285</v>
      </c>
      <c r="F18" s="4">
        <f t="shared" si="0"/>
        <v>0</v>
      </c>
    </row>
    <row r="19" spans="1:6">
      <c r="A19" s="3" t="s">
        <v>100</v>
      </c>
      <c r="B19" s="9">
        <v>191098</v>
      </c>
      <c r="C19" s="9">
        <v>195181</v>
      </c>
      <c r="D19" s="9">
        <v>386279</v>
      </c>
      <c r="F19" s="4">
        <f t="shared" si="0"/>
        <v>0</v>
      </c>
    </row>
    <row r="20" spans="1:6">
      <c r="A20" s="3" t="s">
        <v>101</v>
      </c>
      <c r="B20" s="9">
        <v>86413</v>
      </c>
      <c r="C20" s="9">
        <v>65737</v>
      </c>
      <c r="D20" s="9">
        <v>152150</v>
      </c>
      <c r="F20" s="4">
        <f t="shared" si="0"/>
        <v>0</v>
      </c>
    </row>
    <row r="21" spans="1:6">
      <c r="A21" s="3" t="s">
        <v>102</v>
      </c>
      <c r="B21" s="9">
        <v>71229</v>
      </c>
      <c r="C21" s="9">
        <v>62344</v>
      </c>
      <c r="D21" s="9">
        <v>133573</v>
      </c>
      <c r="F21" s="4">
        <f t="shared" si="0"/>
        <v>0</v>
      </c>
    </row>
    <row r="22" spans="1:6">
      <c r="A22" s="3" t="s">
        <v>103</v>
      </c>
      <c r="B22" s="9">
        <v>24290</v>
      </c>
      <c r="C22" s="9">
        <v>20055</v>
      </c>
      <c r="D22" s="9">
        <v>44345</v>
      </c>
      <c r="F22" s="4">
        <f t="shared" si="0"/>
        <v>0</v>
      </c>
    </row>
    <row r="23" spans="1:6">
      <c r="A23" s="3" t="s">
        <v>104</v>
      </c>
      <c r="B23" s="9">
        <v>24513</v>
      </c>
      <c r="C23" s="9">
        <v>23791</v>
      </c>
      <c r="D23" s="9">
        <v>48304</v>
      </c>
      <c r="F23" s="4">
        <f t="shared" si="0"/>
        <v>0</v>
      </c>
    </row>
    <row r="24" spans="1:6">
      <c r="A24" s="3" t="s">
        <v>105</v>
      </c>
      <c r="B24" s="9">
        <v>7276</v>
      </c>
      <c r="C24" s="9">
        <v>6575</v>
      </c>
      <c r="D24" s="9">
        <v>13851</v>
      </c>
      <c r="F24" s="4">
        <f t="shared" si="0"/>
        <v>0</v>
      </c>
    </row>
    <row r="25" spans="1:6">
      <c r="A25" s="3" t="s">
        <v>106</v>
      </c>
      <c r="B25" s="9">
        <v>6151</v>
      </c>
      <c r="C25" s="9">
        <v>5910</v>
      </c>
      <c r="D25" s="9">
        <v>12061</v>
      </c>
      <c r="F25" s="4">
        <f t="shared" si="0"/>
        <v>0</v>
      </c>
    </row>
    <row r="26" spans="1:6">
      <c r="A26" s="3" t="s">
        <v>107</v>
      </c>
      <c r="B26" s="9">
        <v>2174</v>
      </c>
      <c r="C26" s="9">
        <v>1935</v>
      </c>
      <c r="D26" s="9">
        <v>4109</v>
      </c>
      <c r="F26" s="4">
        <f t="shared" si="0"/>
        <v>0</v>
      </c>
    </row>
    <row r="27" spans="1:6">
      <c r="A27" s="3" t="s">
        <v>108</v>
      </c>
      <c r="B27" s="9">
        <v>1585</v>
      </c>
      <c r="C27" s="9">
        <v>1616</v>
      </c>
      <c r="D27" s="9">
        <v>3201</v>
      </c>
      <c r="F27" s="4">
        <f t="shared" si="0"/>
        <v>0</v>
      </c>
    </row>
    <row r="28" spans="1:6">
      <c r="A28" s="3" t="s">
        <v>118</v>
      </c>
      <c r="B28" s="9">
        <v>330</v>
      </c>
      <c r="C28" s="9">
        <v>381</v>
      </c>
      <c r="D28" s="9">
        <v>711</v>
      </c>
      <c r="F28" s="4">
        <f t="shared" si="0"/>
        <v>0</v>
      </c>
    </row>
    <row r="29" spans="1:6">
      <c r="A29" s="3" t="s">
        <v>11</v>
      </c>
      <c r="B29" s="9">
        <v>6497</v>
      </c>
      <c r="C29" s="9">
        <v>8112</v>
      </c>
      <c r="D29" s="9">
        <v>14609</v>
      </c>
      <c r="F29" s="4">
        <f t="shared" si="0"/>
        <v>0</v>
      </c>
    </row>
    <row r="30" spans="1:6">
      <c r="A30" s="3" t="s">
        <v>17</v>
      </c>
      <c r="B30" s="4">
        <v>6190311</v>
      </c>
      <c r="C30" s="4">
        <v>6301262</v>
      </c>
      <c r="D30" s="4" t="s">
        <v>111</v>
      </c>
      <c r="F30" s="4">
        <f t="shared" si="0"/>
        <v>0</v>
      </c>
    </row>
    <row r="31" spans="1:6">
      <c r="A31" s="1"/>
    </row>
    <row r="32" spans="1:6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>
      <c r="A33" s="1"/>
    </row>
    <row r="34" spans="1:3">
      <c r="A34" s="1" t="s">
        <v>120</v>
      </c>
      <c r="B34" s="4">
        <f>SUM(B4:B28)</f>
        <v>6183814</v>
      </c>
      <c r="C34" s="4">
        <f>SUM(C4:C28)</f>
        <v>6293150</v>
      </c>
    </row>
    <row r="35" spans="1:3">
      <c r="A35" s="1"/>
    </row>
    <row r="36" spans="1:3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dimension ref="A3:G115"/>
  <sheetViews>
    <sheetView topLeftCell="A72" workbookViewId="0">
      <selection sqref="A1:G115"/>
    </sheetView>
  </sheetViews>
  <sheetFormatPr defaultRowHeight="14.4"/>
  <cols>
    <col min="7" max="7" width="23.15625" customWidth="1"/>
  </cols>
  <sheetData>
    <row r="3" spans="1:7" ht="28.8">
      <c r="A3" s="6" t="s">
        <v>16</v>
      </c>
      <c r="B3" s="6" t="s">
        <v>0</v>
      </c>
      <c r="C3" s="6" t="s">
        <v>1</v>
      </c>
      <c r="G3" s="12" t="s">
        <v>123</v>
      </c>
    </row>
    <row r="4" spans="1:7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6183814.1522739995</v>
      </c>
      <c r="C115">
        <f>SUM(C4:C113)</f>
        <v>6293152.0130910007</v>
      </c>
      <c r="G115" s="11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dimension ref="A3:G115"/>
  <sheetViews>
    <sheetView workbookViewId="0">
      <selection activeCell="B4" sqref="B4:C6"/>
    </sheetView>
  </sheetViews>
  <sheetFormatPr defaultRowHeight="14.4"/>
  <cols>
    <col min="7" max="7" width="18.83984375" customWidth="1"/>
  </cols>
  <sheetData>
    <row r="3" spans="1:7" ht="39.75" customHeight="1">
      <c r="A3" s="6" t="s">
        <v>16</v>
      </c>
      <c r="B3" s="6" t="s">
        <v>0</v>
      </c>
      <c r="C3" s="6" t="s">
        <v>1</v>
      </c>
      <c r="G3" s="13" t="s">
        <v>123</v>
      </c>
    </row>
    <row r="4" spans="1:7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6294249.9999970011</v>
      </c>
      <c r="C115">
        <f>SUM(C4:C113)</f>
        <v>6397785.0000010012</v>
      </c>
      <c r="G115" s="11">
        <f>SUM(G4:G113) / (B115 + C115)</f>
        <v>23.047409459692073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2:I22"/>
  <sheetViews>
    <sheetView workbookViewId="0">
      <selection activeCell="O49" sqref="O49"/>
    </sheetView>
  </sheetViews>
  <sheetFormatPr defaultRowHeight="14.4"/>
  <cols>
    <col min="2" max="2" width="13.15625" customWidth="1"/>
    <col min="3" max="3" width="15.578125" customWidth="1"/>
    <col min="4" max="4" width="13" customWidth="1"/>
    <col min="8" max="8" width="12.83984375" customWidth="1"/>
    <col min="9" max="9" width="13.578125" customWidth="1"/>
  </cols>
  <sheetData>
    <row r="2" spans="1:9">
      <c r="H2" s="22" t="s">
        <v>148</v>
      </c>
      <c r="I2" s="22"/>
    </row>
    <row r="3" spans="1:9">
      <c r="B3" s="2" t="s">
        <v>0</v>
      </c>
      <c r="C3" s="2" t="s">
        <v>1</v>
      </c>
      <c r="D3" s="2" t="s">
        <v>2</v>
      </c>
      <c r="F3" s="2" t="s">
        <v>12</v>
      </c>
      <c r="H3" s="2" t="s">
        <v>0</v>
      </c>
      <c r="I3" s="2" t="s">
        <v>1</v>
      </c>
    </row>
    <row r="4" spans="1:9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9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</row>
    <row r="6" spans="1:9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 t="shared" ref="H6:I11" si="1">B6/10</f>
        <v>140869.6</v>
      </c>
      <c r="I6" s="4">
        <f t="shared" si="1"/>
        <v>150051.70000000001</v>
      </c>
    </row>
    <row r="7" spans="1:9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 t="shared" si="1"/>
        <v>117870.1</v>
      </c>
      <c r="I7" s="4">
        <f t="shared" si="1"/>
        <v>132495.20000000001</v>
      </c>
    </row>
    <row r="8" spans="1:9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 t="shared" si="1"/>
        <v>87688.4</v>
      </c>
      <c r="I8" s="4">
        <f t="shared" si="1"/>
        <v>87370.6</v>
      </c>
    </row>
    <row r="9" spans="1:9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 t="shared" si="1"/>
        <v>56264.7</v>
      </c>
      <c r="I9" s="4">
        <f t="shared" si="1"/>
        <v>55402.2</v>
      </c>
    </row>
    <row r="10" spans="1:9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 t="shared" si="1"/>
        <v>34598.5</v>
      </c>
      <c r="I10" s="4">
        <f t="shared" si="1"/>
        <v>34313.4</v>
      </c>
    </row>
    <row r="11" spans="1:9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 t="shared" si="1"/>
        <v>17021.2</v>
      </c>
      <c r="I11" s="4">
        <f t="shared" si="1"/>
        <v>14517.5</v>
      </c>
    </row>
    <row r="12" spans="1:9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9">
      <c r="A13" s="1"/>
    </row>
    <row r="14" spans="1:9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9">
      <c r="A15" s="1"/>
    </row>
    <row r="16" spans="1:9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dimension ref="A2:F119"/>
  <sheetViews>
    <sheetView workbookViewId="0">
      <selection activeCell="A3" sqref="A3:C113"/>
    </sheetView>
  </sheetViews>
  <sheetFormatPr defaultRowHeight="14.4"/>
  <cols>
    <col min="6" max="6" width="26" customWidth="1"/>
  </cols>
  <sheetData>
    <row r="2" spans="1:6" ht="21.75" customHeight="1"/>
    <row r="3" spans="1:6" ht="32.25" customHeight="1">
      <c r="A3" s="6" t="s">
        <v>16</v>
      </c>
      <c r="B3" s="6" t="s">
        <v>0</v>
      </c>
      <c r="C3" s="6" t="s">
        <v>1</v>
      </c>
      <c r="F3" s="13" t="s">
        <v>123</v>
      </c>
    </row>
    <row r="4" spans="1:6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>
      <c r="A115" t="s">
        <v>119</v>
      </c>
      <c r="B115">
        <f>SUM(B4:B113)</f>
        <v>6740685.6863400014</v>
      </c>
      <c r="C115">
        <f>SUM(C4:C113)</f>
        <v>6842142.7326650005</v>
      </c>
      <c r="F115" s="14">
        <f>SUM(F4:F113)/(B115+C115)</f>
        <v>22.311606119984724</v>
      </c>
    </row>
    <row r="117" spans="1:6">
      <c r="B117" s="4"/>
      <c r="C117" s="4"/>
    </row>
    <row r="119" spans="1:6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topLeftCell="A88" workbookViewId="0">
      <selection activeCell="H83" sqref="H83:I85"/>
    </sheetView>
  </sheetViews>
  <sheetFormatPr defaultRowHeight="14.4"/>
  <cols>
    <col min="2" max="2" width="17" customWidth="1"/>
    <col min="3" max="3" width="12.68359375" customWidth="1"/>
    <col min="4" max="4" width="7.15625" customWidth="1"/>
    <col min="5" max="5" width="8.26171875" customWidth="1"/>
    <col min="6" max="6" width="11.26171875" customWidth="1"/>
    <col min="7" max="7" width="16.578125" customWidth="1"/>
    <col min="8" max="8" width="10.26171875" bestFit="1" customWidth="1"/>
    <col min="9" max="9" width="10.15625" bestFit="1" customWidth="1"/>
  </cols>
  <sheetData>
    <row r="1" spans="1:13">
      <c r="B1" s="23" t="s">
        <v>77</v>
      </c>
      <c r="C1" s="23"/>
      <c r="D1" s="6"/>
      <c r="E1" s="6"/>
      <c r="H1" s="23" t="s">
        <v>78</v>
      </c>
      <c r="I1" s="23"/>
    </row>
    <row r="3" spans="1:13">
      <c r="A3" s="6" t="s">
        <v>16</v>
      </c>
      <c r="B3" s="6" t="s">
        <v>0</v>
      </c>
      <c r="C3" s="6" t="s">
        <v>1</v>
      </c>
      <c r="D3" s="6"/>
      <c r="E3" s="23" t="s">
        <v>12</v>
      </c>
      <c r="F3" s="23"/>
      <c r="H3" s="6" t="s">
        <v>0</v>
      </c>
      <c r="I3" s="6" t="s">
        <v>1</v>
      </c>
      <c r="K3" s="23" t="s">
        <v>12</v>
      </c>
      <c r="L3" s="23"/>
    </row>
    <row r="4" spans="1:13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9">
      <c r="A129" s="2" t="s">
        <v>12</v>
      </c>
      <c r="B129" s="8">
        <f>B4 + B14 + B25 + B36 + B47 + B58 + B69 + B80 + B91 + B102 + B113 + B124 + B125 + B126 - B127</f>
        <v>0</v>
      </c>
      <c r="C129" s="8">
        <f>C4 + C14 + C25 + C36 + C47 + C58 + C69 + C80 + C91 + C102 + C113 + C124 + C125 + C126 - C127</f>
        <v>0</v>
      </c>
      <c r="H129" s="8">
        <f>H4 + H14 + H25 + H36 + H47 + H58 + H69 + H80 + H91 + H102 + H113 + H124 + H125 + H126 - H127</f>
        <v>0</v>
      </c>
      <c r="I129" s="8">
        <f>I4 + I14 + I25 + I36 + I47 + I58 + I69 + I80 + I91 + I102 + I113 + I124 + I125 + I126 - I127</f>
        <v>0</v>
      </c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dimension ref="A1:V116"/>
  <sheetViews>
    <sheetView topLeftCell="A54" workbookViewId="0">
      <selection activeCell="H5" sqref="H5:I114"/>
    </sheetView>
  </sheetViews>
  <sheetFormatPr defaultRowHeight="14.4"/>
  <cols>
    <col min="1" max="1" width="6.26171875" customWidth="1"/>
    <col min="2" max="2" width="10.15625" bestFit="1" customWidth="1"/>
    <col min="3" max="3" width="11.15625" customWidth="1"/>
    <col min="5" max="5" width="9.68359375" customWidth="1"/>
    <col min="6" max="6" width="12" customWidth="1"/>
    <col min="8" max="8" width="16.26171875" customWidth="1"/>
    <col min="9" max="9" width="18.83984375" customWidth="1"/>
    <col min="11" max="11" width="19.41796875" bestFit="1" customWidth="1"/>
    <col min="17" max="17" width="28.26171875" bestFit="1" customWidth="1"/>
  </cols>
  <sheetData>
    <row r="1" spans="1:22">
      <c r="B1" s="25" t="s">
        <v>117</v>
      </c>
      <c r="C1" s="25"/>
      <c r="D1" s="25"/>
      <c r="E1" s="25"/>
      <c r="F1" s="25"/>
      <c r="G1" s="25"/>
      <c r="H1" s="25"/>
      <c r="I1" s="25"/>
      <c r="K1" s="24" t="s">
        <v>115</v>
      </c>
      <c r="L1" s="24"/>
      <c r="M1" s="24"/>
      <c r="N1" s="24"/>
      <c r="O1" s="24"/>
      <c r="P1" s="24"/>
      <c r="Q1" s="24"/>
    </row>
    <row r="2" spans="1:22">
      <c r="B2" s="23" t="s">
        <v>77</v>
      </c>
      <c r="C2" s="23"/>
      <c r="D2" s="6"/>
      <c r="E2" s="23" t="s">
        <v>78</v>
      </c>
      <c r="F2" s="23"/>
      <c r="H2" s="23" t="s">
        <v>114</v>
      </c>
      <c r="I2" s="23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>
      <c r="A5" s="10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 t="shared" ref="H5:H36" si="0">B5+E5</f>
        <v>1799585</v>
      </c>
      <c r="I5" s="4">
        <f t="shared" ref="I5:I36" si="1"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>
      <c r="A6" s="10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 t="shared" si="0"/>
        <v>1430584</v>
      </c>
      <c r="I6" s="4">
        <f t="shared" si="1"/>
        <v>1450048</v>
      </c>
      <c r="J6" s="4"/>
      <c r="K6" s="4">
        <f t="shared" ref="K6:K69" si="2">(B6+C6) * (0.5 +$A6)</f>
        <v>4092984</v>
      </c>
      <c r="L6" s="4"/>
      <c r="M6" s="4"/>
      <c r="N6" s="4">
        <f t="shared" ref="N6:N69" si="3">(E6+F6) * (0.5 +$A6)</f>
        <v>227964</v>
      </c>
      <c r="O6" s="4"/>
      <c r="P6" s="4"/>
      <c r="Q6" s="4">
        <f t="shared" ref="Q6:Q69" si="4">(H6+I6) * (0.5 +$A6)</f>
        <v>4320948</v>
      </c>
    </row>
    <row r="7" spans="1:22">
      <c r="A7" s="10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 t="shared" si="0"/>
        <v>1450430</v>
      </c>
      <c r="I7" s="4">
        <f t="shared" si="1"/>
        <v>1460857</v>
      </c>
      <c r="J7" s="4"/>
      <c r="K7" s="4">
        <f t="shared" si="2"/>
        <v>6887350</v>
      </c>
      <c r="L7" s="4"/>
      <c r="M7" s="4"/>
      <c r="N7" s="4">
        <f t="shared" si="3"/>
        <v>390867.5</v>
      </c>
      <c r="O7" s="4"/>
      <c r="P7" s="4"/>
      <c r="Q7" s="4">
        <f t="shared" si="4"/>
        <v>7278217.5</v>
      </c>
    </row>
    <row r="8" spans="1:22">
      <c r="A8" s="10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 t="shared" si="0"/>
        <v>1428134</v>
      </c>
      <c r="I8" s="4">
        <f t="shared" si="1"/>
        <v>1448117</v>
      </c>
      <c r="J8" s="4"/>
      <c r="K8" s="4">
        <f t="shared" si="2"/>
        <v>9496235</v>
      </c>
      <c r="L8" s="4"/>
      <c r="M8" s="4"/>
      <c r="N8" s="4">
        <f t="shared" si="3"/>
        <v>570643.5</v>
      </c>
      <c r="O8" s="4"/>
      <c r="P8" s="4"/>
      <c r="Q8" s="4">
        <f t="shared" si="4"/>
        <v>10066878.5</v>
      </c>
    </row>
    <row r="9" spans="1:22">
      <c r="A9" s="10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 t="shared" si="0"/>
        <v>1331294</v>
      </c>
      <c r="I9" s="4">
        <f t="shared" si="1"/>
        <v>1363876</v>
      </c>
      <c r="J9" s="4"/>
      <c r="K9" s="4">
        <f t="shared" si="2"/>
        <v>11454430.5</v>
      </c>
      <c r="L9" s="4"/>
      <c r="M9" s="4"/>
      <c r="N9" s="4">
        <f t="shared" si="3"/>
        <v>673834.5</v>
      </c>
      <c r="O9" s="4"/>
      <c r="P9" s="4"/>
      <c r="Q9" s="4">
        <f t="shared" si="4"/>
        <v>12128265</v>
      </c>
    </row>
    <row r="10" spans="1:22">
      <c r="A10" s="10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 t="shared" si="0"/>
        <v>1253530</v>
      </c>
      <c r="I10" s="4">
        <f t="shared" si="1"/>
        <v>1269384</v>
      </c>
      <c r="J10" s="4"/>
      <c r="K10" s="4">
        <f t="shared" si="2"/>
        <v>13122384</v>
      </c>
      <c r="L10" s="4"/>
      <c r="M10" s="4"/>
      <c r="N10" s="4">
        <f t="shared" si="3"/>
        <v>753643</v>
      </c>
      <c r="O10" s="4"/>
      <c r="P10" s="4"/>
      <c r="Q10" s="4">
        <f t="shared" si="4"/>
        <v>13876027</v>
      </c>
    </row>
    <row r="11" spans="1:22">
      <c r="A11" s="10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 t="shared" si="0"/>
        <v>1232195</v>
      </c>
      <c r="I11" s="4">
        <f t="shared" si="1"/>
        <v>1247881</v>
      </c>
      <c r="J11" s="4"/>
      <c r="K11" s="4">
        <f t="shared" si="2"/>
        <v>15215726.5</v>
      </c>
      <c r="L11" s="4"/>
      <c r="M11" s="4"/>
      <c r="N11" s="4">
        <f t="shared" si="3"/>
        <v>904767.5</v>
      </c>
      <c r="O11" s="4"/>
      <c r="P11" s="4"/>
      <c r="Q11" s="4">
        <f t="shared" si="4"/>
        <v>16120494</v>
      </c>
    </row>
    <row r="12" spans="1:22">
      <c r="A12" s="10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 t="shared" si="0"/>
        <v>1179192</v>
      </c>
      <c r="I12" s="4">
        <f t="shared" si="1"/>
        <v>1223008</v>
      </c>
      <c r="J12" s="4"/>
      <c r="K12" s="4">
        <f t="shared" si="2"/>
        <v>16985760</v>
      </c>
      <c r="L12" s="4"/>
      <c r="M12" s="4"/>
      <c r="N12" s="4">
        <f t="shared" si="3"/>
        <v>1030740</v>
      </c>
      <c r="O12" s="4"/>
      <c r="P12" s="4"/>
      <c r="Q12" s="4">
        <f t="shared" si="4"/>
        <v>18016500</v>
      </c>
    </row>
    <row r="13" spans="1:22">
      <c r="A13" s="10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 t="shared" si="0"/>
        <v>1215578</v>
      </c>
      <c r="I13" s="4">
        <f t="shared" si="1"/>
        <v>1235027</v>
      </c>
      <c r="J13" s="4"/>
      <c r="K13" s="4">
        <f t="shared" si="2"/>
        <v>19683229</v>
      </c>
      <c r="L13" s="4"/>
      <c r="M13" s="4"/>
      <c r="N13" s="4">
        <f t="shared" si="3"/>
        <v>1146913.5</v>
      </c>
      <c r="O13" s="4"/>
      <c r="P13" s="4"/>
      <c r="Q13" s="4">
        <f t="shared" si="4"/>
        <v>20830142.5</v>
      </c>
    </row>
    <row r="14" spans="1:22">
      <c r="A14" s="10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 t="shared" si="0"/>
        <v>1095634</v>
      </c>
      <c r="I14" s="4">
        <f t="shared" si="1"/>
        <v>1093997</v>
      </c>
      <c r="J14" s="4"/>
      <c r="K14" s="4">
        <f t="shared" si="2"/>
        <v>19665950</v>
      </c>
      <c r="L14" s="4"/>
      <c r="M14" s="4"/>
      <c r="N14" s="4">
        <f t="shared" si="3"/>
        <v>1135544.5</v>
      </c>
      <c r="O14" s="4"/>
      <c r="P14" s="4"/>
      <c r="Q14" s="4">
        <f t="shared" si="4"/>
        <v>20801494.5</v>
      </c>
    </row>
    <row r="15" spans="1:22">
      <c r="A15" s="10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 t="shared" si="0"/>
        <v>1204078</v>
      </c>
      <c r="I15" s="4">
        <f t="shared" si="1"/>
        <v>1215355</v>
      </c>
      <c r="J15" s="4"/>
      <c r="K15" s="4">
        <f t="shared" si="2"/>
        <v>24057390</v>
      </c>
      <c r="L15" s="4"/>
      <c r="M15" s="4"/>
      <c r="N15" s="4">
        <f t="shared" si="3"/>
        <v>1346656.5</v>
      </c>
      <c r="O15" s="4"/>
      <c r="P15" s="4"/>
      <c r="Q15" s="4">
        <f t="shared" si="4"/>
        <v>25404046.5</v>
      </c>
    </row>
    <row r="16" spans="1:22">
      <c r="A16" s="10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 t="shared" si="0"/>
        <v>981933</v>
      </c>
      <c r="I16" s="4">
        <f t="shared" si="1"/>
        <v>969224</v>
      </c>
      <c r="J16" s="4"/>
      <c r="K16" s="4">
        <f t="shared" si="2"/>
        <v>21156481</v>
      </c>
      <c r="L16" s="4"/>
      <c r="M16" s="4"/>
      <c r="N16" s="4">
        <f t="shared" si="3"/>
        <v>1281824.5</v>
      </c>
      <c r="O16" s="4"/>
      <c r="P16" s="4"/>
      <c r="Q16" s="4">
        <f t="shared" si="4"/>
        <v>22438305.5</v>
      </c>
      <c r="V16" s="15"/>
    </row>
    <row r="17" spans="1:17">
      <c r="A17" s="10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 t="shared" si="0"/>
        <v>1276307</v>
      </c>
      <c r="I17" s="4">
        <f t="shared" si="1"/>
        <v>1281067</v>
      </c>
      <c r="J17" s="4"/>
      <c r="K17" s="4">
        <f t="shared" si="2"/>
        <v>30279437.5</v>
      </c>
      <c r="L17" s="4"/>
      <c r="M17" s="4"/>
      <c r="N17" s="4">
        <f t="shared" si="3"/>
        <v>1687737.5</v>
      </c>
      <c r="O17" s="4"/>
      <c r="P17" s="4"/>
      <c r="Q17" s="4">
        <f t="shared" si="4"/>
        <v>31967175</v>
      </c>
    </row>
    <row r="18" spans="1:17">
      <c r="A18" s="10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 t="shared" si="0"/>
        <v>1052707</v>
      </c>
      <c r="I18" s="4">
        <f t="shared" si="1"/>
        <v>1058899</v>
      </c>
      <c r="J18" s="4"/>
      <c r="K18" s="4">
        <f t="shared" si="2"/>
        <v>26928436.5</v>
      </c>
      <c r="L18" s="4"/>
      <c r="M18" s="4"/>
      <c r="N18" s="4">
        <f t="shared" si="3"/>
        <v>1578244.5</v>
      </c>
      <c r="O18" s="4"/>
      <c r="P18" s="4"/>
      <c r="Q18" s="4">
        <f t="shared" si="4"/>
        <v>28506681</v>
      </c>
    </row>
    <row r="19" spans="1:17">
      <c r="A19" s="10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 t="shared" si="0"/>
        <v>1023946</v>
      </c>
      <c r="I19" s="4">
        <f t="shared" si="1"/>
        <v>1049048</v>
      </c>
      <c r="J19" s="4"/>
      <c r="K19" s="4">
        <f t="shared" si="2"/>
        <v>28373252</v>
      </c>
      <c r="L19" s="4"/>
      <c r="M19" s="4"/>
      <c r="N19" s="4">
        <f t="shared" si="3"/>
        <v>1685161</v>
      </c>
      <c r="O19" s="4"/>
      <c r="P19" s="4"/>
      <c r="Q19" s="4">
        <f t="shared" si="4"/>
        <v>30058413</v>
      </c>
    </row>
    <row r="20" spans="1:17">
      <c r="A20" s="10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 t="shared" si="0"/>
        <v>992837</v>
      </c>
      <c r="I20" s="4">
        <f t="shared" si="1"/>
        <v>1022042</v>
      </c>
      <c r="J20" s="4"/>
      <c r="K20" s="4">
        <f t="shared" si="2"/>
        <v>29476102</v>
      </c>
      <c r="L20" s="4"/>
      <c r="M20" s="4"/>
      <c r="N20" s="4">
        <f t="shared" si="3"/>
        <v>1754522.5</v>
      </c>
      <c r="O20" s="4"/>
      <c r="P20" s="4"/>
      <c r="Q20" s="4">
        <f t="shared" si="4"/>
        <v>31230624.5</v>
      </c>
    </row>
    <row r="21" spans="1:17">
      <c r="A21" s="10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 t="shared" si="0"/>
        <v>984612</v>
      </c>
      <c r="I21" s="4">
        <f t="shared" si="1"/>
        <v>1094871</v>
      </c>
      <c r="J21" s="4"/>
      <c r="K21" s="4">
        <f t="shared" si="2"/>
        <v>32427301.5</v>
      </c>
      <c r="L21" s="4"/>
      <c r="M21" s="4"/>
      <c r="N21" s="4">
        <f t="shared" si="3"/>
        <v>1884168</v>
      </c>
      <c r="O21" s="4"/>
      <c r="P21" s="4"/>
      <c r="Q21" s="4">
        <f t="shared" si="4"/>
        <v>34311469.5</v>
      </c>
    </row>
    <row r="22" spans="1:17">
      <c r="A22" s="10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 t="shared" si="0"/>
        <v>978629</v>
      </c>
      <c r="I22" s="4">
        <f t="shared" si="1"/>
        <v>1098460</v>
      </c>
      <c r="J22" s="4"/>
      <c r="K22" s="4">
        <f t="shared" si="2"/>
        <v>34365887.5</v>
      </c>
      <c r="L22" s="4"/>
      <c r="M22" s="4"/>
      <c r="N22" s="4">
        <f t="shared" si="3"/>
        <v>1983170</v>
      </c>
      <c r="O22" s="4"/>
      <c r="P22" s="4"/>
      <c r="Q22" s="4">
        <f t="shared" si="4"/>
        <v>36349057.5</v>
      </c>
    </row>
    <row r="23" spans="1:17">
      <c r="A23" s="10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 t="shared" si="0"/>
        <v>998723</v>
      </c>
      <c r="I23" s="4">
        <f t="shared" si="1"/>
        <v>1089350</v>
      </c>
      <c r="J23" s="4"/>
      <c r="K23" s="4">
        <f t="shared" si="2"/>
        <v>36576405.5</v>
      </c>
      <c r="L23" s="4"/>
      <c r="M23" s="4"/>
      <c r="N23" s="4">
        <f t="shared" si="3"/>
        <v>2052945</v>
      </c>
      <c r="O23" s="4"/>
      <c r="P23" s="4"/>
      <c r="Q23" s="4">
        <f t="shared" si="4"/>
        <v>38629350.5</v>
      </c>
    </row>
    <row r="24" spans="1:17">
      <c r="A24" s="10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 t="shared" si="0"/>
        <v>848201</v>
      </c>
      <c r="I24" s="4">
        <f t="shared" si="1"/>
        <v>897488</v>
      </c>
      <c r="J24" s="4"/>
      <c r="K24" s="4">
        <f t="shared" si="2"/>
        <v>32127283.5</v>
      </c>
      <c r="L24" s="4"/>
      <c r="M24" s="4"/>
      <c r="N24" s="4">
        <f t="shared" si="3"/>
        <v>1913652</v>
      </c>
      <c r="O24" s="4"/>
      <c r="P24" s="4"/>
      <c r="Q24" s="4">
        <f t="shared" si="4"/>
        <v>34040935.5</v>
      </c>
    </row>
    <row r="25" spans="1:17">
      <c r="A25" s="10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 t="shared" si="0"/>
        <v>879164</v>
      </c>
      <c r="I25" s="4">
        <f t="shared" si="1"/>
        <v>1192042</v>
      </c>
      <c r="J25" s="4"/>
      <c r="K25" s="4">
        <f t="shared" si="2"/>
        <v>40121206</v>
      </c>
      <c r="L25" s="4"/>
      <c r="M25" s="4"/>
      <c r="N25" s="4">
        <f t="shared" si="3"/>
        <v>2338517</v>
      </c>
      <c r="O25" s="4"/>
      <c r="P25" s="4"/>
      <c r="Q25" s="4">
        <f t="shared" si="4"/>
        <v>42459723</v>
      </c>
    </row>
    <row r="26" spans="1:17">
      <c r="A26" s="10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 t="shared" si="0"/>
        <v>800179</v>
      </c>
      <c r="I26" s="4">
        <f t="shared" si="1"/>
        <v>636809</v>
      </c>
      <c r="J26" s="4"/>
      <c r="K26" s="4">
        <f t="shared" si="2"/>
        <v>29058604.5</v>
      </c>
      <c r="L26" s="4"/>
      <c r="M26" s="4"/>
      <c r="N26" s="4">
        <f t="shared" si="3"/>
        <v>1836637.5</v>
      </c>
      <c r="O26" s="4"/>
      <c r="P26" s="4"/>
      <c r="Q26" s="4">
        <f t="shared" si="4"/>
        <v>30895242</v>
      </c>
    </row>
    <row r="27" spans="1:17">
      <c r="A27" s="10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 t="shared" si="0"/>
        <v>863687</v>
      </c>
      <c r="I27" s="4">
        <f t="shared" si="1"/>
        <v>885528</v>
      </c>
      <c r="J27" s="4"/>
      <c r="K27" s="4">
        <f t="shared" si="2"/>
        <v>36971910</v>
      </c>
      <c r="L27" s="4"/>
      <c r="M27" s="4"/>
      <c r="N27" s="4">
        <f t="shared" si="3"/>
        <v>2385427.5</v>
      </c>
      <c r="O27" s="4"/>
      <c r="P27" s="4"/>
      <c r="Q27" s="4">
        <f t="shared" si="4"/>
        <v>39357337.5</v>
      </c>
    </row>
    <row r="28" spans="1:17">
      <c r="A28" s="10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 t="shared" si="0"/>
        <v>791814</v>
      </c>
      <c r="I28" s="4">
        <f t="shared" si="1"/>
        <v>825830</v>
      </c>
      <c r="J28" s="4"/>
      <c r="K28" s="4">
        <f t="shared" si="2"/>
        <v>35792074.5</v>
      </c>
      <c r="L28" s="4"/>
      <c r="M28" s="4"/>
      <c r="N28" s="4">
        <f t="shared" si="3"/>
        <v>2222559.5</v>
      </c>
      <c r="O28" s="4"/>
      <c r="P28" s="4"/>
      <c r="Q28" s="4">
        <f t="shared" si="4"/>
        <v>38014634</v>
      </c>
    </row>
    <row r="29" spans="1:17">
      <c r="A29" s="10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 t="shared" si="0"/>
        <v>690732</v>
      </c>
      <c r="I29" s="4">
        <f t="shared" si="1"/>
        <v>720216</v>
      </c>
      <c r="J29" s="4"/>
      <c r="K29" s="4">
        <f t="shared" si="2"/>
        <v>32473157.5</v>
      </c>
      <c r="L29" s="4"/>
      <c r="M29" s="4"/>
      <c r="N29" s="4">
        <f t="shared" si="3"/>
        <v>2095068.5</v>
      </c>
      <c r="O29" s="4"/>
      <c r="P29" s="4"/>
      <c r="Q29" s="4">
        <f t="shared" si="4"/>
        <v>34568226</v>
      </c>
    </row>
    <row r="30" spans="1:17">
      <c r="A30" s="10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 t="shared" si="0"/>
        <v>795114</v>
      </c>
      <c r="I30" s="4">
        <f t="shared" si="1"/>
        <v>1072869</v>
      </c>
      <c r="J30" s="4"/>
      <c r="K30" s="4">
        <f t="shared" si="2"/>
        <v>44900374.5</v>
      </c>
      <c r="L30" s="4"/>
      <c r="M30" s="4"/>
      <c r="N30" s="4">
        <f t="shared" si="3"/>
        <v>2733192</v>
      </c>
      <c r="O30" s="4"/>
      <c r="P30" s="4"/>
      <c r="Q30" s="4">
        <f t="shared" si="4"/>
        <v>47633566.5</v>
      </c>
    </row>
    <row r="31" spans="1:17">
      <c r="A31" s="10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 t="shared" si="0"/>
        <v>748462</v>
      </c>
      <c r="I31" s="4">
        <f t="shared" si="1"/>
        <v>727473</v>
      </c>
      <c r="J31" s="4"/>
      <c r="K31" s="4">
        <f t="shared" si="2"/>
        <v>36835821.5</v>
      </c>
      <c r="L31" s="4"/>
      <c r="M31" s="4"/>
      <c r="N31" s="4">
        <f t="shared" si="3"/>
        <v>2276456</v>
      </c>
      <c r="O31" s="4"/>
      <c r="P31" s="4"/>
      <c r="Q31" s="4">
        <f t="shared" si="4"/>
        <v>39112277.5</v>
      </c>
    </row>
    <row r="32" spans="1:17">
      <c r="A32" s="10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 t="shared" si="0"/>
        <v>785934</v>
      </c>
      <c r="I32" s="4">
        <f t="shared" si="1"/>
        <v>760804</v>
      </c>
      <c r="J32" s="4"/>
      <c r="K32" s="4">
        <f t="shared" si="2"/>
        <v>39990472.5</v>
      </c>
      <c r="L32" s="4"/>
      <c r="M32" s="4"/>
      <c r="N32" s="4">
        <f t="shared" si="3"/>
        <v>2544822.5</v>
      </c>
      <c r="O32" s="4"/>
      <c r="P32" s="4"/>
      <c r="Q32" s="4">
        <f t="shared" si="4"/>
        <v>42535295</v>
      </c>
    </row>
    <row r="33" spans="1:17">
      <c r="A33" s="10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 t="shared" si="0"/>
        <v>785014</v>
      </c>
      <c r="I33" s="4">
        <f t="shared" si="1"/>
        <v>807738</v>
      </c>
      <c r="J33" s="4"/>
      <c r="K33" s="4">
        <f t="shared" si="2"/>
        <v>42849693</v>
      </c>
      <c r="L33" s="4"/>
      <c r="M33" s="4"/>
      <c r="N33" s="4">
        <f t="shared" si="3"/>
        <v>2543739</v>
      </c>
      <c r="O33" s="4"/>
      <c r="P33" s="4"/>
      <c r="Q33" s="4">
        <f t="shared" si="4"/>
        <v>45393432</v>
      </c>
    </row>
    <row r="34" spans="1:17">
      <c r="A34" s="10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 t="shared" si="0"/>
        <v>505001</v>
      </c>
      <c r="I34" s="4">
        <f t="shared" si="1"/>
        <v>439289</v>
      </c>
      <c r="J34" s="4"/>
      <c r="K34" s="4">
        <f t="shared" si="2"/>
        <v>26163550</v>
      </c>
      <c r="L34" s="4"/>
      <c r="M34" s="4"/>
      <c r="N34" s="4">
        <f t="shared" si="3"/>
        <v>1693005</v>
      </c>
      <c r="O34" s="4"/>
      <c r="P34" s="4"/>
      <c r="Q34" s="4">
        <f t="shared" si="4"/>
        <v>27856555</v>
      </c>
    </row>
    <row r="35" spans="1:17">
      <c r="A35" s="10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 t="shared" si="0"/>
        <v>1055694</v>
      </c>
      <c r="I35" s="4">
        <f t="shared" si="1"/>
        <v>1376799</v>
      </c>
      <c r="J35" s="4"/>
      <c r="K35" s="4">
        <f t="shared" si="2"/>
        <v>70276178.5</v>
      </c>
      <c r="L35" s="4"/>
      <c r="M35" s="4"/>
      <c r="N35" s="4">
        <f t="shared" si="3"/>
        <v>3914858</v>
      </c>
      <c r="O35" s="4"/>
      <c r="P35" s="4"/>
      <c r="Q35" s="4">
        <f t="shared" si="4"/>
        <v>74191036.5</v>
      </c>
    </row>
    <row r="36" spans="1:17">
      <c r="A36" s="10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 t="shared" si="0"/>
        <v>401717</v>
      </c>
      <c r="I36" s="4">
        <f t="shared" si="1"/>
        <v>339826</v>
      </c>
      <c r="J36" s="4"/>
      <c r="K36" s="4">
        <f t="shared" si="2"/>
        <v>21891271.5</v>
      </c>
      <c r="L36" s="4"/>
      <c r="M36" s="4"/>
      <c r="N36" s="4">
        <f t="shared" si="3"/>
        <v>1467333</v>
      </c>
      <c r="O36" s="4"/>
      <c r="P36" s="4"/>
      <c r="Q36" s="4">
        <f t="shared" si="4"/>
        <v>23358604.5</v>
      </c>
    </row>
    <row r="37" spans="1:17">
      <c r="A37" s="10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 t="shared" ref="H37:H68" si="5">B37+E37</f>
        <v>602761</v>
      </c>
      <c r="I37" s="4">
        <f t="shared" ref="I37:I68" si="6">C37+F37</f>
        <v>581295</v>
      </c>
      <c r="J37" s="4"/>
      <c r="K37" s="4">
        <f t="shared" si="2"/>
        <v>36228432.5</v>
      </c>
      <c r="L37" s="4"/>
      <c r="M37" s="4"/>
      <c r="N37" s="4">
        <f t="shared" si="3"/>
        <v>2253387.5</v>
      </c>
      <c r="O37" s="4"/>
      <c r="P37" s="4"/>
      <c r="Q37" s="4">
        <f t="shared" si="4"/>
        <v>38481820</v>
      </c>
    </row>
    <row r="38" spans="1:17">
      <c r="A38" s="10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 t="shared" si="5"/>
        <v>573913</v>
      </c>
      <c r="I38" s="4">
        <f t="shared" si="6"/>
        <v>527699</v>
      </c>
      <c r="J38" s="4"/>
      <c r="K38" s="4">
        <f t="shared" si="2"/>
        <v>34672366</v>
      </c>
      <c r="L38" s="4"/>
      <c r="M38" s="4"/>
      <c r="N38" s="4">
        <f t="shared" si="3"/>
        <v>2231636</v>
      </c>
      <c r="O38" s="4"/>
      <c r="P38" s="4"/>
      <c r="Q38" s="4">
        <f t="shared" si="4"/>
        <v>36904002</v>
      </c>
    </row>
    <row r="39" spans="1:17">
      <c r="A39" s="10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 t="shared" si="5"/>
        <v>431960</v>
      </c>
      <c r="I39" s="4">
        <f t="shared" si="6"/>
        <v>437786</v>
      </c>
      <c r="J39" s="4"/>
      <c r="K39" s="4">
        <f t="shared" si="2"/>
        <v>28176219</v>
      </c>
      <c r="L39" s="4"/>
      <c r="M39" s="4"/>
      <c r="N39" s="4">
        <f t="shared" si="3"/>
        <v>1830018</v>
      </c>
      <c r="O39" s="4"/>
      <c r="P39" s="4"/>
      <c r="Q39" s="4">
        <f t="shared" si="4"/>
        <v>30006237</v>
      </c>
    </row>
    <row r="40" spans="1:17">
      <c r="A40" s="10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 t="shared" si="5"/>
        <v>813420</v>
      </c>
      <c r="I40" s="4">
        <f t="shared" si="6"/>
        <v>952338</v>
      </c>
      <c r="J40" s="4"/>
      <c r="K40" s="4">
        <f t="shared" si="2"/>
        <v>59139095</v>
      </c>
      <c r="L40" s="4"/>
      <c r="M40" s="4"/>
      <c r="N40" s="4">
        <f t="shared" si="3"/>
        <v>3545314</v>
      </c>
      <c r="O40" s="4"/>
      <c r="P40" s="4"/>
      <c r="Q40" s="4">
        <f t="shared" si="4"/>
        <v>62684409</v>
      </c>
    </row>
    <row r="41" spans="1:17">
      <c r="A41" s="10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 t="shared" si="5"/>
        <v>570698</v>
      </c>
      <c r="I41" s="4">
        <f t="shared" si="6"/>
        <v>543752</v>
      </c>
      <c r="J41" s="4"/>
      <c r="K41" s="4">
        <f t="shared" si="2"/>
        <v>38092823.5</v>
      </c>
      <c r="L41" s="4"/>
      <c r="M41" s="4"/>
      <c r="N41" s="4">
        <f t="shared" si="3"/>
        <v>2584601.5</v>
      </c>
      <c r="O41" s="4"/>
      <c r="P41" s="4"/>
      <c r="Q41" s="4">
        <f t="shared" si="4"/>
        <v>40677425</v>
      </c>
    </row>
    <row r="42" spans="1:17">
      <c r="A42" s="10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 t="shared" si="5"/>
        <v>584686</v>
      </c>
      <c r="I42" s="4">
        <f t="shared" si="6"/>
        <v>542612</v>
      </c>
      <c r="J42" s="4"/>
      <c r="K42" s="4">
        <f t="shared" si="2"/>
        <v>39446512.5</v>
      </c>
      <c r="L42" s="4"/>
      <c r="M42" s="4"/>
      <c r="N42" s="4">
        <f t="shared" si="3"/>
        <v>2827162.5</v>
      </c>
      <c r="O42" s="4"/>
      <c r="P42" s="4"/>
      <c r="Q42" s="4">
        <f t="shared" si="4"/>
        <v>42273675</v>
      </c>
    </row>
    <row r="43" spans="1:17">
      <c r="A43" s="10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 t="shared" si="5"/>
        <v>632533</v>
      </c>
      <c r="I43" s="4">
        <f t="shared" si="6"/>
        <v>605566</v>
      </c>
      <c r="J43" s="4"/>
      <c r="K43" s="4">
        <f t="shared" si="2"/>
        <v>44733034.5</v>
      </c>
      <c r="L43" s="4"/>
      <c r="M43" s="4"/>
      <c r="N43" s="4">
        <f t="shared" si="3"/>
        <v>2933777</v>
      </c>
      <c r="O43" s="4"/>
      <c r="P43" s="4"/>
      <c r="Q43" s="4">
        <f t="shared" si="4"/>
        <v>47666811.5</v>
      </c>
    </row>
    <row r="44" spans="1:17">
      <c r="A44" s="10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 t="shared" si="5"/>
        <v>399785</v>
      </c>
      <c r="I44" s="4">
        <f t="shared" si="6"/>
        <v>340628</v>
      </c>
      <c r="J44" s="4"/>
      <c r="K44" s="4">
        <f t="shared" si="2"/>
        <v>27295527</v>
      </c>
      <c r="L44" s="4"/>
      <c r="M44" s="4"/>
      <c r="N44" s="4">
        <f t="shared" si="3"/>
        <v>1950786.5</v>
      </c>
      <c r="O44" s="4"/>
      <c r="P44" s="4"/>
      <c r="Q44" s="4">
        <f t="shared" si="4"/>
        <v>29246313.5</v>
      </c>
    </row>
    <row r="45" spans="1:17">
      <c r="A45" s="10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 t="shared" si="5"/>
        <v>905505</v>
      </c>
      <c r="I45" s="4">
        <f t="shared" si="6"/>
        <v>1199144</v>
      </c>
      <c r="J45" s="4"/>
      <c r="K45" s="4">
        <f t="shared" si="2"/>
        <v>80318871</v>
      </c>
      <c r="L45" s="4"/>
      <c r="M45" s="4"/>
      <c r="N45" s="4">
        <f t="shared" si="3"/>
        <v>4919413.5</v>
      </c>
      <c r="O45" s="4"/>
      <c r="P45" s="4"/>
      <c r="Q45" s="4">
        <f t="shared" si="4"/>
        <v>85238284.5</v>
      </c>
    </row>
    <row r="46" spans="1:17">
      <c r="A46" s="10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 t="shared" si="5"/>
        <v>308069</v>
      </c>
      <c r="I46" s="4">
        <f t="shared" si="6"/>
        <v>256184</v>
      </c>
      <c r="J46" s="4"/>
      <c r="K46" s="4">
        <f t="shared" si="2"/>
        <v>21782769</v>
      </c>
      <c r="L46" s="4"/>
      <c r="M46" s="4"/>
      <c r="N46" s="4">
        <f t="shared" si="3"/>
        <v>1633730.5</v>
      </c>
      <c r="O46" s="4"/>
      <c r="P46" s="4"/>
      <c r="Q46" s="4">
        <f t="shared" si="4"/>
        <v>23416499.5</v>
      </c>
    </row>
    <row r="47" spans="1:17">
      <c r="A47" s="10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 t="shared" si="5"/>
        <v>503889</v>
      </c>
      <c r="I47" s="4">
        <f t="shared" si="6"/>
        <v>452626</v>
      </c>
      <c r="J47" s="4"/>
      <c r="K47" s="4">
        <f t="shared" si="2"/>
        <v>38124327.5</v>
      </c>
      <c r="L47" s="4"/>
      <c r="M47" s="4"/>
      <c r="N47" s="4">
        <f t="shared" si="3"/>
        <v>2527560</v>
      </c>
      <c r="O47" s="4"/>
      <c r="P47" s="4"/>
      <c r="Q47" s="4">
        <f t="shared" si="4"/>
        <v>40651887.5</v>
      </c>
    </row>
    <row r="48" spans="1:17">
      <c r="A48" s="10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 t="shared" si="5"/>
        <v>423710</v>
      </c>
      <c r="I48" s="4">
        <f t="shared" si="6"/>
        <v>385797</v>
      </c>
      <c r="J48" s="4"/>
      <c r="K48" s="4">
        <f t="shared" si="2"/>
        <v>33017979</v>
      </c>
      <c r="L48" s="4"/>
      <c r="M48" s="4"/>
      <c r="N48" s="4">
        <f t="shared" si="3"/>
        <v>2195575.5</v>
      </c>
      <c r="O48" s="4"/>
      <c r="P48" s="4"/>
      <c r="Q48" s="4">
        <f t="shared" si="4"/>
        <v>35213554.5</v>
      </c>
    </row>
    <row r="49" spans="1:17">
      <c r="A49" s="10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 t="shared" si="5"/>
        <v>341645</v>
      </c>
      <c r="I49" s="4">
        <f t="shared" si="6"/>
        <v>328233</v>
      </c>
      <c r="J49" s="4"/>
      <c r="K49" s="4">
        <f t="shared" si="2"/>
        <v>27826473</v>
      </c>
      <c r="L49" s="4"/>
      <c r="M49" s="4"/>
      <c r="N49" s="4">
        <f t="shared" si="3"/>
        <v>1983098</v>
      </c>
      <c r="O49" s="4"/>
      <c r="P49" s="4"/>
      <c r="Q49" s="4">
        <f t="shared" si="4"/>
        <v>29809571</v>
      </c>
    </row>
    <row r="50" spans="1:17">
      <c r="A50" s="10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 t="shared" si="5"/>
        <v>715609</v>
      </c>
      <c r="I50" s="4">
        <f t="shared" si="6"/>
        <v>796360</v>
      </c>
      <c r="J50" s="4"/>
      <c r="K50" s="4">
        <f t="shared" si="2"/>
        <v>64843278.5</v>
      </c>
      <c r="L50" s="4"/>
      <c r="M50" s="4"/>
      <c r="N50" s="4">
        <f t="shared" si="3"/>
        <v>3951311</v>
      </c>
      <c r="O50" s="4"/>
      <c r="P50" s="4"/>
      <c r="Q50" s="4">
        <f t="shared" si="4"/>
        <v>68794589.5</v>
      </c>
    </row>
    <row r="51" spans="1:17">
      <c r="A51" s="10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 t="shared" si="5"/>
        <v>383680</v>
      </c>
      <c r="I51" s="4">
        <f t="shared" si="6"/>
        <v>340053</v>
      </c>
      <c r="J51" s="4"/>
      <c r="K51" s="4">
        <f t="shared" si="2"/>
        <v>31448880</v>
      </c>
      <c r="L51" s="4"/>
      <c r="M51" s="4"/>
      <c r="N51" s="4">
        <f t="shared" si="3"/>
        <v>2204704.5</v>
      </c>
      <c r="O51" s="4"/>
      <c r="P51" s="4"/>
      <c r="Q51" s="4">
        <f t="shared" si="4"/>
        <v>33653584.5</v>
      </c>
    </row>
    <row r="52" spans="1:17">
      <c r="A52" s="10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 t="shared" si="5"/>
        <v>360612</v>
      </c>
      <c r="I52" s="4">
        <f t="shared" si="6"/>
        <v>335352</v>
      </c>
      <c r="J52" s="4"/>
      <c r="K52" s="4">
        <f t="shared" si="2"/>
        <v>30752450</v>
      </c>
      <c r="L52" s="4"/>
      <c r="M52" s="4"/>
      <c r="N52" s="4">
        <f t="shared" si="3"/>
        <v>2305840</v>
      </c>
      <c r="O52" s="4"/>
      <c r="P52" s="4"/>
      <c r="Q52" s="4">
        <f t="shared" si="4"/>
        <v>33058290</v>
      </c>
    </row>
    <row r="53" spans="1:17">
      <c r="A53" s="10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 t="shared" si="5"/>
        <v>440852</v>
      </c>
      <c r="I53" s="4">
        <f t="shared" si="6"/>
        <v>419733</v>
      </c>
      <c r="J53" s="4"/>
      <c r="K53" s="4">
        <f t="shared" si="2"/>
        <v>39108023.5</v>
      </c>
      <c r="L53" s="4"/>
      <c r="M53" s="4"/>
      <c r="N53" s="4">
        <f t="shared" si="3"/>
        <v>2630349</v>
      </c>
      <c r="O53" s="4"/>
      <c r="P53" s="4"/>
      <c r="Q53" s="4">
        <f t="shared" si="4"/>
        <v>41738372.5</v>
      </c>
    </row>
    <row r="54" spans="1:17">
      <c r="A54" s="10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 t="shared" si="5"/>
        <v>244786</v>
      </c>
      <c r="I54" s="4">
        <f t="shared" si="6"/>
        <v>223859</v>
      </c>
      <c r="J54" s="4"/>
      <c r="K54" s="4">
        <f t="shared" si="2"/>
        <v>21550270.5</v>
      </c>
      <c r="L54" s="4"/>
      <c r="M54" s="4"/>
      <c r="N54" s="4">
        <f t="shared" si="3"/>
        <v>1647657</v>
      </c>
      <c r="O54" s="4"/>
      <c r="P54" s="4"/>
      <c r="Q54" s="4">
        <f t="shared" si="4"/>
        <v>23197927.5</v>
      </c>
    </row>
    <row r="55" spans="1:17">
      <c r="A55" s="10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 t="shared" si="5"/>
        <v>812835</v>
      </c>
      <c r="I55" s="4">
        <f t="shared" si="6"/>
        <v>1082324</v>
      </c>
      <c r="J55" s="4"/>
      <c r="K55" s="4">
        <f t="shared" si="2"/>
        <v>90467316</v>
      </c>
      <c r="L55" s="4"/>
      <c r="M55" s="4"/>
      <c r="N55" s="4">
        <f t="shared" si="3"/>
        <v>5238213.5</v>
      </c>
      <c r="O55" s="4"/>
      <c r="P55" s="4"/>
      <c r="Q55" s="4">
        <f t="shared" si="4"/>
        <v>95705529.5</v>
      </c>
    </row>
    <row r="56" spans="1:17">
      <c r="A56" s="10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 t="shared" si="5"/>
        <v>183378</v>
      </c>
      <c r="I56" s="4">
        <f t="shared" si="6"/>
        <v>170897</v>
      </c>
      <c r="J56" s="4"/>
      <c r="K56" s="4">
        <f t="shared" si="2"/>
        <v>16908222.5</v>
      </c>
      <c r="L56" s="4"/>
      <c r="M56" s="4"/>
      <c r="N56" s="4">
        <f t="shared" si="3"/>
        <v>1336940</v>
      </c>
      <c r="O56" s="4"/>
      <c r="P56" s="4"/>
      <c r="Q56" s="4">
        <f t="shared" si="4"/>
        <v>18245162.5</v>
      </c>
    </row>
    <row r="57" spans="1:17">
      <c r="A57" s="10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 t="shared" si="5"/>
        <v>313188</v>
      </c>
      <c r="I57" s="4">
        <f t="shared" si="6"/>
        <v>295658</v>
      </c>
      <c r="J57" s="4"/>
      <c r="K57" s="4">
        <f t="shared" si="2"/>
        <v>29951145</v>
      </c>
      <c r="L57" s="4"/>
      <c r="M57" s="4"/>
      <c r="N57" s="4">
        <f t="shared" si="3"/>
        <v>2013270</v>
      </c>
      <c r="O57" s="4"/>
      <c r="P57" s="4"/>
      <c r="Q57" s="4">
        <f t="shared" si="4"/>
        <v>31964415</v>
      </c>
    </row>
    <row r="58" spans="1:17">
      <c r="A58" s="10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 t="shared" si="5"/>
        <v>259360</v>
      </c>
      <c r="I58" s="4">
        <f t="shared" si="6"/>
        <v>253700</v>
      </c>
      <c r="J58" s="4"/>
      <c r="K58" s="4">
        <f t="shared" si="2"/>
        <v>25675880.5</v>
      </c>
      <c r="L58" s="4"/>
      <c r="M58" s="4"/>
      <c r="N58" s="4">
        <f t="shared" si="3"/>
        <v>1772829.5</v>
      </c>
      <c r="O58" s="4"/>
      <c r="P58" s="4"/>
      <c r="Q58" s="4">
        <f t="shared" si="4"/>
        <v>27448710</v>
      </c>
    </row>
    <row r="59" spans="1:17">
      <c r="A59" s="10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 t="shared" si="5"/>
        <v>210742</v>
      </c>
      <c r="I59" s="4">
        <f t="shared" si="6"/>
        <v>222184</v>
      </c>
      <c r="J59" s="4"/>
      <c r="K59" s="4">
        <f t="shared" si="2"/>
        <v>21955052.5</v>
      </c>
      <c r="L59" s="4"/>
      <c r="M59" s="4"/>
      <c r="N59" s="4">
        <f t="shared" si="3"/>
        <v>1639414.5</v>
      </c>
      <c r="O59" s="4"/>
      <c r="P59" s="4"/>
      <c r="Q59" s="4">
        <f t="shared" si="4"/>
        <v>23594467</v>
      </c>
    </row>
    <row r="60" spans="1:17">
      <c r="A60" s="10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 t="shared" si="5"/>
        <v>542450</v>
      </c>
      <c r="I60" s="4">
        <f t="shared" si="6"/>
        <v>585136</v>
      </c>
      <c r="J60" s="4"/>
      <c r="K60" s="4">
        <f t="shared" si="2"/>
        <v>59049669</v>
      </c>
      <c r="L60" s="4"/>
      <c r="M60" s="4"/>
      <c r="N60" s="4">
        <f t="shared" si="3"/>
        <v>3531354</v>
      </c>
      <c r="O60" s="4"/>
      <c r="P60" s="4"/>
      <c r="Q60" s="4">
        <f t="shared" si="4"/>
        <v>62581023</v>
      </c>
    </row>
    <row r="61" spans="1:17">
      <c r="A61" s="10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 t="shared" si="5"/>
        <v>288780</v>
      </c>
      <c r="I61" s="4">
        <f t="shared" si="6"/>
        <v>258577</v>
      </c>
      <c r="J61" s="4"/>
      <c r="K61" s="4">
        <f t="shared" si="2"/>
        <v>28816017</v>
      </c>
      <c r="L61" s="4"/>
      <c r="M61" s="4"/>
      <c r="N61" s="4">
        <f t="shared" si="3"/>
        <v>2109653.5</v>
      </c>
      <c r="O61" s="4"/>
      <c r="P61" s="4"/>
      <c r="Q61" s="4">
        <f t="shared" si="4"/>
        <v>30925670.5</v>
      </c>
    </row>
    <row r="62" spans="1:17">
      <c r="A62" s="10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 t="shared" si="5"/>
        <v>232543</v>
      </c>
      <c r="I62" s="4">
        <f t="shared" si="6"/>
        <v>208310</v>
      </c>
      <c r="J62" s="4"/>
      <c r="K62" s="4">
        <f t="shared" si="2"/>
        <v>23496110</v>
      </c>
      <c r="L62" s="4"/>
      <c r="M62" s="4"/>
      <c r="N62" s="4">
        <f t="shared" si="3"/>
        <v>1852937.5</v>
      </c>
      <c r="O62" s="4"/>
      <c r="P62" s="4"/>
      <c r="Q62" s="4">
        <f t="shared" si="4"/>
        <v>25349047.5</v>
      </c>
    </row>
    <row r="63" spans="1:17">
      <c r="A63" s="10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 t="shared" si="5"/>
        <v>252281</v>
      </c>
      <c r="I63" s="4">
        <f t="shared" si="6"/>
        <v>233912</v>
      </c>
      <c r="J63" s="4"/>
      <c r="K63" s="4">
        <f t="shared" si="2"/>
        <v>26604103.5</v>
      </c>
      <c r="L63" s="4"/>
      <c r="M63" s="4"/>
      <c r="N63" s="4">
        <f t="shared" si="3"/>
        <v>1838187</v>
      </c>
      <c r="O63" s="4"/>
      <c r="P63" s="4"/>
      <c r="Q63" s="4">
        <f t="shared" si="4"/>
        <v>28442290.5</v>
      </c>
    </row>
    <row r="64" spans="1:17">
      <c r="A64" s="10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 t="shared" si="5"/>
        <v>140690</v>
      </c>
      <c r="I64" s="4">
        <f t="shared" si="6"/>
        <v>125306</v>
      </c>
      <c r="J64" s="4"/>
      <c r="K64" s="4">
        <f t="shared" si="2"/>
        <v>14616115.5</v>
      </c>
      <c r="L64" s="4"/>
      <c r="M64" s="4"/>
      <c r="N64" s="4">
        <f t="shared" si="3"/>
        <v>1210646.5</v>
      </c>
      <c r="O64" s="4"/>
      <c r="P64" s="4"/>
      <c r="Q64" s="4">
        <f t="shared" si="4"/>
        <v>15826762</v>
      </c>
    </row>
    <row r="65" spans="1:17">
      <c r="A65" s="10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 t="shared" si="5"/>
        <v>686050</v>
      </c>
      <c r="I65" s="4">
        <f t="shared" si="6"/>
        <v>907775</v>
      </c>
      <c r="J65" s="4"/>
      <c r="K65" s="4">
        <f t="shared" si="2"/>
        <v>91045421.5</v>
      </c>
      <c r="L65" s="4"/>
      <c r="M65" s="4"/>
      <c r="N65" s="4">
        <f t="shared" si="3"/>
        <v>5380991</v>
      </c>
      <c r="O65" s="4"/>
      <c r="P65" s="4"/>
      <c r="Q65" s="4">
        <f t="shared" si="4"/>
        <v>96426412.5</v>
      </c>
    </row>
    <row r="66" spans="1:17">
      <c r="A66" s="10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 t="shared" si="5"/>
        <v>118251</v>
      </c>
      <c r="I66" s="4">
        <f t="shared" si="6"/>
        <v>102415</v>
      </c>
      <c r="J66" s="4"/>
      <c r="K66" s="4">
        <f t="shared" si="2"/>
        <v>12492679.5</v>
      </c>
      <c r="L66" s="4"/>
      <c r="M66" s="4"/>
      <c r="N66" s="4">
        <f t="shared" si="3"/>
        <v>1078279.5</v>
      </c>
      <c r="O66" s="4"/>
      <c r="P66" s="4"/>
      <c r="Q66" s="4">
        <f t="shared" si="4"/>
        <v>13570959</v>
      </c>
    </row>
    <row r="67" spans="1:17">
      <c r="A67" s="10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 t="shared" si="5"/>
        <v>197306</v>
      </c>
      <c r="I67" s="4">
        <f t="shared" si="6"/>
        <v>177053</v>
      </c>
      <c r="J67" s="4"/>
      <c r="K67" s="4">
        <f t="shared" si="2"/>
        <v>21804625</v>
      </c>
      <c r="L67" s="4"/>
      <c r="M67" s="4"/>
      <c r="N67" s="4">
        <f t="shared" si="3"/>
        <v>1592812.5</v>
      </c>
      <c r="O67" s="4"/>
      <c r="P67" s="4"/>
      <c r="Q67" s="4">
        <f t="shared" si="4"/>
        <v>23397437.5</v>
      </c>
    </row>
    <row r="68" spans="1:17">
      <c r="A68" s="10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 t="shared" si="5"/>
        <v>176982</v>
      </c>
      <c r="I68" s="4">
        <f t="shared" si="6"/>
        <v>158971</v>
      </c>
      <c r="J68" s="4"/>
      <c r="K68" s="4">
        <f t="shared" si="2"/>
        <v>19881723</v>
      </c>
      <c r="L68" s="4"/>
      <c r="M68" s="4"/>
      <c r="N68" s="4">
        <f t="shared" si="3"/>
        <v>1451292.5</v>
      </c>
      <c r="O68" s="4"/>
      <c r="P68" s="4"/>
      <c r="Q68" s="4">
        <f t="shared" si="4"/>
        <v>21333015.5</v>
      </c>
    </row>
    <row r="69" spans="1:17">
      <c r="A69" s="10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 t="shared" ref="H69:H100" si="7">B69+E69</f>
        <v>122679</v>
      </c>
      <c r="I69" s="4">
        <f t="shared" ref="I69:I100" si="8">C69+F69</f>
        <v>117725</v>
      </c>
      <c r="J69" s="4"/>
      <c r="K69" s="4">
        <f t="shared" si="2"/>
        <v>14403237</v>
      </c>
      <c r="L69" s="4"/>
      <c r="M69" s="4"/>
      <c r="N69" s="4">
        <f t="shared" si="3"/>
        <v>1102821</v>
      </c>
      <c r="O69" s="4"/>
      <c r="P69" s="4"/>
      <c r="Q69" s="4">
        <f t="shared" si="4"/>
        <v>15506058</v>
      </c>
    </row>
    <row r="70" spans="1:17">
      <c r="A70" s="10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 t="shared" si="7"/>
        <v>357326</v>
      </c>
      <c r="I70" s="4">
        <f t="shared" si="8"/>
        <v>390908</v>
      </c>
      <c r="J70" s="4"/>
      <c r="K70" s="4">
        <f t="shared" ref="K70:K114" si="9">(B70+C70) * (0.5 +$A70)</f>
        <v>46415789</v>
      </c>
      <c r="L70" s="4"/>
      <c r="M70" s="4"/>
      <c r="N70" s="4">
        <f t="shared" ref="N70:N114" si="10">(E70+F70) * (0.5 +$A70)</f>
        <v>2593538</v>
      </c>
      <c r="O70" s="4"/>
      <c r="P70" s="4"/>
      <c r="Q70" s="4">
        <f t="shared" ref="Q70:Q114" si="11">(H70+I70) * (0.5 +$A70)</f>
        <v>49009327</v>
      </c>
    </row>
    <row r="71" spans="1:17">
      <c r="A71" s="10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 t="shared" si="7"/>
        <v>140457</v>
      </c>
      <c r="I71" s="4">
        <f t="shared" si="8"/>
        <v>113437</v>
      </c>
      <c r="J71" s="4"/>
      <c r="K71" s="4">
        <f t="shared" si="9"/>
        <v>15631556.5</v>
      </c>
      <c r="L71" s="4"/>
      <c r="M71" s="4"/>
      <c r="N71" s="4">
        <f t="shared" si="10"/>
        <v>1252394.5</v>
      </c>
      <c r="O71" s="4"/>
      <c r="P71" s="4"/>
      <c r="Q71" s="4">
        <f t="shared" si="11"/>
        <v>16883951</v>
      </c>
    </row>
    <row r="72" spans="1:17">
      <c r="A72" s="10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 t="shared" si="7"/>
        <v>148740</v>
      </c>
      <c r="I72" s="4">
        <f t="shared" si="8"/>
        <v>127023</v>
      </c>
      <c r="J72" s="4"/>
      <c r="K72" s="4">
        <f t="shared" si="9"/>
        <v>17245102.5</v>
      </c>
      <c r="L72" s="4"/>
      <c r="M72" s="4"/>
      <c r="N72" s="4">
        <f t="shared" si="10"/>
        <v>1368900</v>
      </c>
      <c r="O72" s="4"/>
      <c r="P72" s="4"/>
      <c r="Q72" s="4">
        <f t="shared" si="11"/>
        <v>18614002.5</v>
      </c>
    </row>
    <row r="73" spans="1:17">
      <c r="A73" s="10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 t="shared" si="7"/>
        <v>114114</v>
      </c>
      <c r="I73" s="4">
        <f t="shared" si="8"/>
        <v>108737</v>
      </c>
      <c r="J73" s="4"/>
      <c r="K73" s="4">
        <f t="shared" si="9"/>
        <v>14303690.5</v>
      </c>
      <c r="L73" s="4"/>
      <c r="M73" s="4"/>
      <c r="N73" s="4">
        <f t="shared" si="10"/>
        <v>961603</v>
      </c>
      <c r="O73" s="4"/>
      <c r="P73" s="4"/>
      <c r="Q73" s="4">
        <f t="shared" si="11"/>
        <v>15265293.5</v>
      </c>
    </row>
    <row r="74" spans="1:17">
      <c r="A74" s="10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 t="shared" si="7"/>
        <v>61105</v>
      </c>
      <c r="I74" s="4">
        <f t="shared" si="8"/>
        <v>60508</v>
      </c>
      <c r="J74" s="4"/>
      <c r="K74" s="4">
        <f t="shared" si="9"/>
        <v>7838974.5</v>
      </c>
      <c r="L74" s="4"/>
      <c r="M74" s="4"/>
      <c r="N74" s="4">
        <f t="shared" si="10"/>
        <v>613129</v>
      </c>
      <c r="O74" s="4"/>
      <c r="P74" s="4"/>
      <c r="Q74" s="4">
        <f t="shared" si="11"/>
        <v>8452103.5</v>
      </c>
    </row>
    <row r="75" spans="1:17">
      <c r="A75" s="10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 t="shared" si="7"/>
        <v>379260</v>
      </c>
      <c r="I75" s="4">
        <f t="shared" si="8"/>
        <v>522328</v>
      </c>
      <c r="J75" s="4"/>
      <c r="K75" s="4">
        <f t="shared" si="9"/>
        <v>59824678.5</v>
      </c>
      <c r="L75" s="4"/>
      <c r="M75" s="4"/>
      <c r="N75" s="4">
        <f t="shared" si="10"/>
        <v>3737275.5</v>
      </c>
      <c r="O75" s="4"/>
      <c r="P75" s="4"/>
      <c r="Q75" s="4">
        <f t="shared" si="11"/>
        <v>63561954</v>
      </c>
    </row>
    <row r="76" spans="1:17">
      <c r="A76" s="10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 t="shared" si="7"/>
        <v>47362</v>
      </c>
      <c r="I76" s="4">
        <f t="shared" si="8"/>
        <v>43292</v>
      </c>
      <c r="J76" s="4"/>
      <c r="K76" s="4">
        <f t="shared" si="9"/>
        <v>5982119</v>
      </c>
      <c r="L76" s="4"/>
      <c r="M76" s="4"/>
      <c r="N76" s="4">
        <f t="shared" si="10"/>
        <v>499642</v>
      </c>
      <c r="O76" s="4"/>
      <c r="P76" s="4"/>
      <c r="Q76" s="4">
        <f t="shared" si="11"/>
        <v>6481761</v>
      </c>
    </row>
    <row r="77" spans="1:17">
      <c r="A77" s="10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 t="shared" si="7"/>
        <v>80630</v>
      </c>
      <c r="I77" s="4">
        <f t="shared" si="8"/>
        <v>71854</v>
      </c>
      <c r="J77" s="4"/>
      <c r="K77" s="4">
        <f t="shared" si="9"/>
        <v>10312472.5</v>
      </c>
      <c r="L77" s="4"/>
      <c r="M77" s="4"/>
      <c r="N77" s="4">
        <f t="shared" si="10"/>
        <v>742617.5</v>
      </c>
      <c r="O77" s="4"/>
      <c r="P77" s="4"/>
      <c r="Q77" s="4">
        <f t="shared" si="11"/>
        <v>11055090</v>
      </c>
    </row>
    <row r="78" spans="1:17">
      <c r="A78" s="10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 t="shared" si="7"/>
        <v>62901</v>
      </c>
      <c r="I78" s="4">
        <f t="shared" si="8"/>
        <v>55974</v>
      </c>
      <c r="J78" s="4"/>
      <c r="K78" s="4">
        <f t="shared" si="9"/>
        <v>8125278</v>
      </c>
      <c r="L78" s="4"/>
      <c r="M78" s="4"/>
      <c r="N78" s="4">
        <f t="shared" si="10"/>
        <v>612034.5</v>
      </c>
      <c r="O78" s="4"/>
      <c r="P78" s="4"/>
      <c r="Q78" s="4">
        <f t="shared" si="11"/>
        <v>8737312.5</v>
      </c>
    </row>
    <row r="79" spans="1:17">
      <c r="A79" s="10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 t="shared" si="7"/>
        <v>46340</v>
      </c>
      <c r="I79" s="4">
        <f t="shared" si="8"/>
        <v>41171</v>
      </c>
      <c r="J79" s="4"/>
      <c r="K79" s="4">
        <f t="shared" si="9"/>
        <v>6025709</v>
      </c>
      <c r="L79" s="4"/>
      <c r="M79" s="4"/>
      <c r="N79" s="4">
        <f t="shared" si="10"/>
        <v>493860.5</v>
      </c>
      <c r="O79" s="4"/>
      <c r="P79" s="4"/>
      <c r="Q79" s="4">
        <f t="shared" si="11"/>
        <v>6519569.5</v>
      </c>
    </row>
    <row r="80" spans="1:17">
      <c r="A80" s="10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 t="shared" si="7"/>
        <v>158782</v>
      </c>
      <c r="I80" s="4">
        <f t="shared" si="8"/>
        <v>159422</v>
      </c>
      <c r="J80" s="4"/>
      <c r="K80" s="4">
        <f t="shared" si="9"/>
        <v>22694771.5</v>
      </c>
      <c r="L80" s="4"/>
      <c r="M80" s="4"/>
      <c r="N80" s="4">
        <f t="shared" si="10"/>
        <v>1329630.5</v>
      </c>
      <c r="O80" s="4"/>
      <c r="P80" s="4"/>
      <c r="Q80" s="4">
        <f t="shared" si="11"/>
        <v>24024402</v>
      </c>
    </row>
    <row r="81" spans="1:17">
      <c r="A81" s="10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 t="shared" si="7"/>
        <v>49674</v>
      </c>
      <c r="I81" s="4">
        <f t="shared" si="8"/>
        <v>39445</v>
      </c>
      <c r="J81" s="4"/>
      <c r="K81" s="4">
        <f t="shared" si="9"/>
        <v>6298015.5</v>
      </c>
      <c r="L81" s="4"/>
      <c r="M81" s="4"/>
      <c r="N81" s="4">
        <f t="shared" si="10"/>
        <v>519588</v>
      </c>
      <c r="O81" s="4"/>
      <c r="P81" s="4"/>
      <c r="Q81" s="4">
        <f t="shared" si="11"/>
        <v>6817603.5</v>
      </c>
    </row>
    <row r="82" spans="1:17">
      <c r="A82" s="10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 t="shared" si="7"/>
        <v>40825</v>
      </c>
      <c r="I82" s="4">
        <f t="shared" si="8"/>
        <v>31463</v>
      </c>
      <c r="J82" s="4"/>
      <c r="K82" s="4">
        <f t="shared" si="9"/>
        <v>5130112.5</v>
      </c>
      <c r="L82" s="4"/>
      <c r="M82" s="4"/>
      <c r="N82" s="4">
        <f t="shared" si="10"/>
        <v>472207.5</v>
      </c>
      <c r="O82" s="4"/>
      <c r="P82" s="4"/>
      <c r="Q82" s="4">
        <f t="shared" si="11"/>
        <v>5602320</v>
      </c>
    </row>
    <row r="83" spans="1:17">
      <c r="A83" s="10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 t="shared" si="7"/>
        <v>46067</v>
      </c>
      <c r="I83" s="4">
        <f t="shared" si="8"/>
        <v>39379</v>
      </c>
      <c r="J83" s="4"/>
      <c r="K83" s="4">
        <f t="shared" si="9"/>
        <v>6216964.5</v>
      </c>
      <c r="L83" s="4"/>
      <c r="M83" s="4"/>
      <c r="N83" s="4">
        <f t="shared" si="10"/>
        <v>490546.5</v>
      </c>
      <c r="O83" s="4"/>
      <c r="P83" s="4"/>
      <c r="Q83" s="4">
        <f t="shared" si="11"/>
        <v>6707511</v>
      </c>
    </row>
    <row r="84" spans="1:17">
      <c r="A84" s="10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 t="shared" si="7"/>
        <v>19050</v>
      </c>
      <c r="I84" s="4">
        <f t="shared" si="8"/>
        <v>16950</v>
      </c>
      <c r="J84" s="4"/>
      <c r="K84" s="4">
        <f t="shared" si="9"/>
        <v>2623738.5</v>
      </c>
      <c r="L84" s="4"/>
      <c r="M84" s="4"/>
      <c r="N84" s="4">
        <f t="shared" si="10"/>
        <v>238261.5</v>
      </c>
      <c r="O84" s="4"/>
      <c r="P84" s="4"/>
      <c r="Q84" s="4">
        <f t="shared" si="11"/>
        <v>2862000</v>
      </c>
    </row>
    <row r="85" spans="1:17">
      <c r="A85" s="10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 t="shared" si="7"/>
        <v>141367</v>
      </c>
      <c r="I85" s="4">
        <f t="shared" si="8"/>
        <v>175101</v>
      </c>
      <c r="J85" s="4"/>
      <c r="K85" s="4">
        <f t="shared" si="9"/>
        <v>23690023</v>
      </c>
      <c r="L85" s="4"/>
      <c r="M85" s="4"/>
      <c r="N85" s="4">
        <f t="shared" si="10"/>
        <v>1785651</v>
      </c>
      <c r="O85" s="4"/>
      <c r="P85" s="4"/>
      <c r="Q85" s="4">
        <f t="shared" si="11"/>
        <v>25475674</v>
      </c>
    </row>
    <row r="86" spans="1:17">
      <c r="A86" s="10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 t="shared" si="7"/>
        <v>12177</v>
      </c>
      <c r="I86" s="4">
        <f t="shared" si="8"/>
        <v>10458</v>
      </c>
      <c r="J86" s="4"/>
      <c r="K86" s="4">
        <f t="shared" si="9"/>
        <v>1674988</v>
      </c>
      <c r="L86" s="4"/>
      <c r="M86" s="4"/>
      <c r="N86" s="4">
        <f t="shared" si="10"/>
        <v>169764.5</v>
      </c>
      <c r="O86" s="4"/>
      <c r="P86" s="4"/>
      <c r="Q86" s="4">
        <f t="shared" si="11"/>
        <v>1844752.5</v>
      </c>
    </row>
    <row r="87" spans="1:17">
      <c r="A87" s="10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 t="shared" si="7"/>
        <v>18053</v>
      </c>
      <c r="I87" s="4">
        <f t="shared" si="8"/>
        <v>15247</v>
      </c>
      <c r="J87" s="4"/>
      <c r="K87" s="4">
        <f t="shared" si="9"/>
        <v>2527635</v>
      </c>
      <c r="L87" s="4"/>
      <c r="M87" s="4"/>
      <c r="N87" s="4">
        <f t="shared" si="10"/>
        <v>219615</v>
      </c>
      <c r="O87" s="4"/>
      <c r="P87" s="4"/>
      <c r="Q87" s="4">
        <f t="shared" si="11"/>
        <v>2747250</v>
      </c>
    </row>
    <row r="88" spans="1:17">
      <c r="A88" s="10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 t="shared" si="7"/>
        <v>13146</v>
      </c>
      <c r="I88" s="4">
        <f t="shared" si="8"/>
        <v>10975</v>
      </c>
      <c r="J88" s="4"/>
      <c r="K88" s="4">
        <f t="shared" si="9"/>
        <v>1841592.5</v>
      </c>
      <c r="L88" s="4"/>
      <c r="M88" s="4"/>
      <c r="N88" s="4">
        <f t="shared" si="10"/>
        <v>172511</v>
      </c>
      <c r="O88" s="4"/>
      <c r="P88" s="4"/>
      <c r="Q88" s="4">
        <f t="shared" si="11"/>
        <v>2014103.5</v>
      </c>
    </row>
    <row r="89" spans="1:17">
      <c r="A89" s="10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 t="shared" si="7"/>
        <v>11994</v>
      </c>
      <c r="I89" s="4">
        <f t="shared" si="8"/>
        <v>9312</v>
      </c>
      <c r="J89" s="4"/>
      <c r="K89" s="4">
        <f t="shared" si="9"/>
        <v>1656031</v>
      </c>
      <c r="L89" s="4"/>
      <c r="M89" s="4"/>
      <c r="N89" s="4">
        <f t="shared" si="10"/>
        <v>144326</v>
      </c>
      <c r="O89" s="4"/>
      <c r="P89" s="4"/>
      <c r="Q89" s="4">
        <f t="shared" si="11"/>
        <v>1800357</v>
      </c>
    </row>
    <row r="90" spans="1:17">
      <c r="A90" s="10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 t="shared" si="7"/>
        <v>36446</v>
      </c>
      <c r="I90" s="4">
        <f t="shared" si="8"/>
        <v>34885</v>
      </c>
      <c r="J90" s="4"/>
      <c r="K90" s="4">
        <f t="shared" si="9"/>
        <v>5697463.5</v>
      </c>
      <c r="L90" s="4"/>
      <c r="M90" s="4"/>
      <c r="N90" s="4">
        <f t="shared" si="10"/>
        <v>401337</v>
      </c>
      <c r="O90" s="4"/>
      <c r="P90" s="4"/>
      <c r="Q90" s="4">
        <f t="shared" si="11"/>
        <v>6098800.5</v>
      </c>
    </row>
    <row r="91" spans="1:17">
      <c r="A91" s="10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 t="shared" si="7"/>
        <v>9657</v>
      </c>
      <c r="I91" s="4">
        <f t="shared" si="8"/>
        <v>7264</v>
      </c>
      <c r="J91" s="4"/>
      <c r="K91" s="4">
        <f t="shared" si="9"/>
        <v>1331494.5</v>
      </c>
      <c r="L91" s="4"/>
      <c r="M91" s="4"/>
      <c r="N91" s="4">
        <f t="shared" si="10"/>
        <v>132172</v>
      </c>
      <c r="O91" s="4"/>
      <c r="P91" s="4"/>
      <c r="Q91" s="4">
        <f t="shared" si="11"/>
        <v>1463666.5</v>
      </c>
    </row>
    <row r="92" spans="1:17">
      <c r="A92" s="10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 t="shared" si="7"/>
        <v>7869</v>
      </c>
      <c r="I92" s="4">
        <f t="shared" si="8"/>
        <v>6388</v>
      </c>
      <c r="J92" s="4"/>
      <c r="K92" s="4">
        <f t="shared" si="9"/>
        <v>1129187.5</v>
      </c>
      <c r="L92" s="4"/>
      <c r="M92" s="4"/>
      <c r="N92" s="4">
        <f t="shared" si="10"/>
        <v>118300</v>
      </c>
      <c r="O92" s="4"/>
      <c r="P92" s="4"/>
      <c r="Q92" s="4">
        <f t="shared" si="11"/>
        <v>1247487.5</v>
      </c>
    </row>
    <row r="93" spans="1:17">
      <c r="A93" s="10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 t="shared" si="7"/>
        <v>6313</v>
      </c>
      <c r="I93" s="4">
        <f t="shared" si="8"/>
        <v>5342</v>
      </c>
      <c r="J93" s="4"/>
      <c r="K93" s="4">
        <f t="shared" si="9"/>
        <v>924648</v>
      </c>
      <c r="L93" s="4"/>
      <c r="M93" s="4"/>
      <c r="N93" s="4">
        <f t="shared" si="10"/>
        <v>106819.5</v>
      </c>
      <c r="O93" s="4"/>
      <c r="P93" s="4"/>
      <c r="Q93" s="4">
        <f t="shared" si="11"/>
        <v>1031467.5</v>
      </c>
    </row>
    <row r="94" spans="1:17">
      <c r="A94" s="10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 t="shared" si="7"/>
        <v>3735</v>
      </c>
      <c r="I94" s="4">
        <f t="shared" si="8"/>
        <v>3650</v>
      </c>
      <c r="J94" s="4"/>
      <c r="K94" s="4">
        <f t="shared" si="9"/>
        <v>586046</v>
      </c>
      <c r="L94" s="4"/>
      <c r="M94" s="4"/>
      <c r="N94" s="4">
        <f t="shared" si="10"/>
        <v>74911.5</v>
      </c>
      <c r="O94" s="4"/>
      <c r="P94" s="4"/>
      <c r="Q94" s="4">
        <f t="shared" si="11"/>
        <v>660957.5</v>
      </c>
    </row>
    <row r="95" spans="1:17">
      <c r="A95" s="10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 t="shared" si="7"/>
        <v>24476</v>
      </c>
      <c r="I95" s="4">
        <f t="shared" si="8"/>
        <v>32625</v>
      </c>
      <c r="J95" s="4"/>
      <c r="K95" s="4">
        <f t="shared" si="9"/>
        <v>4698217</v>
      </c>
      <c r="L95" s="4"/>
      <c r="M95" s="4"/>
      <c r="N95" s="4">
        <f t="shared" si="10"/>
        <v>469423.5</v>
      </c>
      <c r="O95" s="4"/>
      <c r="P95" s="4"/>
      <c r="Q95" s="4">
        <f t="shared" si="11"/>
        <v>5167640.5</v>
      </c>
    </row>
    <row r="96" spans="1:17">
      <c r="A96" s="10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 t="shared" si="7"/>
        <v>1560</v>
      </c>
      <c r="I96" s="4">
        <f t="shared" si="8"/>
        <v>1529</v>
      </c>
      <c r="J96" s="4"/>
      <c r="K96" s="4">
        <f t="shared" si="9"/>
        <v>244122</v>
      </c>
      <c r="L96" s="4"/>
      <c r="M96" s="4"/>
      <c r="N96" s="4">
        <f t="shared" si="10"/>
        <v>38521.5</v>
      </c>
      <c r="O96" s="4"/>
      <c r="P96" s="4"/>
      <c r="Q96" s="4">
        <f t="shared" si="11"/>
        <v>282643.5</v>
      </c>
    </row>
    <row r="97" spans="1:17">
      <c r="A97" s="10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 t="shared" si="7"/>
        <v>1941</v>
      </c>
      <c r="I97" s="4">
        <f t="shared" si="8"/>
        <v>1997</v>
      </c>
      <c r="J97" s="4"/>
      <c r="K97" s="4">
        <f t="shared" si="9"/>
        <v>322917.5</v>
      </c>
      <c r="L97" s="4"/>
      <c r="M97" s="4"/>
      <c r="N97" s="4">
        <f t="shared" si="10"/>
        <v>41347.5</v>
      </c>
      <c r="O97" s="4"/>
      <c r="P97" s="4"/>
      <c r="Q97" s="4">
        <f t="shared" si="11"/>
        <v>364265</v>
      </c>
    </row>
    <row r="98" spans="1:17">
      <c r="A98" s="10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 t="shared" si="7"/>
        <v>1670</v>
      </c>
      <c r="I98" s="4">
        <f t="shared" si="8"/>
        <v>1527</v>
      </c>
      <c r="J98" s="4"/>
      <c r="K98" s="4">
        <f t="shared" si="9"/>
        <v>262828.5</v>
      </c>
      <c r="L98" s="4"/>
      <c r="M98" s="4"/>
      <c r="N98" s="4">
        <f t="shared" si="10"/>
        <v>36091</v>
      </c>
      <c r="O98" s="4"/>
      <c r="P98" s="4"/>
      <c r="Q98" s="4">
        <f t="shared" si="11"/>
        <v>298919.5</v>
      </c>
    </row>
    <row r="99" spans="1:17">
      <c r="A99" s="10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 t="shared" si="7"/>
        <v>1391</v>
      </c>
      <c r="I99" s="4">
        <f t="shared" si="8"/>
        <v>1142</v>
      </c>
      <c r="J99" s="4"/>
      <c r="K99" s="4">
        <f t="shared" si="9"/>
        <v>211018.5</v>
      </c>
      <c r="L99" s="4"/>
      <c r="M99" s="4"/>
      <c r="N99" s="4">
        <f t="shared" si="10"/>
        <v>28350</v>
      </c>
      <c r="O99" s="4"/>
      <c r="P99" s="4"/>
      <c r="Q99" s="4">
        <f t="shared" si="11"/>
        <v>239368.5</v>
      </c>
    </row>
    <row r="100" spans="1:17">
      <c r="A100" s="10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 t="shared" si="7"/>
        <v>5244</v>
      </c>
      <c r="I100" s="4">
        <f t="shared" si="8"/>
        <v>5745</v>
      </c>
      <c r="J100" s="4"/>
      <c r="K100" s="4">
        <f t="shared" si="9"/>
        <v>958533.5</v>
      </c>
      <c r="L100" s="4"/>
      <c r="M100" s="4"/>
      <c r="N100" s="4">
        <f t="shared" si="10"/>
        <v>90916</v>
      </c>
      <c r="O100" s="4"/>
      <c r="P100" s="4"/>
      <c r="Q100" s="4">
        <f t="shared" si="11"/>
        <v>1049449.5</v>
      </c>
    </row>
    <row r="101" spans="1:17">
      <c r="A101" s="10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 t="shared" ref="H101:H114" si="12">B101+E101</f>
        <v>2154</v>
      </c>
      <c r="I101" s="4">
        <f t="shared" ref="I101:I114" si="13">C101+F101</f>
        <v>1827</v>
      </c>
      <c r="J101" s="4"/>
      <c r="K101" s="4">
        <f t="shared" si="9"/>
        <v>336302.5</v>
      </c>
      <c r="L101" s="4"/>
      <c r="M101" s="4"/>
      <c r="N101" s="4">
        <f t="shared" si="10"/>
        <v>47864</v>
      </c>
      <c r="O101" s="4"/>
      <c r="P101" s="4"/>
      <c r="Q101" s="4">
        <f t="shared" si="11"/>
        <v>384166.5</v>
      </c>
    </row>
    <row r="102" spans="1:17">
      <c r="A102" s="10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 t="shared" si="12"/>
        <v>1638</v>
      </c>
      <c r="I102" s="4">
        <f t="shared" si="13"/>
        <v>1320</v>
      </c>
      <c r="J102" s="4"/>
      <c r="K102" s="4">
        <f t="shared" si="9"/>
        <v>257887.5</v>
      </c>
      <c r="L102" s="4"/>
      <c r="M102" s="4"/>
      <c r="N102" s="4">
        <f t="shared" si="10"/>
        <v>30517.5</v>
      </c>
      <c r="O102" s="4"/>
      <c r="P102" s="4"/>
      <c r="Q102" s="4">
        <f t="shared" si="11"/>
        <v>288405</v>
      </c>
    </row>
    <row r="103" spans="1:17">
      <c r="A103" s="10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 t="shared" si="12"/>
        <v>1583</v>
      </c>
      <c r="I103" s="4">
        <f t="shared" si="13"/>
        <v>1437</v>
      </c>
      <c r="J103" s="4"/>
      <c r="K103" s="4">
        <f t="shared" si="9"/>
        <v>269003.5</v>
      </c>
      <c r="L103" s="4"/>
      <c r="M103" s="4"/>
      <c r="N103" s="4">
        <f t="shared" si="10"/>
        <v>28466.5</v>
      </c>
      <c r="O103" s="4"/>
      <c r="P103" s="4"/>
      <c r="Q103" s="4">
        <f t="shared" si="11"/>
        <v>297470</v>
      </c>
    </row>
    <row r="104" spans="1:17">
      <c r="A104" s="10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 t="shared" si="12"/>
        <v>717</v>
      </c>
      <c r="I104" s="4">
        <f t="shared" si="13"/>
        <v>787</v>
      </c>
      <c r="J104" s="4"/>
      <c r="K104" s="4">
        <f t="shared" si="9"/>
        <v>130146</v>
      </c>
      <c r="L104" s="4"/>
      <c r="M104" s="4"/>
      <c r="N104" s="4">
        <f t="shared" si="10"/>
        <v>19502</v>
      </c>
      <c r="O104" s="4"/>
      <c r="P104" s="4"/>
      <c r="Q104" s="4">
        <f t="shared" si="11"/>
        <v>149648</v>
      </c>
    </row>
    <row r="105" spans="1:17">
      <c r="A105" s="10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 t="shared" si="12"/>
        <v>2400</v>
      </c>
      <c r="I105" s="4">
        <f t="shared" si="13"/>
        <v>3635</v>
      </c>
      <c r="J105" s="4"/>
      <c r="K105" s="4">
        <f t="shared" si="9"/>
        <v>531142.5</v>
      </c>
      <c r="L105" s="4"/>
      <c r="M105" s="4"/>
      <c r="N105" s="4">
        <f t="shared" si="10"/>
        <v>75375</v>
      </c>
      <c r="O105" s="4"/>
      <c r="P105" s="4"/>
      <c r="Q105" s="4">
        <f t="shared" si="11"/>
        <v>606517.5</v>
      </c>
    </row>
    <row r="106" spans="1:17">
      <c r="A106" s="10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 t="shared" si="12"/>
        <v>271</v>
      </c>
      <c r="I106" s="4">
        <f t="shared" si="13"/>
        <v>294</v>
      </c>
      <c r="J106" s="4"/>
      <c r="K106" s="4">
        <f t="shared" si="9"/>
        <v>49532</v>
      </c>
      <c r="L106" s="4"/>
      <c r="M106" s="4"/>
      <c r="N106" s="4">
        <f t="shared" si="10"/>
        <v>7815.5</v>
      </c>
      <c r="O106" s="4"/>
      <c r="P106" s="4"/>
      <c r="Q106" s="4">
        <f t="shared" si="11"/>
        <v>57347.5</v>
      </c>
    </row>
    <row r="107" spans="1:17">
      <c r="A107" s="10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 t="shared" si="12"/>
        <v>352</v>
      </c>
      <c r="I107" s="4">
        <f t="shared" si="13"/>
        <v>410</v>
      </c>
      <c r="J107" s="4"/>
      <c r="K107" s="4">
        <f t="shared" si="9"/>
        <v>65190</v>
      </c>
      <c r="L107" s="4"/>
      <c r="M107" s="4"/>
      <c r="N107" s="4">
        <f t="shared" si="10"/>
        <v>12915</v>
      </c>
      <c r="O107" s="4"/>
      <c r="P107" s="4"/>
      <c r="Q107" s="4">
        <f t="shared" si="11"/>
        <v>78105</v>
      </c>
    </row>
    <row r="108" spans="1:17">
      <c r="A108" s="10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 t="shared" si="12"/>
        <v>255</v>
      </c>
      <c r="I108" s="4">
        <f t="shared" si="13"/>
        <v>252</v>
      </c>
      <c r="J108" s="4"/>
      <c r="K108" s="4">
        <f t="shared" si="9"/>
        <v>44298</v>
      </c>
      <c r="L108" s="4"/>
      <c r="M108" s="4"/>
      <c r="N108" s="4">
        <f t="shared" si="10"/>
        <v>8176.5</v>
      </c>
      <c r="O108" s="4"/>
      <c r="P108" s="4"/>
      <c r="Q108" s="4">
        <f t="shared" si="11"/>
        <v>52474.5</v>
      </c>
    </row>
    <row r="109" spans="1:17">
      <c r="A109" s="10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 t="shared" si="12"/>
        <v>149</v>
      </c>
      <c r="I109" s="4">
        <f t="shared" si="13"/>
        <v>165</v>
      </c>
      <c r="J109" s="4"/>
      <c r="K109" s="4">
        <f t="shared" si="9"/>
        <v>28006</v>
      </c>
      <c r="L109" s="4"/>
      <c r="M109" s="4"/>
      <c r="N109" s="4">
        <f t="shared" si="10"/>
        <v>4807</v>
      </c>
      <c r="O109" s="4"/>
      <c r="P109" s="4"/>
      <c r="Q109" s="4">
        <f t="shared" si="11"/>
        <v>32813</v>
      </c>
    </row>
    <row r="110" spans="1:17">
      <c r="A110" s="10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 t="shared" si="12"/>
        <v>318</v>
      </c>
      <c r="I110" s="4">
        <f t="shared" si="13"/>
        <v>385</v>
      </c>
      <c r="J110" s="4"/>
      <c r="K110" s="4">
        <f t="shared" si="9"/>
        <v>63194.5</v>
      </c>
      <c r="L110" s="4"/>
      <c r="M110" s="4"/>
      <c r="N110" s="4">
        <f t="shared" si="10"/>
        <v>10972</v>
      </c>
      <c r="O110" s="4"/>
      <c r="P110" s="4"/>
      <c r="Q110" s="4">
        <f t="shared" si="11"/>
        <v>74166.5</v>
      </c>
    </row>
    <row r="111" spans="1:17">
      <c r="A111" s="10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 t="shared" si="12"/>
        <v>115</v>
      </c>
      <c r="I111" s="4">
        <f t="shared" si="13"/>
        <v>110</v>
      </c>
      <c r="J111" s="4"/>
      <c r="K111" s="4">
        <f t="shared" si="9"/>
        <v>18531</v>
      </c>
      <c r="L111" s="4"/>
      <c r="M111" s="4"/>
      <c r="N111" s="4">
        <f t="shared" si="10"/>
        <v>5431.5</v>
      </c>
      <c r="O111" s="4"/>
      <c r="P111" s="4"/>
      <c r="Q111" s="4">
        <f t="shared" si="11"/>
        <v>23962.5</v>
      </c>
    </row>
    <row r="112" spans="1:17">
      <c r="A112" s="10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 t="shared" si="12"/>
        <v>91</v>
      </c>
      <c r="I112" s="4">
        <f t="shared" si="13"/>
        <v>81</v>
      </c>
      <c r="J112" s="4"/>
      <c r="K112" s="4">
        <f t="shared" si="9"/>
        <v>14942.5</v>
      </c>
      <c r="L112" s="4"/>
      <c r="M112" s="4"/>
      <c r="N112" s="4">
        <f t="shared" si="10"/>
        <v>3547.5</v>
      </c>
      <c r="O112" s="4"/>
      <c r="P112" s="4"/>
      <c r="Q112" s="4">
        <f t="shared" si="11"/>
        <v>18490</v>
      </c>
    </row>
    <row r="113" spans="1:17">
      <c r="A113" s="10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 t="shared" si="12"/>
        <v>61</v>
      </c>
      <c r="I113" s="4">
        <f t="shared" si="13"/>
        <v>57</v>
      </c>
      <c r="J113" s="4"/>
      <c r="K113" s="4">
        <f t="shared" si="9"/>
        <v>10307.5</v>
      </c>
      <c r="L113" s="4"/>
      <c r="M113" s="4"/>
      <c r="N113" s="4">
        <f t="shared" si="10"/>
        <v>2495.5</v>
      </c>
      <c r="O113" s="4"/>
      <c r="P113" s="4"/>
      <c r="Q113" s="4">
        <f t="shared" si="11"/>
        <v>12803</v>
      </c>
    </row>
    <row r="114" spans="1:17">
      <c r="A114" s="10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 t="shared" si="12"/>
        <v>77</v>
      </c>
      <c r="I114" s="4">
        <f t="shared" si="13"/>
        <v>60</v>
      </c>
      <c r="J114" s="4"/>
      <c r="K114" s="4">
        <f t="shared" si="9"/>
        <v>13249.5</v>
      </c>
      <c r="L114" s="4"/>
      <c r="M114" s="4"/>
      <c r="N114" s="4">
        <f t="shared" si="10"/>
        <v>1752</v>
      </c>
      <c r="O114" s="4"/>
      <c r="P114" s="4"/>
      <c r="Q114" s="4">
        <f t="shared" si="11"/>
        <v>15001.5</v>
      </c>
    </row>
    <row r="116" spans="1:17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16">
        <f>SUM(K5:K114) / (B116 + C116)</f>
        <v>25.150917132905484</v>
      </c>
      <c r="L116" s="17"/>
      <c r="M116" s="17"/>
      <c r="N116" s="16">
        <f>SUM(N5:N114) / (E116 + F116)</f>
        <v>26.350505363564867</v>
      </c>
      <c r="O116" s="17"/>
      <c r="P116" s="17"/>
      <c r="Q116" s="16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dimension ref="A1:T119"/>
  <sheetViews>
    <sheetView workbookViewId="0">
      <selection activeCell="V11" sqref="V11"/>
    </sheetView>
  </sheetViews>
  <sheetFormatPr defaultRowHeight="14.4"/>
  <cols>
    <col min="3" max="3" width="11.83984375" customWidth="1"/>
    <col min="4" max="4" width="13.15625" customWidth="1"/>
    <col min="13" max="14" width="9.578125" bestFit="1" customWidth="1"/>
    <col min="16" max="16" width="10.83984375" customWidth="1"/>
    <col min="17" max="17" width="10.41796875" customWidth="1"/>
    <col min="19" max="19" width="10.83984375" customWidth="1"/>
    <col min="20" max="20" width="10.41796875" customWidth="1"/>
  </cols>
  <sheetData>
    <row r="1" spans="1:20">
      <c r="B1" s="6"/>
      <c r="C1" s="25" t="s">
        <v>134</v>
      </c>
      <c r="D1" s="25"/>
      <c r="E1" s="25"/>
      <c r="F1" s="25"/>
      <c r="G1" s="25"/>
      <c r="H1" s="25"/>
      <c r="I1" s="25"/>
      <c r="J1" s="25"/>
      <c r="M1" s="25" t="s">
        <v>135</v>
      </c>
      <c r="N1" s="25"/>
      <c r="O1" s="25"/>
      <c r="P1" s="25"/>
      <c r="Q1" s="25"/>
      <c r="R1" s="25"/>
      <c r="S1" s="25"/>
      <c r="T1" s="25"/>
    </row>
    <row r="2" spans="1:20">
      <c r="C2" s="25" t="s">
        <v>129</v>
      </c>
      <c r="D2" s="25"/>
      <c r="F2" s="25" t="s">
        <v>132</v>
      </c>
      <c r="G2" s="25"/>
      <c r="I2" s="25" t="s">
        <v>133</v>
      </c>
      <c r="J2" s="25"/>
      <c r="M2" s="25" t="s">
        <v>129</v>
      </c>
      <c r="N2" s="25"/>
      <c r="P2" s="25" t="s">
        <v>132</v>
      </c>
      <c r="Q2" s="25"/>
      <c r="S2" s="25" t="s">
        <v>133</v>
      </c>
      <c r="T2" s="25"/>
    </row>
    <row r="4" spans="1:20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19" t="s">
        <v>130</v>
      </c>
      <c r="N4" s="19" t="s">
        <v>131</v>
      </c>
      <c r="O4" s="20"/>
      <c r="P4" s="19" t="s">
        <v>136</v>
      </c>
      <c r="Q4" s="19" t="s">
        <v>137</v>
      </c>
      <c r="R4" s="20"/>
      <c r="S4" s="19" t="s">
        <v>138</v>
      </c>
      <c r="T4" s="19" t="s">
        <v>139</v>
      </c>
    </row>
    <row r="5" spans="1:20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 s="21">
        <f>C5/C$116</f>
        <v>3.6955406839172943E-2</v>
      </c>
      <c r="N5" s="21">
        <f t="shared" ref="N5:N68" si="0">D5/D$116</f>
        <v>3.5524320298680655E-2</v>
      </c>
      <c r="O5" s="21"/>
      <c r="P5" s="21">
        <f>F5/F$116</f>
        <v>3.705334233627694E-2</v>
      </c>
      <c r="Q5" s="21">
        <f t="shared" ref="Q5" si="1">G5/G$116</f>
        <v>3.4352045278165114E-2</v>
      </c>
      <c r="R5" s="21"/>
      <c r="S5" s="21">
        <f>I5/I$116</f>
        <v>5.3776530046132739E-2</v>
      </c>
      <c r="T5" s="21">
        <f t="shared" ref="T5" si="2">J5/J$116</f>
        <v>5.1110850260177129E-2</v>
      </c>
    </row>
    <row r="6" spans="1:20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 s="21">
        <f t="shared" ref="M6:M69" si="3">C6/C$116</f>
        <v>2.9377780842589477E-2</v>
      </c>
      <c r="N6" s="21">
        <f t="shared" si="0"/>
        <v>2.8730303873931318E-2</v>
      </c>
      <c r="O6" s="21"/>
      <c r="P6" s="21">
        <f t="shared" ref="P6:P69" si="4">F6/F$116</f>
        <v>3.1999841124851408E-2</v>
      </c>
      <c r="Q6" s="21">
        <f t="shared" ref="Q6:Q69" si="5">G6/G$116</f>
        <v>3.0258128399120898E-2</v>
      </c>
      <c r="R6" s="21"/>
      <c r="S6" s="21">
        <f t="shared" ref="S6:S69" si="6">I6/I$116</f>
        <v>4.3523217954892494E-2</v>
      </c>
      <c r="T6" s="21">
        <f t="shared" ref="T6:T69" si="7">J6/J$116</f>
        <v>4.0987650532652346E-2</v>
      </c>
    </row>
    <row r="7" spans="1:20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 s="21">
        <f t="shared" si="3"/>
        <v>2.9785328696194741E-2</v>
      </c>
      <c r="N7" s="21">
        <f t="shared" si="0"/>
        <v>2.894446633929338E-2</v>
      </c>
      <c r="O7" s="21"/>
      <c r="P7" s="21">
        <f t="shared" si="4"/>
        <v>3.0175795368803351E-2</v>
      </c>
      <c r="Q7" s="21">
        <f t="shared" si="5"/>
        <v>2.8981592848145252E-2</v>
      </c>
      <c r="R7" s="21"/>
      <c r="S7" s="21">
        <f t="shared" si="6"/>
        <v>3.8077408855917635E-2</v>
      </c>
      <c r="T7" s="21">
        <f t="shared" si="7"/>
        <v>3.5682284259057936E-2</v>
      </c>
    </row>
    <row r="8" spans="1:20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 s="21">
        <f t="shared" si="3"/>
        <v>2.9327468828010576E-2</v>
      </c>
      <c r="N8" s="21">
        <f t="shared" si="0"/>
        <v>2.8692044301296096E-2</v>
      </c>
      <c r="O8" s="21"/>
      <c r="P8" s="21">
        <f t="shared" si="4"/>
        <v>3.0182627000848474E-2</v>
      </c>
      <c r="Q8" s="21">
        <f t="shared" si="5"/>
        <v>2.9266378910821587E-2</v>
      </c>
      <c r="R8" s="21"/>
      <c r="S8" s="21">
        <f t="shared" si="6"/>
        <v>3.3356563738708454E-2</v>
      </c>
      <c r="T8" s="21">
        <f t="shared" si="7"/>
        <v>3.1138973924037774E-2</v>
      </c>
    </row>
    <row r="9" spans="1:20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 s="21">
        <f t="shared" si="3"/>
        <v>2.7338809443593886E-2</v>
      </c>
      <c r="N9" s="21">
        <f t="shared" si="0"/>
        <v>2.7022948155069317E-2</v>
      </c>
      <c r="O9" s="21"/>
      <c r="P9" s="21">
        <f t="shared" si="4"/>
        <v>3.0421575247263969E-2</v>
      </c>
      <c r="Q9" s="21">
        <f t="shared" si="5"/>
        <v>2.9759830941485248E-2</v>
      </c>
      <c r="R9" s="21"/>
      <c r="S9" s="21">
        <f t="shared" si="6"/>
        <v>2.9542597585665777E-2</v>
      </c>
      <c r="T9" s="21">
        <f t="shared" si="7"/>
        <v>2.7529850455433706E-2</v>
      </c>
    </row>
    <row r="10" spans="1:20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 s="21">
        <f t="shared" si="3"/>
        <v>2.5741885565343375E-2</v>
      </c>
      <c r="N10" s="21">
        <f t="shared" si="0"/>
        <v>2.5150745390984598E-2</v>
      </c>
      <c r="O10" s="21"/>
      <c r="P10" s="21">
        <f t="shared" si="4"/>
        <v>3.053437661359043E-2</v>
      </c>
      <c r="Q10" s="21">
        <f t="shared" si="5"/>
        <v>2.8566605473608665E-2</v>
      </c>
      <c r="R10" s="21"/>
      <c r="S10" s="21">
        <f t="shared" si="6"/>
        <v>2.6527632247023092E-2</v>
      </c>
      <c r="T10" s="21">
        <f t="shared" si="7"/>
        <v>2.4742324942856268E-2</v>
      </c>
    </row>
    <row r="11" spans="1:20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 s="21">
        <f t="shared" si="3"/>
        <v>2.5303760328183832E-2</v>
      </c>
      <c r="N11" s="21">
        <f t="shared" si="0"/>
        <v>2.4724698995140362E-2</v>
      </c>
      <c r="O11" s="21"/>
      <c r="P11" s="21">
        <f t="shared" si="4"/>
        <v>3.0162961703156126E-2</v>
      </c>
      <c r="Q11" s="21">
        <f t="shared" si="5"/>
        <v>2.8240037011555051E-2</v>
      </c>
      <c r="R11" s="21"/>
      <c r="S11" s="21">
        <f t="shared" si="6"/>
        <v>2.4227374715742333E-2</v>
      </c>
      <c r="T11" s="21">
        <f t="shared" si="7"/>
        <v>2.2690498933881465E-2</v>
      </c>
    </row>
    <row r="12" spans="1:20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 s="21">
        <f t="shared" si="3"/>
        <v>2.4215316365438711E-2</v>
      </c>
      <c r="N12" s="21">
        <f t="shared" si="0"/>
        <v>2.4231881620642211E-2</v>
      </c>
      <c r="O12" s="21"/>
      <c r="P12" s="21">
        <f t="shared" si="4"/>
        <v>2.951955231887652E-2</v>
      </c>
      <c r="Q12" s="21">
        <f t="shared" si="5"/>
        <v>2.7437180487148681E-2</v>
      </c>
      <c r="R12" s="21"/>
      <c r="S12" s="21">
        <f t="shared" si="6"/>
        <v>2.258043914233366E-2</v>
      </c>
      <c r="T12" s="21">
        <f t="shared" si="7"/>
        <v>2.1313950397699219E-2</v>
      </c>
    </row>
    <row r="13" spans="1:20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 s="21">
        <f t="shared" si="3"/>
        <v>2.4962521656241948E-2</v>
      </c>
      <c r="N13" s="21">
        <f t="shared" si="0"/>
        <v>2.4470018235609979E-2</v>
      </c>
      <c r="O13" s="21"/>
      <c r="P13" s="21">
        <f t="shared" si="4"/>
        <v>2.857824364715188E-2</v>
      </c>
      <c r="Q13" s="21">
        <f t="shared" si="5"/>
        <v>2.6371716838870577E-2</v>
      </c>
      <c r="R13" s="21"/>
      <c r="S13" s="21">
        <f t="shared" si="6"/>
        <v>2.1543251997386673E-2</v>
      </c>
      <c r="T13" s="21">
        <f t="shared" si="7"/>
        <v>2.0572651436222503E-2</v>
      </c>
    </row>
    <row r="14" spans="1:20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 s="21">
        <f t="shared" si="3"/>
        <v>2.2499409706588133E-2</v>
      </c>
      <c r="N14" s="21">
        <f t="shared" si="0"/>
        <v>2.1675741939004255E-2</v>
      </c>
      <c r="O14" s="21"/>
      <c r="P14" s="21">
        <f t="shared" si="4"/>
        <v>2.7350659619665891E-2</v>
      </c>
      <c r="Q14" s="21">
        <f t="shared" si="5"/>
        <v>2.5033913190733188E-2</v>
      </c>
      <c r="R14" s="21"/>
      <c r="S14" s="21">
        <f t="shared" si="6"/>
        <v>2.1071426677976644E-2</v>
      </c>
      <c r="T14" s="21">
        <f t="shared" si="7"/>
        <v>2.0426296035856578E-2</v>
      </c>
    </row>
    <row r="15" spans="1:20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 s="21">
        <f t="shared" si="3"/>
        <v>2.472636322046343E-2</v>
      </c>
      <c r="N15" s="21">
        <f t="shared" si="0"/>
        <v>2.4080250077722805E-2</v>
      </c>
      <c r="O15" s="21"/>
      <c r="P15" s="21">
        <f t="shared" si="4"/>
        <v>2.5864374108126875E-2</v>
      </c>
      <c r="Q15" s="21">
        <f t="shared" si="5"/>
        <v>2.3462802254995519E-2</v>
      </c>
      <c r="R15" s="21"/>
      <c r="S15" s="21">
        <f t="shared" si="6"/>
        <v>2.1311015740892419E-2</v>
      </c>
      <c r="T15" s="21">
        <f t="shared" si="7"/>
        <v>2.1046919852826564E-2</v>
      </c>
    </row>
    <row r="16" spans="1:20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 s="21">
        <f t="shared" si="3"/>
        <v>2.0164500984287823E-2</v>
      </c>
      <c r="N16" s="21">
        <f t="shared" si="0"/>
        <v>1.920357122102662E-2</v>
      </c>
      <c r="O16" s="21"/>
      <c r="P16" s="21">
        <f t="shared" si="4"/>
        <v>2.3985513934475424E-2</v>
      </c>
      <c r="Q16" s="21">
        <f t="shared" si="5"/>
        <v>2.1438504103057313E-2</v>
      </c>
      <c r="R16" s="21"/>
      <c r="S16" s="21">
        <f t="shared" si="6"/>
        <v>2.1353063017859265E-2</v>
      </c>
      <c r="T16" s="21">
        <f t="shared" si="7"/>
        <v>2.1436640421102608E-2</v>
      </c>
    </row>
    <row r="17" spans="1:20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M17" s="21">
        <f t="shared" si="3"/>
        <v>2.6209623016797929E-2</v>
      </c>
      <c r="N17" s="21">
        <f t="shared" si="0"/>
        <v>2.5382224721433755E-2</v>
      </c>
      <c r="O17" s="21"/>
      <c r="P17" s="21">
        <f t="shared" si="4"/>
        <v>2.2589271257745999E-2</v>
      </c>
      <c r="Q17" s="21">
        <f t="shared" si="5"/>
        <v>2.0340869908723039E-2</v>
      </c>
      <c r="R17" s="21"/>
      <c r="S17" s="21">
        <f t="shared" si="6"/>
        <v>2.1355758143376959E-2</v>
      </c>
      <c r="T17" s="21">
        <f t="shared" si="7"/>
        <v>2.1767458780268638E-2</v>
      </c>
    </row>
    <row r="18" spans="1:20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M18" s="21">
        <f t="shared" si="3"/>
        <v>2.1617881604617303E-2</v>
      </c>
      <c r="N18" s="21">
        <f t="shared" si="0"/>
        <v>2.0980333093664486E-2</v>
      </c>
      <c r="O18" s="21"/>
      <c r="P18" s="21">
        <f t="shared" si="4"/>
        <v>2.149862455305469E-2</v>
      </c>
      <c r="Q18" s="21">
        <f t="shared" si="5"/>
        <v>1.988258741282805E-2</v>
      </c>
      <c r="R18" s="21"/>
      <c r="S18" s="21">
        <f t="shared" si="6"/>
        <v>2.1302623928155236E-2</v>
      </c>
      <c r="T18" s="21">
        <f t="shared" si="7"/>
        <v>2.2020172487444766E-2</v>
      </c>
    </row>
    <row r="19" spans="1:20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M19" s="21">
        <f t="shared" si="3"/>
        <v>2.10272596244933E-2</v>
      </c>
      <c r="N19" s="21">
        <f t="shared" si="0"/>
        <v>2.0785151814519176E-2</v>
      </c>
      <c r="O19" s="21"/>
      <c r="P19" s="21">
        <f t="shared" si="4"/>
        <v>2.071512322469907E-2</v>
      </c>
      <c r="Q19" s="21">
        <f t="shared" si="5"/>
        <v>2.0076917603823807E-2</v>
      </c>
      <c r="R19" s="21"/>
      <c r="S19" s="21">
        <f t="shared" si="6"/>
        <v>2.1194707654077341E-2</v>
      </c>
      <c r="T19" s="21">
        <f t="shared" si="7"/>
        <v>2.2194882654815742E-2</v>
      </c>
    </row>
    <row r="20" spans="1:20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M20" s="21">
        <f t="shared" si="3"/>
        <v>2.0388420252438172E-2</v>
      </c>
      <c r="N20" s="21">
        <f t="shared" si="0"/>
        <v>2.0250072571335924E-2</v>
      </c>
      <c r="O20" s="21"/>
      <c r="P20" s="21">
        <f t="shared" si="4"/>
        <v>2.0213810438584518E-2</v>
      </c>
      <c r="Q20" s="21">
        <f t="shared" si="5"/>
        <v>2.0889608799761022E-2</v>
      </c>
      <c r="R20" s="21"/>
      <c r="S20" s="21">
        <f t="shared" si="6"/>
        <v>2.1032333254360405E-2</v>
      </c>
      <c r="T20" s="21">
        <f t="shared" si="7"/>
        <v>2.2291021997226653E-2</v>
      </c>
    </row>
    <row r="21" spans="1:20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M21" s="21">
        <f t="shared" si="3"/>
        <v>2.0219515632066143E-2</v>
      </c>
      <c r="N21" s="21">
        <f t="shared" si="0"/>
        <v>2.1693058804091354E-2</v>
      </c>
      <c r="O21" s="21"/>
      <c r="P21" s="21">
        <f t="shared" si="4"/>
        <v>2.0112263899759352E-2</v>
      </c>
      <c r="Q21" s="21">
        <f t="shared" si="5"/>
        <v>2.2725479706019697E-2</v>
      </c>
      <c r="R21" s="21"/>
      <c r="S21" s="21">
        <f t="shared" si="6"/>
        <v>2.0815899909759204E-2</v>
      </c>
      <c r="T21" s="21">
        <f t="shared" si="7"/>
        <v>2.2308229131687313E-2</v>
      </c>
    </row>
    <row r="22" spans="1:20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M22" s="21">
        <f t="shared" si="3"/>
        <v>2.009665163891285E-2</v>
      </c>
      <c r="N22" s="21">
        <f t="shared" si="0"/>
        <v>2.1764168905690429E-2</v>
      </c>
      <c r="O22" s="21"/>
      <c r="P22" s="21">
        <f t="shared" si="4"/>
        <v>1.9690102572674908E-2</v>
      </c>
      <c r="Q22" s="21">
        <f t="shared" si="5"/>
        <v>2.3466023173641583E-2</v>
      </c>
      <c r="R22" s="21"/>
      <c r="S22" s="21">
        <f t="shared" si="6"/>
        <v>2.0545963059760794E-2</v>
      </c>
      <c r="T22" s="21">
        <f t="shared" si="7"/>
        <v>2.2246444754699411E-2</v>
      </c>
    </row>
    <row r="23" spans="1:20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M23" s="21">
        <f t="shared" si="3"/>
        <v>2.0509292300524465E-2</v>
      </c>
      <c r="N23" s="21">
        <f t="shared" si="0"/>
        <v>2.1583669316510269E-2</v>
      </c>
      <c r="O23" s="21"/>
      <c r="P23" s="21">
        <f t="shared" si="4"/>
        <v>1.9077504625818361E-2</v>
      </c>
      <c r="Q23" s="21">
        <f t="shared" si="5"/>
        <v>2.3444448913487487E-2</v>
      </c>
      <c r="R23" s="21"/>
      <c r="S23" s="21">
        <f t="shared" si="6"/>
        <v>2.0223144837067261E-2</v>
      </c>
      <c r="T23" s="21">
        <f t="shared" si="7"/>
        <v>2.2105857805174413E-2</v>
      </c>
    </row>
    <row r="24" spans="1:20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M24" s="21">
        <f t="shared" si="3"/>
        <v>1.7418245337893642E-2</v>
      </c>
      <c r="N24" s="21">
        <f t="shared" si="0"/>
        <v>1.7782240976303456E-2</v>
      </c>
      <c r="O24" s="21"/>
      <c r="P24" s="21">
        <f t="shared" si="4"/>
        <v>1.8266539594559286E-2</v>
      </c>
      <c r="Q24" s="21">
        <f t="shared" si="5"/>
        <v>2.2621677238915869E-2</v>
      </c>
      <c r="R24" s="21"/>
      <c r="S24" s="21">
        <f t="shared" si="6"/>
        <v>1.9849570939963142E-2</v>
      </c>
      <c r="T24" s="21">
        <f t="shared" si="7"/>
        <v>2.1887501900251911E-2</v>
      </c>
    </row>
    <row r="25" spans="1:20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M25" s="21">
        <f t="shared" si="3"/>
        <v>1.8054086524590191E-2</v>
      </c>
      <c r="N25" s="21">
        <f t="shared" si="0"/>
        <v>2.3618341524203914E-2</v>
      </c>
      <c r="O25" s="21"/>
      <c r="P25" s="21">
        <f t="shared" si="4"/>
        <v>1.7286603566279039E-2</v>
      </c>
      <c r="Q25" s="21">
        <f t="shared" si="5"/>
        <v>2.1071124591241951E-2</v>
      </c>
      <c r="R25" s="21"/>
      <c r="S25" s="21">
        <f t="shared" si="6"/>
        <v>1.9413725420277562E-2</v>
      </c>
      <c r="T25" s="21">
        <f t="shared" si="7"/>
        <v>2.1586994253548795E-2</v>
      </c>
    </row>
    <row r="26" spans="1:20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M26" s="21">
        <f t="shared" si="3"/>
        <v>1.6432088781114851E-2</v>
      </c>
      <c r="N26" s="21">
        <f t="shared" si="0"/>
        <v>1.2617317550628896E-2</v>
      </c>
      <c r="O26" s="21"/>
      <c r="P26" s="21">
        <f t="shared" si="4"/>
        <v>1.5952346240147412E-2</v>
      </c>
      <c r="Q26" s="21">
        <f t="shared" si="5"/>
        <v>1.8429291927437631E-2</v>
      </c>
      <c r="R26" s="21"/>
      <c r="S26" s="21">
        <f t="shared" si="6"/>
        <v>1.8988486708908962E-2</v>
      </c>
      <c r="T26" s="21">
        <f t="shared" si="7"/>
        <v>2.1235039978537339E-2</v>
      </c>
    </row>
    <row r="27" spans="1:20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M27" s="21">
        <f t="shared" si="3"/>
        <v>1.7736258341064612E-2</v>
      </c>
      <c r="N27" s="21">
        <f t="shared" si="0"/>
        <v>1.7545273348795801E-2</v>
      </c>
      <c r="O27" s="21"/>
      <c r="P27" s="21">
        <f t="shared" si="4"/>
        <v>1.5401897590824354E-2</v>
      </c>
      <c r="Q27" s="21">
        <f t="shared" si="5"/>
        <v>1.7177994777564862E-2</v>
      </c>
      <c r="R27" s="21"/>
      <c r="S27" s="21">
        <f t="shared" si="6"/>
        <v>1.8561179074637123E-2</v>
      </c>
      <c r="T27" s="21">
        <f t="shared" si="7"/>
        <v>2.0827341939488465E-2</v>
      </c>
    </row>
    <row r="28" spans="1:20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M28" s="21">
        <f t="shared" si="3"/>
        <v>1.6260309188481169E-2</v>
      </c>
      <c r="N28" s="21">
        <f t="shared" si="0"/>
        <v>1.6362456172629252E-2</v>
      </c>
      <c r="O28" s="21"/>
      <c r="P28" s="21">
        <f t="shared" si="4"/>
        <v>1.5408285513928777E-2</v>
      </c>
      <c r="Q28" s="21">
        <f t="shared" si="5"/>
        <v>1.6795540802165623E-2</v>
      </c>
      <c r="R28" s="21"/>
      <c r="S28" s="21">
        <f t="shared" si="6"/>
        <v>1.8133141341050613E-2</v>
      </c>
      <c r="T28" s="21">
        <f t="shared" si="7"/>
        <v>2.0365502748687314E-2</v>
      </c>
    </row>
    <row r="29" spans="1:20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M29" s="21">
        <f t="shared" si="3"/>
        <v>1.4184538144536438E-2</v>
      </c>
      <c r="N29" s="21">
        <f t="shared" si="0"/>
        <v>1.426988936563984E-2</v>
      </c>
      <c r="O29" s="21"/>
      <c r="P29" s="21">
        <f t="shared" si="4"/>
        <v>1.599561928840576E-2</v>
      </c>
      <c r="Q29" s="21">
        <f t="shared" si="5"/>
        <v>1.7312222979512858E-2</v>
      </c>
      <c r="R29" s="21"/>
      <c r="S29" s="21">
        <f t="shared" si="6"/>
        <v>1.7704319130743773E-2</v>
      </c>
      <c r="T29" s="21">
        <f t="shared" si="7"/>
        <v>1.9850693729111656E-2</v>
      </c>
    </row>
    <row r="30" spans="1:20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M30" s="21">
        <f t="shared" si="3"/>
        <v>1.6328076391791527E-2</v>
      </c>
      <c r="N30" s="21">
        <f t="shared" si="0"/>
        <v>2.125712554820311E-2</v>
      </c>
      <c r="O30" s="21"/>
      <c r="P30" s="21">
        <f t="shared" si="4"/>
        <v>1.7139059135568398E-2</v>
      </c>
      <c r="Q30" s="21">
        <f t="shared" si="5"/>
        <v>1.8687263751904964E-2</v>
      </c>
      <c r="R30" s="21"/>
      <c r="S30" s="21">
        <f t="shared" si="6"/>
        <v>1.7274727340272335E-2</v>
      </c>
      <c r="T30" s="21">
        <f t="shared" si="7"/>
        <v>1.9284251969646865E-2</v>
      </c>
    </row>
    <row r="31" spans="1:20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M31" s="21">
        <f t="shared" si="3"/>
        <v>1.5370053492144611E-2</v>
      </c>
      <c r="N31" s="21">
        <f t="shared" si="0"/>
        <v>1.4413674823233741E-2</v>
      </c>
      <c r="O31" s="21"/>
      <c r="P31" s="21">
        <f t="shared" si="4"/>
        <v>1.9322779787593111E-2</v>
      </c>
      <c r="Q31" s="21">
        <f t="shared" si="5"/>
        <v>2.1629873840552372E-2</v>
      </c>
      <c r="R31" s="21"/>
      <c r="S31" s="21">
        <f t="shared" si="6"/>
        <v>1.68443858858594E-2</v>
      </c>
      <c r="T31" s="21">
        <f t="shared" si="7"/>
        <v>1.8667654110929473E-2</v>
      </c>
    </row>
    <row r="32" spans="1:20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M32" s="21">
        <f t="shared" si="3"/>
        <v>1.6139560353491803E-2</v>
      </c>
      <c r="N32" s="21">
        <f t="shared" si="0"/>
        <v>1.5074073484810465E-2</v>
      </c>
      <c r="O32" s="21"/>
      <c r="P32" s="21">
        <f t="shared" si="4"/>
        <v>2.0087212809955155E-2</v>
      </c>
      <c r="Q32" s="21">
        <f t="shared" si="5"/>
        <v>2.26276976869303E-2</v>
      </c>
      <c r="R32" s="21"/>
      <c r="S32" s="21">
        <f t="shared" si="6"/>
        <v>1.641331394433742E-2</v>
      </c>
      <c r="T32" s="21">
        <f t="shared" si="7"/>
        <v>1.8002497397043241E-2</v>
      </c>
    </row>
    <row r="33" spans="1:20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M33" s="21">
        <f t="shared" si="3"/>
        <v>1.6120667678629522E-2</v>
      </c>
      <c r="N33" s="21">
        <f t="shared" si="0"/>
        <v>1.6003993102656971E-2</v>
      </c>
      <c r="O33" s="21"/>
      <c r="P33" s="21">
        <f t="shared" si="4"/>
        <v>1.9799158132590759E-2</v>
      </c>
      <c r="Q33" s="21">
        <f t="shared" si="5"/>
        <v>2.2194706030286695E-2</v>
      </c>
      <c r="R33" s="21"/>
      <c r="S33" s="21">
        <f t="shared" si="6"/>
        <v>1.5981544218907563E-2</v>
      </c>
      <c r="T33" s="21">
        <f t="shared" si="7"/>
        <v>1.7290389857289794E-2</v>
      </c>
    </row>
    <row r="34" spans="1:20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M34" s="21">
        <f t="shared" si="3"/>
        <v>1.0370456193616403E-2</v>
      </c>
      <c r="N34" s="21">
        <f t="shared" si="0"/>
        <v>8.703785294331922E-3</v>
      </c>
      <c r="O34" s="21"/>
      <c r="P34" s="21">
        <f t="shared" si="4"/>
        <v>1.842854563340434E-2</v>
      </c>
      <c r="Q34" s="21">
        <f t="shared" si="5"/>
        <v>2.0294670747450828E-2</v>
      </c>
      <c r="R34" s="21"/>
      <c r="S34" s="21">
        <f t="shared" si="6"/>
        <v>1.5548841382323634E-2</v>
      </c>
      <c r="T34" s="21">
        <f t="shared" si="7"/>
        <v>1.6535404320180434E-2</v>
      </c>
    </row>
    <row r="35" spans="1:20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M35" s="21">
        <f t="shared" si="3"/>
        <v>2.1679221191371254E-2</v>
      </c>
      <c r="N35" s="21">
        <f t="shared" si="0"/>
        <v>2.7278996035527629E-2</v>
      </c>
      <c r="O35" s="21"/>
      <c r="P35" s="21">
        <f t="shared" si="4"/>
        <v>1.6106594060459674E-2</v>
      </c>
      <c r="Q35" s="21">
        <f t="shared" si="5"/>
        <v>1.7127439471158041E-2</v>
      </c>
      <c r="R35" s="21"/>
      <c r="S35" s="21">
        <f t="shared" si="6"/>
        <v>1.5117671822097768E-2</v>
      </c>
      <c r="T35" s="21">
        <f t="shared" si="7"/>
        <v>1.5718103894642264E-2</v>
      </c>
    </row>
    <row r="36" spans="1:20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M36" s="21">
        <f t="shared" si="3"/>
        <v>8.2494659430991241E-3</v>
      </c>
      <c r="N36" s="21">
        <f t="shared" si="0"/>
        <v>6.7330903833959874E-3</v>
      </c>
      <c r="O36" s="21"/>
      <c r="P36" s="21">
        <f t="shared" si="4"/>
        <v>1.2438959553884467E-2</v>
      </c>
      <c r="Q36" s="21">
        <f t="shared" si="5"/>
        <v>1.2215279146921594E-2</v>
      </c>
      <c r="R36" s="21"/>
      <c r="S36" s="21">
        <f t="shared" si="6"/>
        <v>1.4673965766635039E-2</v>
      </c>
      <c r="T36" s="21">
        <f t="shared" si="7"/>
        <v>1.4963893619056557E-2</v>
      </c>
    </row>
    <row r="37" spans="1:20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M37" s="21">
        <f t="shared" si="3"/>
        <v>1.2378008252895374E-2</v>
      </c>
      <c r="N37" s="21">
        <f t="shared" si="0"/>
        <v>1.1517399417396464E-2</v>
      </c>
      <c r="O37" s="21"/>
      <c r="P37" s="21">
        <f t="shared" si="4"/>
        <v>1.0624121817219187E-2</v>
      </c>
      <c r="Q37" s="21">
        <f t="shared" si="5"/>
        <v>9.8386759931742233E-3</v>
      </c>
      <c r="R37" s="21"/>
      <c r="S37" s="21">
        <f t="shared" si="6"/>
        <v>1.4220528792234356E-2</v>
      </c>
      <c r="T37" s="21">
        <f t="shared" si="7"/>
        <v>1.4248443566746217E-2</v>
      </c>
    </row>
    <row r="38" spans="1:20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M38" s="21">
        <f t="shared" si="3"/>
        <v>1.1785599682865917E-2</v>
      </c>
      <c r="N38" s="21">
        <f t="shared" si="0"/>
        <v>1.0455483283291093E-2</v>
      </c>
      <c r="O38" s="21"/>
      <c r="P38" s="21">
        <f t="shared" si="4"/>
        <v>9.8533299357396898E-3</v>
      </c>
      <c r="Q38" s="21">
        <f t="shared" si="5"/>
        <v>8.7940046309763764E-3</v>
      </c>
      <c r="R38" s="21"/>
      <c r="S38" s="21">
        <f t="shared" si="6"/>
        <v>1.3757408638549367E-2</v>
      </c>
      <c r="T38" s="21">
        <f t="shared" si="7"/>
        <v>1.3572113372418688E-2</v>
      </c>
    </row>
    <row r="39" spans="1:20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M39" s="21">
        <f t="shared" si="3"/>
        <v>8.8705215581643231E-3</v>
      </c>
      <c r="N39" s="21">
        <f t="shared" si="0"/>
        <v>8.6740058341192132E-3</v>
      </c>
      <c r="O39" s="21"/>
      <c r="P39" s="21">
        <f t="shared" si="4"/>
        <v>1.0113781927954932E-2</v>
      </c>
      <c r="Q39" s="21">
        <f t="shared" si="5"/>
        <v>9.0235463075097038E-3</v>
      </c>
      <c r="R39" s="21"/>
      <c r="S39" s="21">
        <f t="shared" si="6"/>
        <v>1.3284934597599201E-2</v>
      </c>
      <c r="T39" s="21">
        <f t="shared" si="7"/>
        <v>1.2932924197203023E-2</v>
      </c>
    </row>
    <row r="40" spans="1:20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M40" s="21">
        <f t="shared" si="3"/>
        <v>1.6703999550518621E-2</v>
      </c>
      <c r="N40" s="21">
        <f t="shared" si="0"/>
        <v>1.886900304727292E-2</v>
      </c>
      <c r="O40" s="21"/>
      <c r="P40" s="21">
        <f t="shared" si="4"/>
        <v>1.1362784483144787E-2</v>
      </c>
      <c r="Q40" s="21">
        <f t="shared" si="5"/>
        <v>1.0472949072685237E-2</v>
      </c>
      <c r="R40" s="21"/>
      <c r="S40" s="21">
        <f t="shared" si="6"/>
        <v>1.280342847091874E-2</v>
      </c>
      <c r="T40" s="21">
        <f t="shared" si="7"/>
        <v>1.2329120521305303E-2</v>
      </c>
    </row>
    <row r="41" spans="1:20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M41" s="21">
        <f t="shared" si="3"/>
        <v>1.1719577998428704E-2</v>
      </c>
      <c r="N41" s="21">
        <f t="shared" si="0"/>
        <v>1.0773546939175739E-2</v>
      </c>
      <c r="O41" s="21"/>
      <c r="P41" s="21">
        <f t="shared" si="4"/>
        <v>1.4376685905078939E-2</v>
      </c>
      <c r="Q41" s="21">
        <f t="shared" si="5"/>
        <v>1.4160820955375309E-2</v>
      </c>
      <c r="R41" s="21"/>
      <c r="S41" s="21">
        <f t="shared" si="6"/>
        <v>1.2313218439809254E-2</v>
      </c>
      <c r="T41" s="21">
        <f t="shared" si="7"/>
        <v>1.1759052796120509E-2</v>
      </c>
    </row>
    <row r="42" spans="1:20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M42" s="21">
        <f t="shared" si="3"/>
        <v>1.2006828798400005E-2</v>
      </c>
      <c r="N42" s="21">
        <f t="shared" si="0"/>
        <v>1.0750959723844742E-2</v>
      </c>
      <c r="O42" s="21"/>
      <c r="P42" s="21">
        <f t="shared" si="4"/>
        <v>1.5726362086038392E-2</v>
      </c>
      <c r="Q42" s="21">
        <f t="shared" si="5"/>
        <v>1.5913172034537588E-2</v>
      </c>
      <c r="R42" s="21"/>
      <c r="S42" s="21">
        <f t="shared" si="6"/>
        <v>1.1814635118113859E-2</v>
      </c>
      <c r="T42" s="21">
        <f t="shared" si="7"/>
        <v>1.122116112112961E-2</v>
      </c>
    </row>
    <row r="43" spans="1:20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M43" s="21">
        <f t="shared" si="3"/>
        <v>1.2989391639851732E-2</v>
      </c>
      <c r="N43" s="21">
        <f t="shared" si="0"/>
        <v>1.1998289157132105E-2</v>
      </c>
      <c r="O43" s="21"/>
      <c r="P43" s="21">
        <f t="shared" si="4"/>
        <v>1.5858627428374718E-2</v>
      </c>
      <c r="Q43" s="21">
        <f t="shared" si="5"/>
        <v>1.623280737848861E-2</v>
      </c>
      <c r="R43" s="21"/>
      <c r="S43" s="21">
        <f t="shared" si="6"/>
        <v>1.1307966078802162E-2</v>
      </c>
      <c r="T43" s="21">
        <f t="shared" si="7"/>
        <v>1.071398051242454E-2</v>
      </c>
    </row>
    <row r="44" spans="1:20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M44" s="21">
        <f t="shared" si="3"/>
        <v>8.2097913258883329E-3</v>
      </c>
      <c r="N44" s="21">
        <f t="shared" si="0"/>
        <v>6.7489806875148115E-3</v>
      </c>
      <c r="O44" s="21"/>
      <c r="P44" s="21">
        <f t="shared" si="4"/>
        <v>1.4701363505746369E-2</v>
      </c>
      <c r="Q44" s="21">
        <f t="shared" si="5"/>
        <v>1.501585215210967E-2</v>
      </c>
      <c r="R44" s="21"/>
      <c r="S44" s="21">
        <f t="shared" si="6"/>
        <v>1.0794491572489833E-2</v>
      </c>
      <c r="T44" s="21">
        <f t="shared" si="7"/>
        <v>1.0235999409898463E-2</v>
      </c>
    </row>
    <row r="45" spans="1:20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M45" s="21">
        <f t="shared" si="3"/>
        <v>1.8595012555619933E-2</v>
      </c>
      <c r="N45" s="21">
        <f t="shared" si="0"/>
        <v>2.3759055913046671E-2</v>
      </c>
      <c r="O45" s="21"/>
      <c r="P45" s="21">
        <f t="shared" si="4"/>
        <v>1.2407303053427684E-2</v>
      </c>
      <c r="Q45" s="21">
        <f t="shared" si="5"/>
        <v>1.2446628566603526E-2</v>
      </c>
      <c r="R45" s="21"/>
      <c r="S45" s="21">
        <f t="shared" si="6"/>
        <v>1.0265539492699868E-2</v>
      </c>
      <c r="T45" s="21">
        <f t="shared" si="7"/>
        <v>9.7871036934532585E-3</v>
      </c>
    </row>
    <row r="46" spans="1:20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M46" s="21">
        <f t="shared" si="3"/>
        <v>6.32635592624809E-3</v>
      </c>
      <c r="N46" s="21">
        <f t="shared" si="0"/>
        <v>5.0758624318913729E-3</v>
      </c>
      <c r="O46" s="21"/>
      <c r="P46" s="21">
        <f t="shared" si="4"/>
        <v>8.6272798392224449E-3</v>
      </c>
      <c r="Q46" s="21">
        <f t="shared" si="5"/>
        <v>8.1378171240502548E-3</v>
      </c>
      <c r="R46" s="21"/>
      <c r="S46" s="21">
        <f t="shared" si="6"/>
        <v>9.7734494043395757E-3</v>
      </c>
      <c r="T46" s="21">
        <f t="shared" si="7"/>
        <v>9.359185302914276E-3</v>
      </c>
    </row>
    <row r="47" spans="1:20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M47" s="21">
        <f t="shared" si="3"/>
        <v>1.0347620699652428E-2</v>
      </c>
      <c r="N47" s="21">
        <f t="shared" si="0"/>
        <v>8.9680359003578066E-3</v>
      </c>
      <c r="O47" s="21"/>
      <c r="P47" s="21">
        <f t="shared" si="4"/>
        <v>6.7501328153505569E-3</v>
      </c>
      <c r="Q47" s="21">
        <f t="shared" si="5"/>
        <v>6.123843991161608E-3</v>
      </c>
      <c r="R47" s="21"/>
      <c r="S47" s="21">
        <f t="shared" si="6"/>
        <v>9.307473688046318E-3</v>
      </c>
      <c r="T47" s="21">
        <f t="shared" si="7"/>
        <v>8.952515960470404E-3</v>
      </c>
    </row>
    <row r="48" spans="1:20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M48" s="21">
        <f t="shared" si="3"/>
        <v>8.7011035498884282E-3</v>
      </c>
      <c r="N48" s="21">
        <f t="shared" si="0"/>
        <v>7.6439297482918372E-3</v>
      </c>
      <c r="O48" s="21"/>
      <c r="P48" s="21">
        <f t="shared" si="4"/>
        <v>5.813348514917176E-3</v>
      </c>
      <c r="Q48" s="21">
        <f t="shared" si="5"/>
        <v>5.1888593349096301E-3</v>
      </c>
      <c r="R48" s="21"/>
      <c r="S48" s="21">
        <f t="shared" si="6"/>
        <v>8.8673002752712986E-3</v>
      </c>
      <c r="T48" s="21">
        <f t="shared" si="7"/>
        <v>8.5660488211083356E-3</v>
      </c>
    </row>
    <row r="49" spans="1:20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M49" s="21">
        <f t="shared" si="3"/>
        <v>7.0158564166567516E-3</v>
      </c>
      <c r="N49" s="21">
        <f t="shared" si="0"/>
        <v>6.5033942541571719E-3</v>
      </c>
      <c r="O49" s="21"/>
      <c r="P49" s="21">
        <f t="shared" si="4"/>
        <v>5.7497498915704392E-3</v>
      </c>
      <c r="Q49" s="21">
        <f t="shared" si="5"/>
        <v>5.2440490832365806E-3</v>
      </c>
      <c r="R49" s="21"/>
      <c r="S49" s="21">
        <f t="shared" si="6"/>
        <v>8.4516574829248646E-3</v>
      </c>
      <c r="T49" s="21">
        <f t="shared" si="7"/>
        <v>8.1989185871820993E-3</v>
      </c>
    </row>
    <row r="50" spans="1:20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M50" s="21">
        <f t="shared" si="3"/>
        <v>1.4695400179915764E-2</v>
      </c>
      <c r="N50" s="21">
        <f t="shared" si="0"/>
        <v>1.5778556842976195E-2</v>
      </c>
      <c r="O50" s="21"/>
      <c r="P50" s="21">
        <f t="shared" si="4"/>
        <v>6.495243794736383E-3</v>
      </c>
      <c r="Q50" s="21">
        <f t="shared" si="5"/>
        <v>6.2316025715140107E-3</v>
      </c>
      <c r="R50" s="21"/>
      <c r="S50" s="21">
        <f t="shared" si="6"/>
        <v>8.0593928680121225E-3</v>
      </c>
      <c r="T50" s="21">
        <f t="shared" si="7"/>
        <v>7.8502969688968999E-3</v>
      </c>
    </row>
    <row r="51" spans="1:20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M51" s="21">
        <f t="shared" si="3"/>
        <v>7.8790668382176313E-3</v>
      </c>
      <c r="N51" s="21">
        <f t="shared" si="0"/>
        <v>6.7375880131154055E-3</v>
      </c>
      <c r="O51" s="21"/>
      <c r="P51" s="21">
        <f t="shared" si="4"/>
        <v>8.6603466293880878E-3</v>
      </c>
      <c r="Q51" s="21">
        <f t="shared" si="5"/>
        <v>8.9676749945474914E-3</v>
      </c>
      <c r="R51" s="21"/>
      <c r="S51" s="21">
        <f t="shared" si="6"/>
        <v>7.689421998423319E-3</v>
      </c>
      <c r="T51" s="21">
        <f t="shared" si="7"/>
        <v>7.5193960673136679E-3</v>
      </c>
    </row>
    <row r="52" spans="1:20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M52" s="21">
        <f t="shared" si="3"/>
        <v>7.4053535515620729E-3</v>
      </c>
      <c r="N52" s="21">
        <f t="shared" si="0"/>
        <v>6.6444454698952144E-3</v>
      </c>
      <c r="O52" s="21"/>
      <c r="P52" s="21">
        <f t="shared" si="4"/>
        <v>9.6641809459473305E-3</v>
      </c>
      <c r="Q52" s="21">
        <f t="shared" si="5"/>
        <v>1.03005758519534E-2</v>
      </c>
      <c r="R52" s="21"/>
      <c r="S52" s="21">
        <f t="shared" si="6"/>
        <v>7.340722521786509E-3</v>
      </c>
      <c r="T52" s="21">
        <f t="shared" si="7"/>
        <v>7.2054707678975037E-3</v>
      </c>
    </row>
    <row r="53" spans="1:20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M53" s="21">
        <f t="shared" si="3"/>
        <v>9.0531233678115067E-3</v>
      </c>
      <c r="N53" s="21">
        <f t="shared" si="0"/>
        <v>8.3163154846714136E-3</v>
      </c>
      <c r="O53" s="21"/>
      <c r="P53" s="21">
        <f t="shared" si="4"/>
        <v>9.8321274425117334E-3</v>
      </c>
      <c r="Q53" s="21">
        <f t="shared" si="5"/>
        <v>1.0587975529185398E-2</v>
      </c>
      <c r="R53" s="21"/>
      <c r="S53" s="21">
        <f t="shared" si="6"/>
        <v>7.012353201364771E-3</v>
      </c>
      <c r="T53" s="21">
        <f t="shared" si="7"/>
        <v>6.9078472301308718E-3</v>
      </c>
    </row>
    <row r="54" spans="1:20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M54" s="21">
        <f t="shared" si="3"/>
        <v>5.0268068574331236E-3</v>
      </c>
      <c r="N54" s="21">
        <f t="shared" si="0"/>
        <v>4.4353959971769148E-3</v>
      </c>
      <c r="O54" s="21"/>
      <c r="P54" s="21">
        <f t="shared" si="4"/>
        <v>9.1030599984155847E-3</v>
      </c>
      <c r="Q54" s="21">
        <f t="shared" si="5"/>
        <v>9.7441865615975291E-3</v>
      </c>
      <c r="R54" s="21"/>
      <c r="S54" s="21">
        <f t="shared" si="6"/>
        <v>6.7029806935758338E-3</v>
      </c>
      <c r="T54" s="21">
        <f t="shared" si="7"/>
        <v>6.625219326481923E-3</v>
      </c>
    </row>
    <row r="55" spans="1:20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M55" s="21">
        <f t="shared" si="3"/>
        <v>1.669198627356815E-2</v>
      </c>
      <c r="N55" s="21">
        <f t="shared" si="0"/>
        <v>2.1444460742022914E-2</v>
      </c>
      <c r="O55" s="21"/>
      <c r="P55" s="21">
        <f t="shared" si="4"/>
        <v>7.5842298540767759E-3</v>
      </c>
      <c r="Q55" s="21">
        <f t="shared" si="5"/>
        <v>7.9096237394648428E-3</v>
      </c>
      <c r="R55" s="21"/>
      <c r="S55" s="21">
        <f t="shared" si="6"/>
        <v>6.4158483040739423E-3</v>
      </c>
      <c r="T55" s="21">
        <f t="shared" si="7"/>
        <v>6.3630654846106123E-3</v>
      </c>
    </row>
    <row r="56" spans="1:20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M56" s="21">
        <f t="shared" si="3"/>
        <v>3.7657618814081334E-3</v>
      </c>
      <c r="N56" s="21">
        <f t="shared" si="0"/>
        <v>3.386041524931065E-3</v>
      </c>
      <c r="O56" s="21"/>
      <c r="P56" s="21">
        <f t="shared" si="4"/>
        <v>5.0438302568241054E-3</v>
      </c>
      <c r="Q56" s="21">
        <f t="shared" si="5"/>
        <v>4.8224330892637337E-3</v>
      </c>
      <c r="R56" s="21"/>
      <c r="S56" s="21">
        <f t="shared" si="6"/>
        <v>6.126536780032406E-3</v>
      </c>
      <c r="T56" s="21">
        <f t="shared" si="7"/>
        <v>6.0855480114753481E-3</v>
      </c>
    </row>
    <row r="57" spans="1:20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M57" s="21">
        <f t="shared" si="3"/>
        <v>6.431477233443764E-3</v>
      </c>
      <c r="N57" s="21">
        <f t="shared" si="0"/>
        <v>5.8579744827473206E-3</v>
      </c>
      <c r="O57" s="21"/>
      <c r="P57" s="21">
        <f t="shared" si="4"/>
        <v>3.8436080236742306E-3</v>
      </c>
      <c r="Q57" s="21">
        <f t="shared" si="5"/>
        <v>3.4470646781654193E-3</v>
      </c>
      <c r="R57" s="21"/>
      <c r="S57" s="21">
        <f t="shared" si="6"/>
        <v>5.8392197768194019E-3</v>
      </c>
      <c r="T57" s="21">
        <f t="shared" si="7"/>
        <v>5.799411421010296E-3</v>
      </c>
    </row>
    <row r="58" spans="1:20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M58" s="21">
        <f t="shared" si="3"/>
        <v>5.3260914698710507E-3</v>
      </c>
      <c r="N58" s="21">
        <f t="shared" si="0"/>
        <v>5.0266460784859366E-3</v>
      </c>
      <c r="O58" s="21"/>
      <c r="P58" s="21">
        <f t="shared" si="4"/>
        <v>3.283929727610096E-3</v>
      </c>
      <c r="Q58" s="21">
        <f t="shared" si="5"/>
        <v>2.8256437601446704E-3</v>
      </c>
      <c r="R58" s="21"/>
      <c r="S58" s="21">
        <f t="shared" si="6"/>
        <v>5.5533810189160992E-3</v>
      </c>
      <c r="T58" s="21">
        <f t="shared" si="7"/>
        <v>5.5044317228574811E-3</v>
      </c>
    </row>
    <row r="59" spans="1:20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M59" s="21">
        <f t="shared" si="3"/>
        <v>4.327695745464084E-3</v>
      </c>
      <c r="N59" s="21">
        <f t="shared" si="0"/>
        <v>4.4022086413177744E-3</v>
      </c>
      <c r="O59" s="21"/>
      <c r="P59" s="21">
        <f t="shared" si="4"/>
        <v>3.3159955238527142E-3</v>
      </c>
      <c r="Q59" s="21">
        <f t="shared" si="5"/>
        <v>2.8775948372752633E-3</v>
      </c>
      <c r="R59" s="21"/>
      <c r="S59" s="21">
        <f t="shared" si="6"/>
        <v>5.2689714027126557E-3</v>
      </c>
      <c r="T59" s="21">
        <f t="shared" si="7"/>
        <v>5.2010932835566681E-3</v>
      </c>
    </row>
    <row r="60" spans="1:20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M60" s="21">
        <f t="shared" si="3"/>
        <v>1.1139490738092039E-2</v>
      </c>
      <c r="N60" s="21">
        <f t="shared" si="0"/>
        <v>1.1593502482384499E-2</v>
      </c>
      <c r="O60" s="21"/>
      <c r="P60" s="21">
        <f t="shared" si="4"/>
        <v>3.9068454683261261E-3</v>
      </c>
      <c r="Q60" s="21">
        <f t="shared" si="5"/>
        <v>3.5666151450848113E-3</v>
      </c>
      <c r="R60" s="21"/>
      <c r="S60" s="21">
        <f t="shared" si="6"/>
        <v>4.985918884054725E-3</v>
      </c>
      <c r="T60" s="21">
        <f t="shared" si="7"/>
        <v>4.8898583552302657E-3</v>
      </c>
    </row>
    <row r="61" spans="1:20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M61" s="21">
        <f t="shared" si="3"/>
        <v>5.9302463551409697E-3</v>
      </c>
      <c r="N61" s="21">
        <f t="shared" si="0"/>
        <v>5.1232757707396848E-3</v>
      </c>
      <c r="O61" s="21"/>
      <c r="P61" s="21">
        <f t="shared" si="4"/>
        <v>5.5173852333505252E-3</v>
      </c>
      <c r="Q61" s="21">
        <f t="shared" si="5"/>
        <v>5.504725538290906E-3</v>
      </c>
      <c r="R61" s="21"/>
      <c r="S61" s="21">
        <f t="shared" si="6"/>
        <v>4.7041504349117904E-3</v>
      </c>
      <c r="T61" s="21">
        <f t="shared" si="7"/>
        <v>4.571199888403636E-3</v>
      </c>
    </row>
    <row r="62" spans="1:20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M62" s="21">
        <f t="shared" si="3"/>
        <v>4.7753905331516956E-3</v>
      </c>
      <c r="N62" s="21">
        <f t="shared" si="0"/>
        <v>4.1273182680701837E-3</v>
      </c>
      <c r="O62" s="21"/>
      <c r="P62" s="21">
        <f t="shared" si="4"/>
        <v>6.3667783836071166E-3</v>
      </c>
      <c r="Q62" s="21">
        <f t="shared" si="5"/>
        <v>6.5199492308655998E-3</v>
      </c>
      <c r="R62" s="21"/>
      <c r="S62" s="21">
        <f t="shared" si="6"/>
        <v>4.4235926304094352E-3</v>
      </c>
      <c r="T62" s="21">
        <f t="shared" si="7"/>
        <v>4.2455989386654428E-3</v>
      </c>
    </row>
    <row r="63" spans="1:20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M63" s="21">
        <f t="shared" si="3"/>
        <v>5.1807205510122556E-3</v>
      </c>
      <c r="N63" s="21">
        <f t="shared" si="0"/>
        <v>4.6345795723721026E-3</v>
      </c>
      <c r="O63" s="21"/>
      <c r="P63" s="21">
        <f t="shared" si="4"/>
        <v>6.6620804419938798E-3</v>
      </c>
      <c r="Q63" s="21">
        <f t="shared" si="5"/>
        <v>6.8394703907669841E-3</v>
      </c>
      <c r="R63" s="21"/>
      <c r="S63" s="21">
        <f t="shared" si="6"/>
        <v>4.1441555639672029E-3</v>
      </c>
      <c r="T63" s="21">
        <f t="shared" si="7"/>
        <v>3.9134962664788683E-3</v>
      </c>
    </row>
    <row r="64" spans="1:20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M64" s="21">
        <f t="shared" si="3"/>
        <v>2.8891417677982655E-3</v>
      </c>
      <c r="N64" s="21">
        <f t="shared" si="0"/>
        <v>2.4827312318122146E-3</v>
      </c>
      <c r="O64" s="21"/>
      <c r="P64" s="21">
        <f t="shared" si="4"/>
        <v>6.3451743735979706E-3</v>
      </c>
      <c r="Q64" s="21">
        <f t="shared" si="5"/>
        <v>6.3901344674748535E-3</v>
      </c>
      <c r="R64" s="21"/>
      <c r="S64" s="21">
        <f t="shared" si="6"/>
        <v>3.8660894748157116E-3</v>
      </c>
      <c r="T64" s="21">
        <f t="shared" si="7"/>
        <v>3.5763758365018731E-3</v>
      </c>
    </row>
    <row r="65" spans="1:20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M65" s="21">
        <f t="shared" si="3"/>
        <v>1.4088390857900347E-2</v>
      </c>
      <c r="N65" s="21">
        <f t="shared" si="0"/>
        <v>1.7986060874645531E-2</v>
      </c>
      <c r="O65" s="21"/>
      <c r="P65" s="21">
        <f t="shared" si="4"/>
        <v>5.4693076269637219E-3</v>
      </c>
      <c r="Q65" s="21">
        <f t="shared" si="5"/>
        <v>5.253310108732122E-3</v>
      </c>
      <c r="R65" s="21"/>
      <c r="S65" s="21">
        <f t="shared" si="6"/>
        <v>3.5862128796463038E-3</v>
      </c>
      <c r="T65" s="21">
        <f t="shared" si="7"/>
        <v>3.2252870755890544E-3</v>
      </c>
    </row>
    <row r="66" spans="1:20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M66" s="21">
        <f t="shared" si="3"/>
        <v>2.4283453208039851E-3</v>
      </c>
      <c r="N66" s="21">
        <f t="shared" si="0"/>
        <v>2.0291839106351488E-3</v>
      </c>
      <c r="O66" s="21"/>
      <c r="P66" s="21">
        <f t="shared" si="4"/>
        <v>3.8985658156272299E-3</v>
      </c>
      <c r="Q66" s="21">
        <f t="shared" si="5"/>
        <v>3.2781427272089822E-3</v>
      </c>
      <c r="R66" s="21"/>
      <c r="S66" s="21">
        <f t="shared" si="6"/>
        <v>3.3224017115030305E-3</v>
      </c>
      <c r="T66" s="21">
        <f t="shared" si="7"/>
        <v>2.9154348014061911E-3</v>
      </c>
    </row>
    <row r="67" spans="1:20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M67" s="21">
        <f t="shared" si="3"/>
        <v>4.0517805504101537E-3</v>
      </c>
      <c r="N67" s="21">
        <f t="shared" si="0"/>
        <v>3.5080124877184494E-3</v>
      </c>
      <c r="O67" s="21"/>
      <c r="P67" s="21">
        <f t="shared" si="4"/>
        <v>3.020512196530017E-3</v>
      </c>
      <c r="Q67" s="21">
        <f t="shared" si="5"/>
        <v>2.2898493414514097E-3</v>
      </c>
      <c r="R67" s="21"/>
      <c r="S67" s="21">
        <f t="shared" si="6"/>
        <v>3.0703919202079918E-3</v>
      </c>
      <c r="T67" s="21">
        <f t="shared" si="7"/>
        <v>2.6334884054635545E-3</v>
      </c>
    </row>
    <row r="68" spans="1:20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M68" s="21">
        <f t="shared" si="3"/>
        <v>3.6344167200829669E-3</v>
      </c>
      <c r="N68" s="21">
        <f t="shared" si="0"/>
        <v>3.1497475512139847E-3</v>
      </c>
      <c r="O68" s="21"/>
      <c r="P68" s="21">
        <f t="shared" si="4"/>
        <v>2.4627325215883364E-3</v>
      </c>
      <c r="Q68" s="21">
        <f t="shared" si="5"/>
        <v>1.7139083664109193E-3</v>
      </c>
      <c r="R68" s="21"/>
      <c r="S68" s="21">
        <f t="shared" si="6"/>
        <v>2.8296076370468415E-3</v>
      </c>
      <c r="T68" s="21">
        <f t="shared" si="7"/>
        <v>2.3777201195075586E-3</v>
      </c>
    </row>
    <row r="69" spans="1:20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M69" s="21">
        <f t="shared" si="3"/>
        <v>2.5192765863367929E-3</v>
      </c>
      <c r="N69" s="21">
        <f t="shared" ref="N69:N114" si="8">D69/D$116</f>
        <v>2.3325262498610838E-3</v>
      </c>
      <c r="O69" s="21"/>
      <c r="P69" s="21">
        <f t="shared" si="4"/>
        <v>2.1897159480488647E-3</v>
      </c>
      <c r="Q69" s="21">
        <f t="shared" si="5"/>
        <v>1.4767938208299469E-3</v>
      </c>
      <c r="R69" s="21"/>
      <c r="S69" s="21">
        <f t="shared" si="6"/>
        <v>2.5991510311042091E-3</v>
      </c>
      <c r="T69" s="21">
        <f t="shared" si="7"/>
        <v>2.1455342011379159E-3</v>
      </c>
    </row>
    <row r="70" spans="1:20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M70" s="21">
        <f t="shared" ref="M70:M114" si="9">C70/C$116</f>
        <v>7.3378738454778804E-3</v>
      </c>
      <c r="N70" s="21">
        <f t="shared" si="8"/>
        <v>7.7451957636924737E-3</v>
      </c>
      <c r="O70" s="21"/>
      <c r="P70" s="21">
        <f t="shared" ref="P70:P114" si="10">F70/F$116</f>
        <v>2.1573530509602368E-3</v>
      </c>
      <c r="Q70" s="21">
        <f t="shared" ref="Q70:Q114" si="11">G70/G$116</f>
        <v>1.5162680945043452E-3</v>
      </c>
      <c r="R70" s="21"/>
      <c r="S70" s="21">
        <f t="shared" ref="S70:S114" si="12">I70/I$116</f>
        <v>2.3781799855296525E-3</v>
      </c>
      <c r="T70" s="21">
        <f t="shared" ref="T70:T114" si="13">J70/J$116</f>
        <v>1.9346250069887424E-3</v>
      </c>
    </row>
    <row r="71" spans="1:20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M71" s="21">
        <f t="shared" si="9"/>
        <v>2.8843569925342308E-3</v>
      </c>
      <c r="N71" s="21">
        <f t="shared" si="8"/>
        <v>2.247566618861684E-3</v>
      </c>
      <c r="O71" s="21"/>
      <c r="P71" s="21">
        <f t="shared" si="10"/>
        <v>2.4723917473896675E-3</v>
      </c>
      <c r="Q71" s="21">
        <f t="shared" si="11"/>
        <v>1.9758931991303275E-3</v>
      </c>
      <c r="R71" s="21"/>
      <c r="S71" s="21">
        <f t="shared" si="12"/>
        <v>2.1658889947332866E-3</v>
      </c>
      <c r="T71" s="21">
        <f t="shared" si="13"/>
        <v>1.7429022621916518E-3</v>
      </c>
    </row>
    <row r="72" spans="1:20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M72" s="21">
        <f t="shared" si="9"/>
        <v>3.0544526728432295E-3</v>
      </c>
      <c r="N72" s="21">
        <f t="shared" si="8"/>
        <v>2.5167507482361812E-3</v>
      </c>
      <c r="O72" s="21"/>
      <c r="P72" s="21">
        <f t="shared" si="10"/>
        <v>2.5275816427703986E-3</v>
      </c>
      <c r="Q72" s="21">
        <f t="shared" si="11"/>
        <v>2.1495773871735057E-3</v>
      </c>
      <c r="R72" s="21"/>
      <c r="S72" s="21">
        <f t="shared" si="12"/>
        <v>1.961501915123281E-3</v>
      </c>
      <c r="T72" s="21">
        <f t="shared" si="13"/>
        <v>1.5684642259457867E-3</v>
      </c>
    </row>
    <row r="73" spans="1:20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M73" s="21">
        <f t="shared" si="9"/>
        <v>2.3433898904721816E-3</v>
      </c>
      <c r="N73" s="21">
        <f t="shared" si="8"/>
        <v>2.1544438889882747E-3</v>
      </c>
      <c r="O73" s="21"/>
      <c r="P73" s="21">
        <f t="shared" si="10"/>
        <v>2.4220219306521451E-3</v>
      </c>
      <c r="Q73" s="21">
        <f t="shared" si="11"/>
        <v>2.1379469530466966E-3</v>
      </c>
      <c r="R73" s="21"/>
      <c r="S73" s="21">
        <f t="shared" si="12"/>
        <v>1.764248708421405E-3</v>
      </c>
      <c r="T73" s="21">
        <f t="shared" si="13"/>
        <v>1.4095771953069847E-3</v>
      </c>
    </row>
    <row r="74" spans="1:20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M74" s="21">
        <f t="shared" si="9"/>
        <v>1.2548227146301301E-3</v>
      </c>
      <c r="N74" s="21">
        <f t="shared" si="8"/>
        <v>1.1988659870596258E-3</v>
      </c>
      <c r="O74" s="21"/>
      <c r="P74" s="21">
        <f t="shared" si="10"/>
        <v>2.1516173337580253E-3</v>
      </c>
      <c r="Q74" s="21">
        <f t="shared" si="11"/>
        <v>1.9293265323855158E-3</v>
      </c>
      <c r="R74" s="21"/>
      <c r="S74" s="21">
        <f t="shared" si="12"/>
        <v>1.5738522246332919E-3</v>
      </c>
      <c r="T74" s="21">
        <f t="shared" si="13"/>
        <v>1.2647351265689659E-3</v>
      </c>
    </row>
    <row r="75" spans="1:20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M75" s="21">
        <f t="shared" si="9"/>
        <v>7.7882998568140601E-3</v>
      </c>
      <c r="N75" s="21">
        <f t="shared" si="8"/>
        <v>1.0349065797727246E-2</v>
      </c>
      <c r="O75" s="21"/>
      <c r="P75" s="21">
        <f t="shared" si="10"/>
        <v>1.7429063907542957E-3</v>
      </c>
      <c r="Q75" s="21">
        <f t="shared" si="11"/>
        <v>1.5518784810678143E-3</v>
      </c>
      <c r="R75" s="21"/>
      <c r="S75" s="21">
        <f t="shared" si="12"/>
        <v>1.3853340212737794E-3</v>
      </c>
      <c r="T75" s="21">
        <f t="shared" si="13"/>
        <v>1.131827265167805E-3</v>
      </c>
    </row>
    <row r="76" spans="1:20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M76" s="21">
        <f t="shared" si="9"/>
        <v>9.7260311611672078E-4</v>
      </c>
      <c r="N76" s="21">
        <f t="shared" si="8"/>
        <v>8.5775940886800622E-4</v>
      </c>
      <c r="O76" s="21"/>
      <c r="P76" s="21">
        <f t="shared" si="10"/>
        <v>1.1500147480642568E-3</v>
      </c>
      <c r="Q76" s="21">
        <f t="shared" si="11"/>
        <v>9.5998012780970903E-4</v>
      </c>
      <c r="R76" s="21"/>
      <c r="S76" s="21">
        <f t="shared" si="12"/>
        <v>1.2228037028493254E-3</v>
      </c>
      <c r="T76" s="21">
        <f t="shared" si="13"/>
        <v>1.0134395305575834E-3</v>
      </c>
    </row>
    <row r="77" spans="1:20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M77" s="21">
        <f t="shared" si="9"/>
        <v>1.6557786675497487E-3</v>
      </c>
      <c r="N77" s="21">
        <f t="shared" si="8"/>
        <v>1.4236682196433919E-3</v>
      </c>
      <c r="O77" s="21"/>
      <c r="P77" s="21">
        <f t="shared" si="10"/>
        <v>8.3890064709894198E-4</v>
      </c>
      <c r="Q77" s="21">
        <f t="shared" si="11"/>
        <v>6.7181004034979719E-4</v>
      </c>
      <c r="R77" s="21"/>
      <c r="S77" s="21">
        <f t="shared" si="12"/>
        <v>1.0789787924303975E-3</v>
      </c>
      <c r="T77" s="21">
        <f t="shared" si="13"/>
        <v>9.073857321567182E-4</v>
      </c>
    </row>
    <row r="78" spans="1:20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M78" s="21">
        <f t="shared" si="9"/>
        <v>1.2917045016438886E-3</v>
      </c>
      <c r="N78" s="21">
        <f t="shared" si="8"/>
        <v>1.1090322727519584E-3</v>
      </c>
      <c r="O78" s="21"/>
      <c r="P78" s="21">
        <f t="shared" si="10"/>
        <v>6.5946911641609051E-4</v>
      </c>
      <c r="Q78" s="21">
        <f t="shared" si="11"/>
        <v>5.155282929950731E-4</v>
      </c>
      <c r="R78" s="21"/>
      <c r="S78" s="21">
        <f t="shared" si="12"/>
        <v>9.5209768555232493E-4</v>
      </c>
      <c r="T78" s="21">
        <f t="shared" si="13"/>
        <v>8.124443999774374E-4</v>
      </c>
    </row>
    <row r="79" spans="1:20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M79" s="21">
        <f t="shared" si="9"/>
        <v>9.5161581860666439E-4</v>
      </c>
      <c r="N79" s="21">
        <f t="shared" si="8"/>
        <v>8.157353003442827E-4</v>
      </c>
      <c r="O79" s="21"/>
      <c r="P79" s="21">
        <f t="shared" si="10"/>
        <v>5.9178074846117875E-4</v>
      </c>
      <c r="Q79" s="21">
        <f t="shared" si="11"/>
        <v>4.694957395410334E-4</v>
      </c>
      <c r="R79" s="21"/>
      <c r="S79" s="21">
        <f t="shared" si="12"/>
        <v>8.4014390605341015E-4</v>
      </c>
      <c r="T79" s="21">
        <f t="shared" si="13"/>
        <v>7.2744905163084014E-4</v>
      </c>
    </row>
    <row r="80" spans="1:20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M80" s="21">
        <f t="shared" si="9"/>
        <v>3.2606703260682646E-3</v>
      </c>
      <c r="N80" s="21">
        <f t="shared" si="8"/>
        <v>3.1586833706124754E-3</v>
      </c>
      <c r="O80" s="21"/>
      <c r="P80" s="21">
        <f t="shared" si="10"/>
        <v>6.1891246963527923E-4</v>
      </c>
      <c r="Q80" s="21">
        <f t="shared" si="11"/>
        <v>5.1786444183408499E-4</v>
      </c>
      <c r="R80" s="21"/>
      <c r="S80" s="21">
        <f t="shared" si="12"/>
        <v>7.4136096512065369E-4</v>
      </c>
      <c r="T80" s="21">
        <f t="shared" si="13"/>
        <v>6.5135900216219654E-4</v>
      </c>
    </row>
    <row r="81" spans="1:20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M81" s="21">
        <f t="shared" si="9"/>
        <v>1.0200812294662808E-3</v>
      </c>
      <c r="N81" s="21">
        <f t="shared" si="8"/>
        <v>7.8153746379928176E-4</v>
      </c>
      <c r="O81" s="21"/>
      <c r="P81" s="21">
        <f t="shared" si="10"/>
        <v>7.9478285943557745E-4</v>
      </c>
      <c r="Q81" s="21">
        <f t="shared" si="11"/>
        <v>7.2536049835986573E-4</v>
      </c>
      <c r="R81" s="21"/>
      <c r="S81" s="21">
        <f t="shared" si="12"/>
        <v>6.5420081297313441E-4</v>
      </c>
      <c r="T81" s="21">
        <f t="shared" si="13"/>
        <v>5.8324288471042426E-4</v>
      </c>
    </row>
    <row r="82" spans="1:20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M82" s="21">
        <f t="shared" si="9"/>
        <v>8.3836244701374779E-4</v>
      </c>
      <c r="N82" s="21">
        <f t="shared" si="8"/>
        <v>6.2338732978873884E-4</v>
      </c>
      <c r="O82" s="21"/>
      <c r="P82" s="21">
        <f t="shared" si="10"/>
        <v>8.6066815982882485E-4</v>
      </c>
      <c r="Q82" s="21">
        <f t="shared" si="11"/>
        <v>8.1691513641036432E-4</v>
      </c>
      <c r="R82" s="21"/>
      <c r="S82" s="21">
        <f t="shared" si="12"/>
        <v>5.7729693952143107E-4</v>
      </c>
      <c r="T82" s="21">
        <f t="shared" si="13"/>
        <v>5.2226683812662275E-4</v>
      </c>
    </row>
    <row r="83" spans="1:20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M83" s="21">
        <f t="shared" si="9"/>
        <v>9.4600962269644393E-4</v>
      </c>
      <c r="N83" s="21">
        <f t="shared" si="8"/>
        <v>7.8022978291169773E-4</v>
      </c>
      <c r="O83" s="21"/>
      <c r="P83" s="21">
        <f t="shared" si="10"/>
        <v>8.5321547205823706E-4</v>
      </c>
      <c r="Q83" s="21">
        <f t="shared" si="11"/>
        <v>8.2730128630442755E-4</v>
      </c>
      <c r="R83" s="21"/>
      <c r="S83" s="21">
        <f t="shared" si="12"/>
        <v>5.0944371400657353E-4</v>
      </c>
      <c r="T83" s="21">
        <f t="shared" si="13"/>
        <v>4.6768441919854844E-4</v>
      </c>
    </row>
    <row r="84" spans="1:20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M84" s="21">
        <f t="shared" si="9"/>
        <v>3.912015827461579E-4</v>
      </c>
      <c r="N84" s="21">
        <f t="shared" si="8"/>
        <v>3.3583622794772027E-4</v>
      </c>
      <c r="O84" s="21"/>
      <c r="P84" s="21">
        <f t="shared" si="10"/>
        <v>7.6843777304719458E-4</v>
      </c>
      <c r="Q84" s="21">
        <f t="shared" si="11"/>
        <v>7.5056658859265339E-4</v>
      </c>
      <c r="R84" s="21"/>
      <c r="S84" s="21">
        <f t="shared" si="12"/>
        <v>4.4957738426243887E-4</v>
      </c>
      <c r="T84" s="21">
        <f t="shared" si="13"/>
        <v>4.1882744864689847E-4</v>
      </c>
    </row>
    <row r="85" spans="1:20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M85" s="21">
        <f t="shared" si="9"/>
        <v>2.9030443122349662E-3</v>
      </c>
      <c r="N85" s="21">
        <f t="shared" si="8"/>
        <v>3.4693368348008122E-3</v>
      </c>
      <c r="O85" s="21"/>
      <c r="P85" s="21">
        <f t="shared" si="10"/>
        <v>6.1740262684225309E-4</v>
      </c>
      <c r="Q85" s="21">
        <f t="shared" si="11"/>
        <v>5.984872351914609E-4</v>
      </c>
      <c r="R85" s="21"/>
      <c r="S85" s="21">
        <f t="shared" si="12"/>
        <v>3.9675940749169376E-4</v>
      </c>
      <c r="T85" s="21">
        <f t="shared" si="13"/>
        <v>3.7509783371624639E-4</v>
      </c>
    </row>
    <row r="86" spans="1:20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M86" s="21">
        <f t="shared" si="9"/>
        <v>2.5006098021522125E-4</v>
      </c>
      <c r="N86" s="21">
        <f t="shared" si="8"/>
        <v>2.0720798064172616E-4</v>
      </c>
      <c r="O86" s="21"/>
      <c r="P86" s="21">
        <f t="shared" si="10"/>
        <v>3.8325063192614679E-4</v>
      </c>
      <c r="Q86" s="21">
        <f t="shared" si="11"/>
        <v>3.5369136474571215E-4</v>
      </c>
      <c r="R86" s="21"/>
      <c r="S86" s="21">
        <f t="shared" si="12"/>
        <v>3.5016173677749268E-4</v>
      </c>
      <c r="T86" s="21">
        <f t="shared" si="13"/>
        <v>3.3596024561514314E-4</v>
      </c>
    </row>
    <row r="87" spans="1:20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M87" s="21">
        <f t="shared" si="9"/>
        <v>3.7072767313996792E-4</v>
      </c>
      <c r="N87" s="21">
        <f t="shared" si="8"/>
        <v>3.0209409837869564E-4</v>
      </c>
      <c r="O87" s="21"/>
      <c r="P87" s="21">
        <f t="shared" si="10"/>
        <v>2.6350436398312594E-4</v>
      </c>
      <c r="Q87" s="21">
        <f t="shared" si="11"/>
        <v>2.3455204230835597E-4</v>
      </c>
      <c r="R87" s="21"/>
      <c r="S87" s="21">
        <f t="shared" si="12"/>
        <v>3.0905383991152043E-4</v>
      </c>
      <c r="T87" s="21">
        <f t="shared" si="13"/>
        <v>3.0093556718276858E-4</v>
      </c>
    </row>
    <row r="88" spans="1:20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M88" s="21">
        <f t="shared" si="9"/>
        <v>2.6995989536908092E-4</v>
      </c>
      <c r="N88" s="21">
        <f t="shared" si="8"/>
        <v>2.1745148092780118E-4</v>
      </c>
      <c r="O88" s="21"/>
      <c r="P88" s="21">
        <f t="shared" si="10"/>
        <v>1.9222837764635602E-4</v>
      </c>
      <c r="Q88" s="21">
        <f t="shared" si="11"/>
        <v>1.658321192412427E-4</v>
      </c>
      <c r="R88" s="21"/>
      <c r="S88" s="21">
        <f t="shared" si="12"/>
        <v>2.7279124670155267E-4</v>
      </c>
      <c r="T88" s="21">
        <f t="shared" si="13"/>
        <v>2.6959502762105185E-4</v>
      </c>
    </row>
    <row r="89" spans="1:20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M89" s="21">
        <f t="shared" si="9"/>
        <v>2.4630298075891955E-4</v>
      </c>
      <c r="N89" s="21">
        <f t="shared" si="8"/>
        <v>1.8450188523003958E-4</v>
      </c>
      <c r="O89" s="21"/>
      <c r="P89" s="21">
        <f t="shared" si="10"/>
        <v>1.5956332605163102E-4</v>
      </c>
      <c r="Q89" s="21">
        <f t="shared" si="11"/>
        <v>1.3629040785207122E-4</v>
      </c>
      <c r="R89" s="21"/>
      <c r="S89" s="21">
        <f t="shared" si="12"/>
        <v>2.4080544539992454E-4</v>
      </c>
      <c r="T89" s="21">
        <f t="shared" si="13"/>
        <v>2.4155495370033824E-4</v>
      </c>
    </row>
    <row r="90" spans="1:20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M90" s="21">
        <f t="shared" si="9"/>
        <v>7.4843742177251819E-4</v>
      </c>
      <c r="N90" s="21">
        <f t="shared" si="8"/>
        <v>6.9118860247529331E-4</v>
      </c>
      <c r="O90" s="21"/>
      <c r="P90" s="21">
        <f t="shared" si="10"/>
        <v>1.5742899249322352E-4</v>
      </c>
      <c r="Q90" s="21">
        <f t="shared" si="11"/>
        <v>1.3733349620217975E-4</v>
      </c>
      <c r="R90" s="21"/>
      <c r="S90" s="21">
        <f t="shared" si="12"/>
        <v>2.1259497055381874E-4</v>
      </c>
      <c r="T90" s="21">
        <f t="shared" si="13"/>
        <v>2.1647207313126336E-4</v>
      </c>
    </row>
    <row r="91" spans="1:20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M91" s="21">
        <f t="shared" si="9"/>
        <v>1.9831147950549326E-4</v>
      </c>
      <c r="N91" s="21">
        <f t="shared" si="8"/>
        <v>1.4392415102137108E-4</v>
      </c>
      <c r="O91" s="21"/>
      <c r="P91" s="21">
        <f t="shared" si="10"/>
        <v>1.9873775382302832E-4</v>
      </c>
      <c r="Q91" s="21">
        <f t="shared" si="11"/>
        <v>1.8338852774824667E-4</v>
      </c>
      <c r="R91" s="21"/>
      <c r="S91" s="21">
        <f t="shared" si="12"/>
        <v>1.8771754178721335E-4</v>
      </c>
      <c r="T91" s="21">
        <f t="shared" si="13"/>
        <v>1.9403931251853394E-4</v>
      </c>
    </row>
    <row r="92" spans="1:20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M92" s="21">
        <f t="shared" si="9"/>
        <v>1.61593976620972E-4</v>
      </c>
      <c r="N92" s="21">
        <f t="shared" si="8"/>
        <v>1.2656765924071015E-4</v>
      </c>
      <c r="O92" s="21"/>
      <c r="P92" s="21">
        <f t="shared" si="10"/>
        <v>2.1342104460430391E-4</v>
      </c>
      <c r="Q92" s="21">
        <f t="shared" si="11"/>
        <v>2.0174489499096923E-4</v>
      </c>
      <c r="R92" s="21"/>
      <c r="S92" s="21">
        <f t="shared" si="12"/>
        <v>1.6578312949149925E-4</v>
      </c>
      <c r="T92" s="21">
        <f t="shared" si="13"/>
        <v>1.7398203918150913E-4</v>
      </c>
    </row>
    <row r="93" spans="1:20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M93" s="21">
        <f t="shared" si="9"/>
        <v>1.2964071348433044E-4</v>
      </c>
      <c r="N93" s="21">
        <f t="shared" si="8"/>
        <v>1.0584289850718122E-4</v>
      </c>
      <c r="O93" s="21"/>
      <c r="P93" s="21">
        <f t="shared" si="10"/>
        <v>2.1201296993297625E-4</v>
      </c>
      <c r="Q93" s="21">
        <f t="shared" si="11"/>
        <v>2.0274139377922154E-4</v>
      </c>
      <c r="R93" s="21"/>
      <c r="S93" s="21">
        <f t="shared" si="12"/>
        <v>1.4644784150082496E-4</v>
      </c>
      <c r="T93" s="21">
        <f t="shared" si="13"/>
        <v>1.5605469788031068E-4</v>
      </c>
    </row>
    <row r="94" spans="1:20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M94" s="21">
        <f t="shared" si="9"/>
        <v>7.6700152837632532E-5</v>
      </c>
      <c r="N94" s="21">
        <f t="shared" si="8"/>
        <v>7.2318715752753922E-5</v>
      </c>
      <c r="O94" s="21"/>
      <c r="P94" s="21">
        <f t="shared" si="10"/>
        <v>1.9335470580300748E-4</v>
      </c>
      <c r="Q94" s="21">
        <f t="shared" si="11"/>
        <v>1.8497718991804428E-4</v>
      </c>
      <c r="R94" s="21"/>
      <c r="S94" s="21">
        <f t="shared" si="12"/>
        <v>1.294085313557522E-4</v>
      </c>
      <c r="T94" s="21">
        <f t="shared" si="13"/>
        <v>1.4003780693227358E-4</v>
      </c>
    </row>
    <row r="95" spans="1:20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M95" s="21">
        <f t="shared" si="9"/>
        <v>5.0262729340131026E-4</v>
      </c>
      <c r="N95" s="21">
        <f t="shared" si="8"/>
        <v>6.4641043874893056E-4</v>
      </c>
      <c r="O95" s="21"/>
      <c r="P95" s="21">
        <f t="shared" si="10"/>
        <v>1.5971465845819263E-4</v>
      </c>
      <c r="Q95" s="21">
        <f t="shared" si="11"/>
        <v>1.5090520031539804E-4</v>
      </c>
      <c r="R95" s="21"/>
      <c r="S95" s="21">
        <f t="shared" si="12"/>
        <v>1.1439804596773843E-4</v>
      </c>
      <c r="T95" s="21">
        <f t="shared" si="13"/>
        <v>1.2573526987282176E-4</v>
      </c>
    </row>
    <row r="96" spans="1:20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M96" s="21">
        <f t="shared" si="9"/>
        <v>3.2035405201260173E-5</v>
      </c>
      <c r="N96" s="21">
        <f t="shared" si="8"/>
        <v>3.0294607229030342E-5</v>
      </c>
      <c r="O96" s="21"/>
      <c r="P96" s="21">
        <f t="shared" si="10"/>
        <v>1.071906676729271E-4</v>
      </c>
      <c r="Q96" s="21">
        <f t="shared" si="11"/>
        <v>9.6494020977557597E-5</v>
      </c>
      <c r="R96" s="21"/>
      <c r="S96" s="21">
        <f t="shared" si="12"/>
        <v>1.0118103806295743E-4</v>
      </c>
      <c r="T96" s="21">
        <f t="shared" si="13"/>
        <v>1.1297197649937501E-4</v>
      </c>
    </row>
    <row r="97" spans="1:20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M97" s="21">
        <f t="shared" si="9"/>
        <v>3.9859436856183334E-5</v>
      </c>
      <c r="N97" s="21">
        <f t="shared" si="8"/>
        <v>3.9567253522808103E-5</v>
      </c>
      <c r="O97" s="21"/>
      <c r="P97" s="21">
        <f t="shared" si="10"/>
        <v>7.8318336418196745E-5</v>
      </c>
      <c r="Q97" s="21">
        <f t="shared" si="11"/>
        <v>6.8178299520839131E-5</v>
      </c>
      <c r="R97" s="21"/>
      <c r="S97" s="21">
        <f t="shared" si="12"/>
        <v>8.9550276646670627E-5</v>
      </c>
      <c r="T97" s="21">
        <f t="shared" si="13"/>
        <v>1.0159165851386123E-4</v>
      </c>
    </row>
    <row r="98" spans="1:20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M98" s="21">
        <f t="shared" si="9"/>
        <v>3.4294311978272108E-5</v>
      </c>
      <c r="N98" s="21">
        <f t="shared" si="8"/>
        <v>3.0254980535467188E-5</v>
      </c>
      <c r="O98" s="21"/>
      <c r="P98" s="21">
        <f t="shared" si="10"/>
        <v>6.0143332565465363E-5</v>
      </c>
      <c r="Q98" s="21">
        <f t="shared" si="11"/>
        <v>5.1174634658705908E-5</v>
      </c>
      <c r="R98" s="21"/>
      <c r="S98" s="21">
        <f t="shared" si="12"/>
        <v>7.9323398223945884E-5</v>
      </c>
      <c r="T98" s="21">
        <f t="shared" si="13"/>
        <v>9.1454977256265517E-5</v>
      </c>
    </row>
    <row r="99" spans="1:20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M99" s="21">
        <f t="shared" si="9"/>
        <v>2.8564902971123654E-5</v>
      </c>
      <c r="N99" s="21">
        <f t="shared" si="8"/>
        <v>2.2626842024560269E-5</v>
      </c>
      <c r="O99" s="21"/>
      <c r="P99" s="21">
        <f t="shared" si="10"/>
        <v>5.089502879614769E-5</v>
      </c>
      <c r="Q99" s="21">
        <f t="shared" si="11"/>
        <v>4.3435094958639042E-5</v>
      </c>
      <c r="R99" s="21"/>
      <c r="S99" s="21">
        <f t="shared" si="12"/>
        <v>7.0340048336750801E-5</v>
      </c>
      <c r="T99" s="21">
        <f t="shared" si="13"/>
        <v>8.2437818244739133E-5</v>
      </c>
    </row>
    <row r="100" spans="1:20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M100" s="21">
        <f t="shared" si="9"/>
        <v>1.0768824671500535E-4</v>
      </c>
      <c r="N100" s="21">
        <f t="shared" si="8"/>
        <v>1.1382767726015652E-4</v>
      </c>
      <c r="O100" s="21"/>
      <c r="P100" s="21">
        <f t="shared" si="10"/>
        <v>4.8847240735615282E-5</v>
      </c>
      <c r="Q100" s="21">
        <f t="shared" si="11"/>
        <v>4.3166375393977262E-5</v>
      </c>
      <c r="R100" s="21"/>
      <c r="S100" s="21">
        <f t="shared" si="12"/>
        <v>6.2459367873092617E-5</v>
      </c>
      <c r="T100" s="21">
        <f t="shared" si="13"/>
        <v>7.4429771622382487E-5</v>
      </c>
    </row>
    <row r="101" spans="1:20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M101" s="21">
        <f t="shared" si="9"/>
        <v>4.4233501797124626E-5</v>
      </c>
      <c r="N101" s="21">
        <f t="shared" si="8"/>
        <v>3.6198984569940111E-5</v>
      </c>
      <c r="O101" s="21"/>
      <c r="P101" s="21">
        <f t="shared" si="10"/>
        <v>5.6811510029021785E-5</v>
      </c>
      <c r="Q101" s="21">
        <f t="shared" si="11"/>
        <v>5.3789332089144313E-5</v>
      </c>
      <c r="R101" s="21"/>
      <c r="S101" s="21">
        <f t="shared" si="12"/>
        <v>5.5557784686344192E-5</v>
      </c>
      <c r="T101" s="21">
        <f t="shared" si="13"/>
        <v>6.7332781410796161E-5</v>
      </c>
    </row>
    <row r="102" spans="1:20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M102" s="21">
        <f t="shared" si="9"/>
        <v>3.3637175461323181E-5</v>
      </c>
      <c r="N102" s="21">
        <f t="shared" si="8"/>
        <v>2.6153617751680869E-5</v>
      </c>
      <c r="O102" s="21"/>
      <c r="P102" s="21">
        <f t="shared" si="10"/>
        <v>5.7745101640413578E-5</v>
      </c>
      <c r="Q102" s="21">
        <f t="shared" si="11"/>
        <v>5.6881066181489847E-5</v>
      </c>
      <c r="R102" s="21"/>
      <c r="S102" s="21">
        <f t="shared" si="12"/>
        <v>4.9527076997009336E-5</v>
      </c>
      <c r="T102" s="21">
        <f t="shared" si="13"/>
        <v>6.1059944716656804E-5</v>
      </c>
    </row>
    <row r="103" spans="1:20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M103" s="21">
        <f t="shared" si="9"/>
        <v>3.2507722072817214E-5</v>
      </c>
      <c r="N103" s="21">
        <f t="shared" si="8"/>
        <v>2.8471779325125309E-5</v>
      </c>
      <c r="O103" s="21"/>
      <c r="P103" s="21">
        <f t="shared" si="10"/>
        <v>5.4464790562841217E-5</v>
      </c>
      <c r="Q103" s="21">
        <f t="shared" si="11"/>
        <v>5.5240901812102892E-5</v>
      </c>
      <c r="R103" s="21"/>
      <c r="S103" s="21">
        <f t="shared" si="12"/>
        <v>4.4272676829415843E-5</v>
      </c>
      <c r="T103" s="21">
        <f t="shared" si="13"/>
        <v>5.5534448468309093E-5</v>
      </c>
    </row>
    <row r="104" spans="1:20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M104" s="21">
        <f t="shared" si="9"/>
        <v>1.4723965082886888E-5</v>
      </c>
      <c r="N104" s="21">
        <f t="shared" si="8"/>
        <v>1.5593103917100641E-5</v>
      </c>
      <c r="O104" s="21"/>
      <c r="P104" s="21">
        <f t="shared" si="10"/>
        <v>4.6910919648908238E-5</v>
      </c>
      <c r="Q104" s="21">
        <f t="shared" si="11"/>
        <v>4.8678883394792298E-5</v>
      </c>
      <c r="R104" s="21"/>
      <c r="S104" s="21">
        <f t="shared" si="12"/>
        <v>3.971218707652671E-5</v>
      </c>
      <c r="T104" s="21">
        <f t="shared" si="13"/>
        <v>5.0688629505528427E-5</v>
      </c>
    </row>
    <row r="105" spans="1:20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M105" s="21">
        <f t="shared" si="9"/>
        <v>4.9285238771169496E-5</v>
      </c>
      <c r="N105" s="21">
        <f t="shared" si="8"/>
        <v>7.2021515551030273E-5</v>
      </c>
      <c r="O105" s="21"/>
      <c r="P105" s="21">
        <f t="shared" si="10"/>
        <v>3.5884812646480142E-5</v>
      </c>
      <c r="Q105" s="21">
        <f t="shared" si="11"/>
        <v>3.7997235605754486E-5</v>
      </c>
      <c r="R105" s="21"/>
      <c r="S105" s="21">
        <f t="shared" si="12"/>
        <v>3.5774090978411003E-5</v>
      </c>
      <c r="T105" s="21">
        <f t="shared" si="13"/>
        <v>4.6463145745598274E-5</v>
      </c>
    </row>
    <row r="106" spans="1:20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M106" s="21">
        <f t="shared" si="9"/>
        <v>5.5651248779112226E-6</v>
      </c>
      <c r="N106" s="21">
        <f t="shared" si="8"/>
        <v>5.8251239537834668E-6</v>
      </c>
      <c r="O106" s="21"/>
      <c r="P106" s="21">
        <f t="shared" si="10"/>
        <v>2.0361828653145502E-5</v>
      </c>
      <c r="Q106" s="21">
        <f t="shared" si="11"/>
        <v>2.2190834484118765E-5</v>
      </c>
      <c r="R106" s="21"/>
      <c r="S106" s="21">
        <f t="shared" si="12"/>
        <v>3.2396630426269232E-5</v>
      </c>
      <c r="T106" s="21">
        <f t="shared" si="13"/>
        <v>4.2806250679591034E-5</v>
      </c>
    </row>
    <row r="107" spans="1:20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M107" s="21">
        <f t="shared" si="9"/>
        <v>7.2285016864381929E-6</v>
      </c>
      <c r="N107" s="21">
        <f t="shared" si="8"/>
        <v>8.1234721804463301E-6</v>
      </c>
      <c r="O107" s="21"/>
      <c r="P107" s="21">
        <f t="shared" si="10"/>
        <v>1.2522821781790928E-5</v>
      </c>
      <c r="Q107" s="21">
        <f t="shared" si="11"/>
        <v>1.3994176109385669E-5</v>
      </c>
      <c r="R107" s="21"/>
      <c r="S107" s="21">
        <f t="shared" si="12"/>
        <v>2.9526838108374729E-5</v>
      </c>
      <c r="T107" s="21">
        <f t="shared" si="13"/>
        <v>3.9673160091220578E-5</v>
      </c>
    </row>
    <row r="108" spans="1:20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M108" s="21">
        <f t="shared" si="9"/>
        <v>5.2365566194367592E-6</v>
      </c>
      <c r="N108" s="21">
        <f t="shared" si="8"/>
        <v>4.9929633889572574E-6</v>
      </c>
      <c r="O108" s="21"/>
      <c r="P108" s="21">
        <f t="shared" si="10"/>
        <v>7.6040217659010699E-6</v>
      </c>
      <c r="Q108" s="21">
        <f t="shared" si="11"/>
        <v>8.7234910207190874E-6</v>
      </c>
      <c r="R108" s="21"/>
      <c r="S108" s="21">
        <f t="shared" si="12"/>
        <v>2.711970688241037E-5</v>
      </c>
      <c r="T108" s="21">
        <f t="shared" si="13"/>
        <v>3.7025502959849393E-5</v>
      </c>
    </row>
    <row r="109" spans="1:20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M109" s="21">
        <f t="shared" si="9"/>
        <v>3.0597919070434395E-6</v>
      </c>
      <c r="N109" s="21">
        <f t="shared" si="8"/>
        <v>3.2692022189601086E-6</v>
      </c>
      <c r="O109" s="21"/>
      <c r="P109" s="21">
        <f t="shared" si="10"/>
        <v>4.6340634706301621E-6</v>
      </c>
      <c r="Q109" s="21">
        <f t="shared" si="11"/>
        <v>5.4600546908022912E-6</v>
      </c>
      <c r="R109" s="21"/>
      <c r="S109" s="21">
        <f t="shared" si="12"/>
        <v>2.5137484654325004E-5</v>
      </c>
      <c r="T109" s="21">
        <f t="shared" si="13"/>
        <v>3.4830852455364636E-5</v>
      </c>
    </row>
    <row r="110" spans="1:20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M110" s="21">
        <f t="shared" si="9"/>
        <v>6.5302941371799583E-6</v>
      </c>
      <c r="N110" s="21">
        <f t="shared" si="8"/>
        <v>7.6281385109069207E-6</v>
      </c>
      <c r="O110" s="21"/>
      <c r="P110" s="21">
        <f t="shared" si="10"/>
        <v>2.8431465226212063E-6</v>
      </c>
      <c r="Q110" s="21">
        <f t="shared" si="11"/>
        <v>3.4438543964819939E-6</v>
      </c>
      <c r="R110" s="21"/>
      <c r="S110" s="21">
        <f t="shared" si="12"/>
        <v>2.3549097879119426E-5</v>
      </c>
      <c r="T110" s="21">
        <f t="shared" si="13"/>
        <v>3.3062346671024335E-5</v>
      </c>
    </row>
    <row r="111" spans="1:20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M111" s="21">
        <f t="shared" si="9"/>
        <v>2.3615843577852053E-6</v>
      </c>
      <c r="N111" s="21">
        <f t="shared" si="8"/>
        <v>2.179468145973406E-6</v>
      </c>
      <c r="O111" s="21"/>
      <c r="P111" s="21">
        <f t="shared" si="10"/>
        <v>1.7748735750892198E-6</v>
      </c>
      <c r="Q111" s="21">
        <f t="shared" si="11"/>
        <v>2.2135581298836679E-6</v>
      </c>
      <c r="R111" s="21"/>
      <c r="S111" s="21">
        <f t="shared" si="12"/>
        <v>2.2329467209103144E-5</v>
      </c>
      <c r="T111" s="21">
        <f t="shared" si="13"/>
        <v>3.1698137334168777E-5</v>
      </c>
    </row>
    <row r="112" spans="1:20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M112" s="21">
        <f t="shared" si="9"/>
        <v>1.8687319700735101E-6</v>
      </c>
      <c r="N112" s="21">
        <f t="shared" si="8"/>
        <v>1.6048810893076898E-6</v>
      </c>
      <c r="O112" s="21"/>
      <c r="P112" s="21">
        <f t="shared" si="10"/>
        <v>1.158660364619053E-6</v>
      </c>
      <c r="Q112" s="21">
        <f t="shared" si="11"/>
        <v>1.4894897218331827E-6</v>
      </c>
      <c r="R112" s="21"/>
      <c r="S112" s="21">
        <f t="shared" si="12"/>
        <v>2.1460632453631863E-5</v>
      </c>
      <c r="T112" s="21">
        <f t="shared" si="13"/>
        <v>3.0722829267568299E-5</v>
      </c>
    </row>
    <row r="113" spans="1:20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M113" s="21">
        <f t="shared" si="9"/>
        <v>1.2526664854338915E-6</v>
      </c>
      <c r="N113" s="21">
        <f t="shared" si="8"/>
        <v>1.1293607665498558E-6</v>
      </c>
      <c r="O113" s="21"/>
      <c r="P113" s="21">
        <f t="shared" si="10"/>
        <v>8.3528061325853039E-7</v>
      </c>
      <c r="Q113" s="21">
        <f t="shared" si="11"/>
        <v>1.1034032872312676E-6</v>
      </c>
      <c r="R113" s="21"/>
      <c r="S113" s="21">
        <f t="shared" si="12"/>
        <v>2.0925916822653217E-5</v>
      </c>
      <c r="T113" s="21">
        <f t="shared" si="13"/>
        <v>3.0121062663030321E-5</v>
      </c>
    </row>
    <row r="114" spans="1:20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M114" s="21">
        <f t="shared" si="9"/>
        <v>1.5812347439083547E-6</v>
      </c>
      <c r="N114" s="21">
        <f t="shared" si="8"/>
        <v>1.1888008068945851E-6</v>
      </c>
      <c r="O114" s="21"/>
      <c r="P114" s="21">
        <f t="shared" si="10"/>
        <v>6.9410716129834087E-7</v>
      </c>
      <c r="Q114" s="21">
        <f t="shared" si="11"/>
        <v>9.3299868626392816E-7</v>
      </c>
      <c r="R114" s="21"/>
      <c r="S114" s="21">
        <f t="shared" si="12"/>
        <v>2.0666522143630682E-5</v>
      </c>
      <c r="T114" s="21">
        <f t="shared" si="13"/>
        <v>2.9828672679633881E-5</v>
      </c>
    </row>
    <row r="115" spans="1:20">
      <c r="A115" s="10"/>
      <c r="F115" s="4"/>
      <c r="G115" s="4"/>
      <c r="I115" s="4"/>
      <c r="J115" s="4"/>
    </row>
    <row r="116" spans="1:20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M116" s="18">
        <f>SUM(M5:M114)</f>
        <v>1</v>
      </c>
      <c r="N116" s="18">
        <f>SUM(N5:N114)</f>
        <v>1.0000000000000002</v>
      </c>
      <c r="O116" s="18"/>
      <c r="P116" s="18">
        <f>SUM(P5:P114)</f>
        <v>1</v>
      </c>
      <c r="Q116" s="18">
        <f>SUM(Q5:Q114)</f>
        <v>0.99999999999999989</v>
      </c>
      <c r="R116" s="18"/>
      <c r="S116" s="18">
        <f>SUM(S5:S114)</f>
        <v>0.99999999999999967</v>
      </c>
      <c r="T116" s="18">
        <f>SUM(T5:T114)</f>
        <v>0.99999999999999978</v>
      </c>
    </row>
    <row r="117" spans="1:20">
      <c r="C117" s="4"/>
      <c r="D117" s="4"/>
    </row>
    <row r="119" spans="1:20">
      <c r="C119" s="4"/>
      <c r="D119" s="4"/>
      <c r="F119" s="4"/>
      <c r="G119" s="4"/>
      <c r="I119" s="4"/>
      <c r="J119" s="4"/>
    </row>
  </sheetData>
  <mergeCells count="8">
    <mergeCell ref="M1:T1"/>
    <mergeCell ref="M2:N2"/>
    <mergeCell ref="P2:Q2"/>
    <mergeCell ref="S2:T2"/>
    <mergeCell ref="C2:D2"/>
    <mergeCell ref="F2:G2"/>
    <mergeCell ref="I2:J2"/>
    <mergeCell ref="C1:J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2026-04-23T03:26:50Z</dcterms:created>
  <dcterms:modified xsi:type="dcterms:W3CDTF">2026-04-23T19:24:42Z</dcterms:modified>
</cp:coreProperties>
</file>