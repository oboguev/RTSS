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workbooks\"/>
    </mc:Choice>
  </mc:AlternateContent>
  <xr:revisionPtr revIDLastSave="0" documentId="13_ncr:1_{2476FA60-DDBB-4F35-9C4A-5BBF0A685EE4}" xr6:coauthVersionLast="45" xr6:coauthVersionMax="47" xr10:uidLastSave="{00000000-0000-0000-0000-000000000000}"/>
  <bookViews>
    <workbookView xWindow="-60" yWindow="-60" windowWidth="38520" windowHeight="23700" activeTab="10" xr2:uid="{ADE3E715-68A0-475F-BFDD-EA0E2833FCCA}"/>
  </bookViews>
  <sheets>
    <sheet name="Notes" sheetId="1" r:id="rId1"/>
    <sheet name="MX-1895-raw" sheetId="6" r:id="rId2"/>
    <sheet name="MX-1895-dis" sheetId="8" r:id="rId3"/>
    <sheet name="MX-1895-corr" sheetId="11" r:id="rId4"/>
    <sheet name="MX-1900-raw" sheetId="2" r:id="rId5"/>
    <sheet name="MX-1900-dis" sheetId="9" r:id="rId6"/>
    <sheet name="RU-1897-raw" sheetId="4" r:id="rId7"/>
    <sheet name="RU-1897" sheetId="7" r:id="rId8"/>
    <sheet name="RU-vs-MX" sheetId="10" r:id="rId9"/>
    <sheet name="RU-vs-MX v2" sheetId="15" r:id="rId10"/>
    <sheet name="MX-Teran" sheetId="16" r:id="rId11"/>
    <sheet name="MX-Teran-vs-RU" sheetId="17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5" l="1"/>
  <c r="N26" i="17"/>
  <c r="M26" i="17"/>
  <c r="N25" i="17"/>
  <c r="M25" i="17"/>
  <c r="N24" i="17"/>
  <c r="M24" i="17"/>
  <c r="N23" i="17"/>
  <c r="M23" i="17"/>
  <c r="E35" i="17" s="1"/>
  <c r="N22" i="17"/>
  <c r="L34" i="17" s="1"/>
  <c r="M22" i="17"/>
  <c r="E34" i="17" s="1"/>
  <c r="N21" i="17"/>
  <c r="L33" i="17" s="1"/>
  <c r="M21" i="17"/>
  <c r="E33" i="17" s="1"/>
  <c r="N20" i="17"/>
  <c r="M20" i="17"/>
  <c r="N19" i="17"/>
  <c r="M19" i="17"/>
  <c r="N18" i="17"/>
  <c r="L30" i="17" s="1"/>
  <c r="M18" i="17"/>
  <c r="E30" i="17" s="1"/>
  <c r="K26" i="17"/>
  <c r="J26" i="17"/>
  <c r="K25" i="17"/>
  <c r="J25" i="17"/>
  <c r="K24" i="17"/>
  <c r="K36" i="17" s="1"/>
  <c r="J24" i="17"/>
  <c r="D36" i="17" s="1"/>
  <c r="K23" i="17"/>
  <c r="J23" i="17"/>
  <c r="K22" i="17"/>
  <c r="J22" i="17"/>
  <c r="D34" i="17" s="1"/>
  <c r="K21" i="17"/>
  <c r="J21" i="17"/>
  <c r="D33" i="17" s="1"/>
  <c r="K20" i="17"/>
  <c r="J20" i="17"/>
  <c r="K19" i="17"/>
  <c r="J19" i="17"/>
  <c r="K18" i="17"/>
  <c r="J18" i="17"/>
  <c r="H26" i="17"/>
  <c r="J38" i="17" s="1"/>
  <c r="G26" i="17"/>
  <c r="H25" i="17"/>
  <c r="G25" i="17"/>
  <c r="H24" i="17"/>
  <c r="G24" i="17"/>
  <c r="H23" i="17"/>
  <c r="G23" i="17"/>
  <c r="C35" i="17" s="1"/>
  <c r="H22" i="17"/>
  <c r="J34" i="17" s="1"/>
  <c r="G22" i="17"/>
  <c r="H21" i="17"/>
  <c r="J33" i="17" s="1"/>
  <c r="G21" i="17"/>
  <c r="C33" i="17" s="1"/>
  <c r="H20" i="17"/>
  <c r="G20" i="17"/>
  <c r="C32" i="17" s="1"/>
  <c r="H19" i="17"/>
  <c r="G19" i="17"/>
  <c r="H18" i="17"/>
  <c r="G18" i="17"/>
  <c r="E26" i="17"/>
  <c r="D26" i="17"/>
  <c r="E25" i="17"/>
  <c r="I37" i="17" s="1"/>
  <c r="D25" i="17"/>
  <c r="B37" i="17" s="1"/>
  <c r="E24" i="17"/>
  <c r="D24" i="17"/>
  <c r="B36" i="17" s="1"/>
  <c r="E23" i="17"/>
  <c r="D23" i="17"/>
  <c r="E22" i="17"/>
  <c r="I34" i="17" s="1"/>
  <c r="D22" i="17"/>
  <c r="B34" i="17" s="1"/>
  <c r="E21" i="17"/>
  <c r="I33" i="17" s="1"/>
  <c r="D21" i="17"/>
  <c r="B33" i="17" s="1"/>
  <c r="E20" i="17"/>
  <c r="D20" i="17"/>
  <c r="E19" i="17"/>
  <c r="I31" i="17" s="1"/>
  <c r="D19" i="17"/>
  <c r="B31" i="17" s="1"/>
  <c r="E18" i="17"/>
  <c r="I30" i="17" s="1"/>
  <c r="D18" i="17"/>
  <c r="L38" i="17"/>
  <c r="K38" i="17"/>
  <c r="I38" i="17"/>
  <c r="L37" i="17"/>
  <c r="K37" i="17"/>
  <c r="J37" i="17"/>
  <c r="L36" i="17"/>
  <c r="J36" i="17"/>
  <c r="I36" i="17"/>
  <c r="L35" i="17"/>
  <c r="K35" i="17"/>
  <c r="J35" i="17"/>
  <c r="I35" i="17"/>
  <c r="K34" i="17"/>
  <c r="K33" i="17"/>
  <c r="L32" i="17"/>
  <c r="K32" i="17"/>
  <c r="J32" i="17"/>
  <c r="I32" i="17"/>
  <c r="L31" i="17"/>
  <c r="K31" i="17"/>
  <c r="J31" i="17"/>
  <c r="K30" i="17"/>
  <c r="J30" i="17"/>
  <c r="E38" i="17"/>
  <c r="D38" i="17"/>
  <c r="C38" i="17"/>
  <c r="B38" i="17"/>
  <c r="E37" i="17"/>
  <c r="D37" i="17"/>
  <c r="C37" i="17"/>
  <c r="E36" i="17"/>
  <c r="C36" i="17"/>
  <c r="D35" i="17"/>
  <c r="B35" i="17"/>
  <c r="C34" i="17"/>
  <c r="E32" i="17"/>
  <c r="D32" i="17"/>
  <c r="B32" i="17"/>
  <c r="E31" i="17"/>
  <c r="D31" i="17"/>
  <c r="C31" i="17"/>
  <c r="D30" i="17"/>
  <c r="C30" i="17"/>
  <c r="B30" i="17"/>
  <c r="M45" i="16"/>
  <c r="M44" i="16"/>
  <c r="M43" i="16"/>
  <c r="M42" i="16"/>
  <c r="M41" i="16"/>
  <c r="M40" i="16"/>
  <c r="M39" i="16"/>
  <c r="M38" i="16"/>
  <c r="M37" i="16"/>
  <c r="L45" i="16"/>
  <c r="L44" i="16"/>
  <c r="L43" i="16"/>
  <c r="L42" i="16"/>
  <c r="L41" i="16"/>
  <c r="L40" i="16"/>
  <c r="L39" i="16"/>
  <c r="L38" i="16"/>
  <c r="L37" i="16"/>
  <c r="I49" i="16"/>
  <c r="H49" i="16"/>
  <c r="I48" i="16"/>
  <c r="H48" i="16"/>
  <c r="I47" i="16"/>
  <c r="I45" i="16"/>
  <c r="I44" i="16"/>
  <c r="I43" i="16"/>
  <c r="I42" i="16"/>
  <c r="I41" i="16"/>
  <c r="I40" i="16"/>
  <c r="I39" i="16"/>
  <c r="I38" i="16"/>
  <c r="I37" i="16"/>
  <c r="H47" i="16"/>
  <c r="H45" i="16"/>
  <c r="H44" i="16"/>
  <c r="H38" i="16"/>
  <c r="H39" i="16"/>
  <c r="H40" i="16"/>
  <c r="H41" i="16"/>
  <c r="H42" i="16"/>
  <c r="H43" i="16"/>
  <c r="E148" i="16"/>
  <c r="D148" i="16"/>
  <c r="H37" i="16"/>
  <c r="T29" i="16"/>
  <c r="T28" i="16"/>
  <c r="T31" i="16" s="1"/>
  <c r="T27" i="16"/>
  <c r="T26" i="16"/>
  <c r="T25" i="16"/>
  <c r="T24" i="16"/>
  <c r="T23" i="16"/>
  <c r="T22" i="16"/>
  <c r="T21" i="16"/>
  <c r="Q31" i="16"/>
  <c r="Q29" i="16"/>
  <c r="Q28" i="16"/>
  <c r="Q27" i="16"/>
  <c r="Q26" i="16"/>
  <c r="Q25" i="16"/>
  <c r="Q24" i="16"/>
  <c r="Q23" i="16"/>
  <c r="Q22" i="16"/>
  <c r="Q21" i="16"/>
  <c r="N29" i="16"/>
  <c r="N28" i="16"/>
  <c r="N27" i="16"/>
  <c r="N26" i="16"/>
  <c r="N25" i="16"/>
  <c r="N24" i="16"/>
  <c r="N23" i="16"/>
  <c r="N22" i="16"/>
  <c r="N31" i="16" s="1"/>
  <c r="N21" i="16"/>
  <c r="J31" i="16"/>
  <c r="G31" i="16"/>
  <c r="D31" i="16"/>
  <c r="K30" i="16"/>
  <c r="J30" i="16"/>
  <c r="H30" i="16"/>
  <c r="G30" i="16"/>
  <c r="E30" i="16"/>
  <c r="D30" i="16"/>
  <c r="B22" i="16"/>
  <c r="B23" i="16" s="1"/>
  <c r="B24" i="16" s="1"/>
  <c r="B25" i="16" s="1"/>
  <c r="B26" i="16" s="1"/>
  <c r="B27" i="16" s="1"/>
  <c r="B28" i="16" s="1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G23" i="16"/>
  <c r="H22" i="16"/>
  <c r="G22" i="16"/>
  <c r="H21" i="16"/>
  <c r="G21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K16" i="16"/>
  <c r="H16" i="16"/>
  <c r="E16" i="16"/>
  <c r="J16" i="16"/>
  <c r="G16" i="16"/>
  <c r="D16" i="16"/>
  <c r="K15" i="16"/>
  <c r="J15" i="16"/>
  <c r="H15" i="16"/>
  <c r="G15" i="16"/>
  <c r="E15" i="16"/>
  <c r="D15" i="16"/>
  <c r="J116" i="15" l="1"/>
  <c r="I116" i="15"/>
  <c r="G116" i="15"/>
  <c r="F116" i="15"/>
  <c r="D116" i="15"/>
  <c r="C116" i="15"/>
  <c r="U18" i="15"/>
  <c r="S18" i="15"/>
  <c r="Y16" i="15"/>
  <c r="X16" i="15"/>
  <c r="V16" i="15"/>
  <c r="U16" i="15"/>
  <c r="S16" i="15"/>
  <c r="AB16" i="15" s="1"/>
  <c r="R16" i="15"/>
  <c r="Y15" i="15"/>
  <c r="X15" i="15"/>
  <c r="V15" i="15"/>
  <c r="U15" i="15"/>
  <c r="S15" i="15"/>
  <c r="R15" i="15"/>
  <c r="Y14" i="15"/>
  <c r="X14" i="15"/>
  <c r="V14" i="15"/>
  <c r="U14" i="15"/>
  <c r="S14" i="15"/>
  <c r="R14" i="15"/>
  <c r="Y13" i="15"/>
  <c r="X13" i="15"/>
  <c r="V13" i="15"/>
  <c r="U13" i="15"/>
  <c r="S13" i="15"/>
  <c r="R13" i="15"/>
  <c r="AA13" i="15" s="1"/>
  <c r="Y12" i="15"/>
  <c r="X12" i="15"/>
  <c r="V12" i="15"/>
  <c r="U12" i="15"/>
  <c r="S12" i="15"/>
  <c r="R12" i="15"/>
  <c r="Y11" i="15"/>
  <c r="X11" i="15"/>
  <c r="V11" i="15"/>
  <c r="U11" i="15"/>
  <c r="S11" i="15"/>
  <c r="AB11" i="15" s="1"/>
  <c r="R11" i="15"/>
  <c r="Y10" i="15"/>
  <c r="X10" i="15"/>
  <c r="V10" i="15"/>
  <c r="U10" i="15"/>
  <c r="S10" i="15"/>
  <c r="R10" i="15"/>
  <c r="Y9" i="15"/>
  <c r="X9" i="15"/>
  <c r="V9" i="15"/>
  <c r="U9" i="15"/>
  <c r="S9" i="15"/>
  <c r="R9" i="15"/>
  <c r="N9" i="15"/>
  <c r="N10" i="15" s="1"/>
  <c r="Y8" i="15"/>
  <c r="X8" i="15"/>
  <c r="V8" i="15"/>
  <c r="U8" i="15"/>
  <c r="S8" i="15"/>
  <c r="AB8" i="15" s="1"/>
  <c r="R8" i="15"/>
  <c r="N8" i="15"/>
  <c r="P8" i="15" s="1"/>
  <c r="M8" i="15"/>
  <c r="M9" i="15" s="1"/>
  <c r="Y7" i="15"/>
  <c r="X7" i="15"/>
  <c r="V7" i="15"/>
  <c r="U7" i="15"/>
  <c r="S7" i="15"/>
  <c r="R7" i="15"/>
  <c r="O7" i="15"/>
  <c r="N7" i="15"/>
  <c r="P7" i="15" s="1"/>
  <c r="M7" i="15"/>
  <c r="AS6" i="15"/>
  <c r="Y6" i="15"/>
  <c r="X6" i="15"/>
  <c r="V6" i="15"/>
  <c r="U6" i="15"/>
  <c r="S6" i="15"/>
  <c r="R6" i="15"/>
  <c r="P6" i="15"/>
  <c r="O6" i="15"/>
  <c r="AS5" i="15"/>
  <c r="Y5" i="15"/>
  <c r="X5" i="15"/>
  <c r="V5" i="15"/>
  <c r="S5" i="15"/>
  <c r="R5" i="15"/>
  <c r="R18" i="15" s="1"/>
  <c r="P5" i="15"/>
  <c r="O5" i="15"/>
  <c r="AQ16" i="10"/>
  <c r="AQ15" i="10"/>
  <c r="AQ14" i="10"/>
  <c r="AQ13" i="10"/>
  <c r="AQ12" i="10"/>
  <c r="AQ11" i="10"/>
  <c r="AQ10" i="10"/>
  <c r="AQ9" i="10"/>
  <c r="AQ8" i="10"/>
  <c r="AQ7" i="10"/>
  <c r="AQ6" i="10"/>
  <c r="AQ5" i="10"/>
  <c r="AP16" i="10"/>
  <c r="AP15" i="10"/>
  <c r="AP14" i="10"/>
  <c r="AP13" i="10"/>
  <c r="AP12" i="10"/>
  <c r="AP11" i="10"/>
  <c r="AP10" i="10"/>
  <c r="AP9" i="10"/>
  <c r="AP8" i="10"/>
  <c r="AP7" i="10"/>
  <c r="AP6" i="10"/>
  <c r="AP5" i="10"/>
  <c r="AN16" i="10"/>
  <c r="AN15" i="10"/>
  <c r="AN14" i="10"/>
  <c r="AN13" i="10"/>
  <c r="AN12" i="10"/>
  <c r="AN11" i="10"/>
  <c r="AN10" i="10"/>
  <c r="AN9" i="10"/>
  <c r="AN8" i="10"/>
  <c r="AN7" i="10"/>
  <c r="AN6" i="10"/>
  <c r="AN5" i="10"/>
  <c r="AM16" i="10"/>
  <c r="AM15" i="10"/>
  <c r="AM14" i="10"/>
  <c r="AM13" i="10"/>
  <c r="AM12" i="10"/>
  <c r="AM11" i="10"/>
  <c r="AM10" i="10"/>
  <c r="AM9" i="10"/>
  <c r="AM8" i="10"/>
  <c r="AM7" i="10"/>
  <c r="AM6" i="10"/>
  <c r="AM5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E19" i="10"/>
  <c r="AB19" i="10"/>
  <c r="AE16" i="10"/>
  <c r="AE15" i="10"/>
  <c r="AE14" i="10"/>
  <c r="AE13" i="10"/>
  <c r="AE12" i="10"/>
  <c r="AE11" i="10"/>
  <c r="AE10" i="10"/>
  <c r="AE9" i="10"/>
  <c r="AE8" i="10"/>
  <c r="AE7" i="10"/>
  <c r="AE6" i="10"/>
  <c r="AE5" i="10"/>
  <c r="AD16" i="10"/>
  <c r="AD15" i="10"/>
  <c r="AD14" i="10"/>
  <c r="AD13" i="10"/>
  <c r="AD12" i="10"/>
  <c r="AD11" i="10"/>
  <c r="AD10" i="10"/>
  <c r="AD9" i="10"/>
  <c r="AD8" i="10"/>
  <c r="AD7" i="10"/>
  <c r="AD6" i="10"/>
  <c r="AD5" i="10"/>
  <c r="AB16" i="10"/>
  <c r="AB15" i="10"/>
  <c r="AB14" i="10"/>
  <c r="AB13" i="10"/>
  <c r="AB12" i="10"/>
  <c r="AB11" i="10"/>
  <c r="AB10" i="10"/>
  <c r="AB9" i="10"/>
  <c r="AB8" i="10"/>
  <c r="AB7" i="10"/>
  <c r="AB6" i="10"/>
  <c r="AB5" i="10"/>
  <c r="AA16" i="10"/>
  <c r="AA15" i="10"/>
  <c r="AA14" i="10"/>
  <c r="AA13" i="10"/>
  <c r="AA12" i="10"/>
  <c r="AA11" i="10"/>
  <c r="AA10" i="10"/>
  <c r="AA9" i="10"/>
  <c r="AA8" i="10"/>
  <c r="AA7" i="10"/>
  <c r="AA6" i="10"/>
  <c r="AA5" i="10"/>
  <c r="AD6" i="15" l="1"/>
  <c r="AM6" i="15" s="1"/>
  <c r="AX5" i="15" s="1"/>
  <c r="AK8" i="15"/>
  <c r="AV7" i="15" s="1"/>
  <c r="AE8" i="15"/>
  <c r="AN8" i="15" s="1"/>
  <c r="AY7" i="15" s="1"/>
  <c r="AA7" i="15"/>
  <c r="AJ7" i="15" s="1"/>
  <c r="AU6" i="15" s="1"/>
  <c r="AH14" i="15"/>
  <c r="AB13" i="15"/>
  <c r="AA9" i="15"/>
  <c r="AA6" i="15"/>
  <c r="AJ6" i="15" s="1"/>
  <c r="AU5" i="15" s="1"/>
  <c r="AA8" i="15"/>
  <c r="AJ8" i="15" s="1"/>
  <c r="AU7" i="15" s="1"/>
  <c r="AA14" i="15"/>
  <c r="AB9" i="15"/>
  <c r="AB12" i="15"/>
  <c r="AA16" i="15"/>
  <c r="AA11" i="15"/>
  <c r="AB7" i="15"/>
  <c r="AK7" i="15" s="1"/>
  <c r="AV6" i="15" s="1"/>
  <c r="AB6" i="15"/>
  <c r="AK6" i="15" s="1"/>
  <c r="AV5" i="15" s="1"/>
  <c r="AA12" i="15"/>
  <c r="P10" i="15"/>
  <c r="N11" i="15"/>
  <c r="AG5" i="15"/>
  <c r="AA15" i="15"/>
  <c r="AB5" i="15"/>
  <c r="AB14" i="15"/>
  <c r="AB15" i="15"/>
  <c r="AE14" i="15"/>
  <c r="AH7" i="15"/>
  <c r="AQ7" i="15" s="1"/>
  <c r="BB6" i="15" s="1"/>
  <c r="AA10" i="15"/>
  <c r="AJ10" i="15" s="1"/>
  <c r="AU9" i="15" s="1"/>
  <c r="AG12" i="15"/>
  <c r="M10" i="15"/>
  <c r="O9" i="15"/>
  <c r="AS8" i="15" s="1"/>
  <c r="AB10" i="15"/>
  <c r="Y18" i="15"/>
  <c r="P9" i="15"/>
  <c r="V18" i="15"/>
  <c r="AE9" i="15" s="1"/>
  <c r="AN9" i="15" s="1"/>
  <c r="AY8" i="15" s="1"/>
  <c r="X18" i="15"/>
  <c r="AH11" i="15" s="1"/>
  <c r="O8" i="15"/>
  <c r="AS7" i="15" s="1"/>
  <c r="AA5" i="15"/>
  <c r="AE7" i="15"/>
  <c r="AN7" i="15" s="1"/>
  <c r="AY6" i="15" s="1"/>
  <c r="AD12" i="15"/>
  <c r="AE10" i="15"/>
  <c r="AN10" i="15" s="1"/>
  <c r="AY9" i="15" s="1"/>
  <c r="AE5" i="15"/>
  <c r="AS5" i="10"/>
  <c r="P6" i="10"/>
  <c r="P5" i="10"/>
  <c r="O6" i="10"/>
  <c r="O5" i="10"/>
  <c r="Y16" i="10"/>
  <c r="X16" i="10"/>
  <c r="Y15" i="10"/>
  <c r="X15" i="10"/>
  <c r="Y14" i="10"/>
  <c r="X14" i="10"/>
  <c r="Y13" i="10"/>
  <c r="X13" i="10"/>
  <c r="Y12" i="10"/>
  <c r="X12" i="10"/>
  <c r="Y11" i="10"/>
  <c r="X11" i="10"/>
  <c r="Y10" i="10"/>
  <c r="X10" i="10"/>
  <c r="Y9" i="10"/>
  <c r="X9" i="10"/>
  <c r="Y8" i="10"/>
  <c r="X8" i="10"/>
  <c r="Y7" i="10"/>
  <c r="X7" i="10"/>
  <c r="Y6" i="10"/>
  <c r="X6" i="10"/>
  <c r="Y5" i="10"/>
  <c r="X5" i="10"/>
  <c r="V16" i="10"/>
  <c r="U16" i="10"/>
  <c r="V15" i="10"/>
  <c r="U15" i="10"/>
  <c r="V14" i="10"/>
  <c r="U14" i="10"/>
  <c r="V13" i="10"/>
  <c r="U13" i="10"/>
  <c r="V12" i="10"/>
  <c r="U12" i="10"/>
  <c r="V11" i="10"/>
  <c r="U11" i="10"/>
  <c r="V10" i="10"/>
  <c r="U10" i="10"/>
  <c r="V9" i="10"/>
  <c r="U9" i="10"/>
  <c r="V8" i="10"/>
  <c r="U8" i="10"/>
  <c r="V7" i="10"/>
  <c r="U7" i="10"/>
  <c r="V6" i="10"/>
  <c r="U6" i="10"/>
  <c r="V5" i="10"/>
  <c r="U5" i="10"/>
  <c r="S16" i="10"/>
  <c r="S15" i="10"/>
  <c r="S14" i="10"/>
  <c r="S13" i="10"/>
  <c r="S12" i="10"/>
  <c r="S11" i="10"/>
  <c r="S10" i="10"/>
  <c r="S9" i="10"/>
  <c r="S8" i="10"/>
  <c r="S7" i="10"/>
  <c r="S6" i="10"/>
  <c r="R16" i="10"/>
  <c r="R15" i="10"/>
  <c r="R14" i="10"/>
  <c r="R13" i="10"/>
  <c r="R12" i="10"/>
  <c r="R11" i="10"/>
  <c r="R10" i="10"/>
  <c r="R9" i="10"/>
  <c r="R8" i="10"/>
  <c r="R7" i="10"/>
  <c r="R6" i="10"/>
  <c r="S5" i="10"/>
  <c r="R5" i="10"/>
  <c r="N7" i="10"/>
  <c r="N8" i="10" s="1"/>
  <c r="N9" i="10" s="1"/>
  <c r="N10" i="10" s="1"/>
  <c r="N11" i="10" s="1"/>
  <c r="N12" i="10" s="1"/>
  <c r="N13" i="10" s="1"/>
  <c r="N14" i="10" s="1"/>
  <c r="N15" i="10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P16" i="10" s="1"/>
  <c r="I4" i="2"/>
  <c r="H4" i="2"/>
  <c r="I11" i="2"/>
  <c r="I10" i="2"/>
  <c r="I9" i="2"/>
  <c r="I8" i="2"/>
  <c r="I7" i="2"/>
  <c r="I6" i="2"/>
  <c r="I5" i="2"/>
  <c r="L5" i="2" s="1"/>
  <c r="H11" i="2"/>
  <c r="H10" i="2"/>
  <c r="H9" i="2"/>
  <c r="H8" i="2"/>
  <c r="H7" i="2"/>
  <c r="H6" i="2"/>
  <c r="H5" i="2"/>
  <c r="K5" i="2" s="1"/>
  <c r="C115" i="11"/>
  <c r="B115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J116" i="10"/>
  <c r="I116" i="10"/>
  <c r="G116" i="10"/>
  <c r="F116" i="10"/>
  <c r="D116" i="10"/>
  <c r="C116" i="10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Q25" i="7" s="1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H5" i="7"/>
  <c r="H6" i="7"/>
  <c r="H7" i="7"/>
  <c r="H8" i="7"/>
  <c r="H9" i="7"/>
  <c r="H10" i="7"/>
  <c r="H11" i="7"/>
  <c r="H12" i="7"/>
  <c r="Q12" i="7" s="1"/>
  <c r="H13" i="7"/>
  <c r="H14" i="7"/>
  <c r="H15" i="7"/>
  <c r="H16" i="7"/>
  <c r="H17" i="7"/>
  <c r="H18" i="7"/>
  <c r="Q18" i="7" s="1"/>
  <c r="H19" i="7"/>
  <c r="H20" i="7"/>
  <c r="Q20" i="7" s="1"/>
  <c r="H21" i="7"/>
  <c r="H22" i="7"/>
  <c r="H23" i="7"/>
  <c r="H24" i="7"/>
  <c r="H25" i="7"/>
  <c r="H26" i="7"/>
  <c r="H27" i="7"/>
  <c r="H28" i="7"/>
  <c r="H29" i="7"/>
  <c r="Q29" i="7" s="1"/>
  <c r="H30" i="7"/>
  <c r="H31" i="7"/>
  <c r="H32" i="7"/>
  <c r="Q32" i="7" s="1"/>
  <c r="H33" i="7"/>
  <c r="H34" i="7"/>
  <c r="H35" i="7"/>
  <c r="H36" i="7"/>
  <c r="Q36" i="7" s="1"/>
  <c r="H37" i="7"/>
  <c r="H38" i="7"/>
  <c r="H39" i="7"/>
  <c r="H40" i="7"/>
  <c r="H41" i="7"/>
  <c r="H42" i="7"/>
  <c r="H43" i="7"/>
  <c r="H44" i="7"/>
  <c r="H45" i="7"/>
  <c r="H46" i="7"/>
  <c r="H47" i="7"/>
  <c r="H48" i="7"/>
  <c r="Q48" i="7" s="1"/>
  <c r="H49" i="7"/>
  <c r="H50" i="7"/>
  <c r="H51" i="7"/>
  <c r="H52" i="7"/>
  <c r="H53" i="7"/>
  <c r="H54" i="7"/>
  <c r="Q54" i="7" s="1"/>
  <c r="H55" i="7"/>
  <c r="H56" i="7"/>
  <c r="H57" i="7"/>
  <c r="H58" i="7"/>
  <c r="H59" i="7"/>
  <c r="H60" i="7"/>
  <c r="Q60" i="7" s="1"/>
  <c r="H61" i="7"/>
  <c r="H62" i="7"/>
  <c r="H63" i="7"/>
  <c r="H64" i="7"/>
  <c r="H65" i="7"/>
  <c r="H66" i="7"/>
  <c r="Q66" i="7" s="1"/>
  <c r="H67" i="7"/>
  <c r="H68" i="7"/>
  <c r="Q68" i="7" s="1"/>
  <c r="H69" i="7"/>
  <c r="H70" i="7"/>
  <c r="H71" i="7"/>
  <c r="H72" i="7"/>
  <c r="H73" i="7"/>
  <c r="H74" i="7"/>
  <c r="H75" i="7"/>
  <c r="H76" i="7"/>
  <c r="H77" i="7"/>
  <c r="Q77" i="7" s="1"/>
  <c r="H78" i="7"/>
  <c r="H79" i="7"/>
  <c r="H80" i="7"/>
  <c r="H81" i="7"/>
  <c r="H82" i="7"/>
  <c r="H83" i="7"/>
  <c r="H84" i="7"/>
  <c r="Q84" i="7" s="1"/>
  <c r="H85" i="7"/>
  <c r="H86" i="7"/>
  <c r="H87" i="7"/>
  <c r="H88" i="7"/>
  <c r="H89" i="7"/>
  <c r="H90" i="7"/>
  <c r="Q90" i="7" s="1"/>
  <c r="H91" i="7"/>
  <c r="H92" i="7"/>
  <c r="Q92" i="7" s="1"/>
  <c r="H93" i="7"/>
  <c r="H94" i="7"/>
  <c r="H95" i="7"/>
  <c r="H96" i="7"/>
  <c r="Q96" i="7" s="1"/>
  <c r="H97" i="7"/>
  <c r="H98" i="7"/>
  <c r="H99" i="7"/>
  <c r="H100" i="7"/>
  <c r="H101" i="7"/>
  <c r="H102" i="7"/>
  <c r="Q102" i="7" s="1"/>
  <c r="H103" i="7"/>
  <c r="H104" i="7"/>
  <c r="H105" i="7"/>
  <c r="H106" i="7"/>
  <c r="H107" i="7"/>
  <c r="H108" i="7"/>
  <c r="Q108" i="7" s="1"/>
  <c r="H109" i="7"/>
  <c r="H110" i="7"/>
  <c r="H111" i="7"/>
  <c r="H112" i="7"/>
  <c r="H113" i="7"/>
  <c r="H114" i="7"/>
  <c r="Q114" i="7" s="1"/>
  <c r="Q78" i="7"/>
  <c r="Q17" i="7"/>
  <c r="Q6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C115" i="9"/>
  <c r="B115" i="9"/>
  <c r="AJ5" i="15" l="1"/>
  <c r="AA18" i="15"/>
  <c r="AE11" i="15"/>
  <c r="AG16" i="15"/>
  <c r="AH16" i="15"/>
  <c r="AD9" i="15"/>
  <c r="AM9" i="15" s="1"/>
  <c r="AX8" i="15" s="1"/>
  <c r="AD11" i="15"/>
  <c r="AN5" i="15"/>
  <c r="AE6" i="15"/>
  <c r="AN6" i="15" s="1"/>
  <c r="AY5" i="15" s="1"/>
  <c r="AK9" i="15"/>
  <c r="AV8" i="15" s="1"/>
  <c r="AD16" i="15"/>
  <c r="AG14" i="15"/>
  <c r="AH9" i="15"/>
  <c r="AQ9" i="15" s="1"/>
  <c r="BB8" i="15" s="1"/>
  <c r="AH15" i="15"/>
  <c r="AH5" i="15"/>
  <c r="AH8" i="15"/>
  <c r="AQ8" i="15" s="1"/>
  <c r="BB7" i="15" s="1"/>
  <c r="AG10" i="15"/>
  <c r="AP10" i="15" s="1"/>
  <c r="BA9" i="15" s="1"/>
  <c r="AG13" i="15"/>
  <c r="AG8" i="15"/>
  <c r="AP8" i="15" s="1"/>
  <c r="BA7" i="15" s="1"/>
  <c r="AG7" i="15"/>
  <c r="AP7" i="15" s="1"/>
  <c r="BA6" i="15" s="1"/>
  <c r="AH13" i="15"/>
  <c r="AD8" i="15"/>
  <c r="AM8" i="15" s="1"/>
  <c r="AX7" i="15" s="1"/>
  <c r="AG6" i="15"/>
  <c r="AP6" i="15" s="1"/>
  <c r="BA5" i="15" s="1"/>
  <c r="AD14" i="15"/>
  <c r="AE12" i="15"/>
  <c r="AK5" i="15"/>
  <c r="AB18" i="15"/>
  <c r="AB19" i="15" s="1"/>
  <c r="AD13" i="15"/>
  <c r="N12" i="15"/>
  <c r="AH12" i="15"/>
  <c r="AG11" i="15"/>
  <c r="AD7" i="15"/>
  <c r="AM7" i="15" s="1"/>
  <c r="AX6" i="15" s="1"/>
  <c r="AE13" i="15"/>
  <c r="AD15" i="15"/>
  <c r="AK10" i="15"/>
  <c r="AV9" i="15" s="1"/>
  <c r="AD10" i="15"/>
  <c r="AM10" i="15" s="1"/>
  <c r="AX9" i="15" s="1"/>
  <c r="AJ9" i="15"/>
  <c r="AU8" i="15" s="1"/>
  <c r="AH6" i="15"/>
  <c r="AQ6" i="15" s="1"/>
  <c r="BB5" i="15" s="1"/>
  <c r="AD5" i="15"/>
  <c r="AE16" i="15"/>
  <c r="AE15" i="15"/>
  <c r="O10" i="15"/>
  <c r="AS9" i="15" s="1"/>
  <c r="M11" i="15"/>
  <c r="AG9" i="15"/>
  <c r="AP9" i="15" s="1"/>
  <c r="BA8" i="15" s="1"/>
  <c r="AH10" i="15"/>
  <c r="AQ10" i="15" s="1"/>
  <c r="BB9" i="15" s="1"/>
  <c r="AG15" i="15"/>
  <c r="F115" i="9"/>
  <c r="I116" i="7"/>
  <c r="Q91" i="7"/>
  <c r="Q101" i="7"/>
  <c r="Q53" i="7"/>
  <c r="Q73" i="7"/>
  <c r="Q113" i="7"/>
  <c r="Q65" i="7"/>
  <c r="Q43" i="7"/>
  <c r="Q30" i="7"/>
  <c r="BB5" i="10"/>
  <c r="O13" i="10"/>
  <c r="AS12" i="10" s="1"/>
  <c r="O14" i="10"/>
  <c r="AS13" i="10" s="1"/>
  <c r="O15" i="10"/>
  <c r="AS14" i="10" s="1"/>
  <c r="P15" i="10"/>
  <c r="O16" i="10"/>
  <c r="AS15" i="10" s="1"/>
  <c r="P7" i="10"/>
  <c r="P8" i="10"/>
  <c r="O11" i="10"/>
  <c r="AS10" i="10" s="1"/>
  <c r="U18" i="10"/>
  <c r="P9" i="10"/>
  <c r="O12" i="10"/>
  <c r="AS11" i="10" s="1"/>
  <c r="V18" i="10"/>
  <c r="P10" i="10"/>
  <c r="O7" i="10"/>
  <c r="AS6" i="10" s="1"/>
  <c r="P11" i="10"/>
  <c r="O8" i="10"/>
  <c r="AS7" i="10" s="1"/>
  <c r="P12" i="10"/>
  <c r="O9" i="10"/>
  <c r="AS8" i="10" s="1"/>
  <c r="P13" i="10"/>
  <c r="O10" i="10"/>
  <c r="AS9" i="10" s="1"/>
  <c r="P14" i="10"/>
  <c r="R18" i="10"/>
  <c r="X18" i="10"/>
  <c r="S18" i="10"/>
  <c r="Y18" i="10"/>
  <c r="Q67" i="7"/>
  <c r="Q19" i="7"/>
  <c r="Q97" i="7"/>
  <c r="Q49" i="7"/>
  <c r="Q109" i="7"/>
  <c r="Q61" i="7"/>
  <c r="Q13" i="7"/>
  <c r="Q104" i="7"/>
  <c r="Q72" i="7"/>
  <c r="Q56" i="7"/>
  <c r="Q24" i="7"/>
  <c r="Q42" i="7"/>
  <c r="Q85" i="7"/>
  <c r="Q37" i="7"/>
  <c r="G115" i="11"/>
  <c r="Q106" i="7"/>
  <c r="Q82" i="7"/>
  <c r="Q46" i="7"/>
  <c r="Q7" i="7"/>
  <c r="Q79" i="7"/>
  <c r="Q31" i="7"/>
  <c r="Q89" i="7"/>
  <c r="Q41" i="7"/>
  <c r="Q55" i="7"/>
  <c r="Q103" i="7"/>
  <c r="Q94" i="7"/>
  <c r="Q70" i="7"/>
  <c r="Q58" i="7"/>
  <c r="Q34" i="7"/>
  <c r="Q22" i="7"/>
  <c r="Q105" i="7"/>
  <c r="Q93" i="7"/>
  <c r="Q81" i="7"/>
  <c r="Q69" i="7"/>
  <c r="Q57" i="7"/>
  <c r="Q45" i="7"/>
  <c r="Q33" i="7"/>
  <c r="Q21" i="7"/>
  <c r="Q9" i="7"/>
  <c r="Q110" i="7"/>
  <c r="Q98" i="7"/>
  <c r="Q86" i="7"/>
  <c r="Q74" i="7"/>
  <c r="Q62" i="7"/>
  <c r="Q50" i="7"/>
  <c r="Q38" i="7"/>
  <c r="Q26" i="7"/>
  <c r="Q14" i="7"/>
  <c r="Q107" i="7"/>
  <c r="Q95" i="7"/>
  <c r="Q83" i="7"/>
  <c r="Q71" i="7"/>
  <c r="Q59" i="7"/>
  <c r="Q47" i="7"/>
  <c r="Q35" i="7"/>
  <c r="Q23" i="7"/>
  <c r="Q11" i="7"/>
  <c r="Q80" i="7"/>
  <c r="Q44" i="7"/>
  <c r="Q8" i="7"/>
  <c r="Q10" i="7"/>
  <c r="Q112" i="7"/>
  <c r="Q100" i="7"/>
  <c r="Q88" i="7"/>
  <c r="Q76" i="7"/>
  <c r="Q64" i="7"/>
  <c r="Q52" i="7"/>
  <c r="Q40" i="7"/>
  <c r="Q28" i="7"/>
  <c r="Q16" i="7"/>
  <c r="Q111" i="7"/>
  <c r="Q99" i="7"/>
  <c r="Q87" i="7"/>
  <c r="Q75" i="7"/>
  <c r="Q63" i="7"/>
  <c r="Q51" i="7"/>
  <c r="Q39" i="7"/>
  <c r="Q27" i="7"/>
  <c r="Q15" i="7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C34" i="6"/>
  <c r="B34" i="6"/>
  <c r="C115" i="8"/>
  <c r="B115" i="8"/>
  <c r="H116" i="7"/>
  <c r="F116" i="7"/>
  <c r="E116" i="7"/>
  <c r="C116" i="7"/>
  <c r="B116" i="7"/>
  <c r="Q5" i="7"/>
  <c r="N5" i="7"/>
  <c r="N116" i="7" s="1"/>
  <c r="K5" i="7"/>
  <c r="K116" i="7" s="1"/>
  <c r="AM11" i="15" l="1"/>
  <c r="AX10" i="15" s="1"/>
  <c r="N13" i="15"/>
  <c r="O11" i="15"/>
  <c r="AS10" i="15" s="1"/>
  <c r="M12" i="15"/>
  <c r="P12" i="15" s="1"/>
  <c r="AM5" i="15"/>
  <c r="AD18" i="15"/>
  <c r="AH18" i="15"/>
  <c r="AE18" i="15"/>
  <c r="AE19" i="15" s="1"/>
  <c r="P11" i="15"/>
  <c r="AG18" i="15"/>
  <c r="G115" i="8"/>
  <c r="BA9" i="10"/>
  <c r="AV10" i="10"/>
  <c r="AX14" i="10"/>
  <c r="AV5" i="10"/>
  <c r="AY6" i="10"/>
  <c r="AX5" i="10"/>
  <c r="BB11" i="10"/>
  <c r="AX13" i="10"/>
  <c r="BA15" i="10"/>
  <c r="BB13" i="10"/>
  <c r="AX7" i="10"/>
  <c r="AX11" i="10"/>
  <c r="AV6" i="10"/>
  <c r="AY9" i="10"/>
  <c r="BA10" i="10"/>
  <c r="AU13" i="10"/>
  <c r="BA7" i="10"/>
  <c r="AV11" i="10"/>
  <c r="AX6" i="10"/>
  <c r="BB14" i="10"/>
  <c r="AY15" i="10"/>
  <c r="AV7" i="10"/>
  <c r="AU12" i="10"/>
  <c r="AU6" i="10"/>
  <c r="BA12" i="10"/>
  <c r="AU9" i="10"/>
  <c r="BB9" i="10"/>
  <c r="AU10" i="10"/>
  <c r="BB12" i="10"/>
  <c r="AV14" i="10"/>
  <c r="AU15" i="10"/>
  <c r="BA13" i="10"/>
  <c r="AX9" i="10"/>
  <c r="AX8" i="10"/>
  <c r="BB6" i="10"/>
  <c r="AY12" i="10"/>
  <c r="AX12" i="10"/>
  <c r="AV8" i="10"/>
  <c r="BA5" i="10"/>
  <c r="AU14" i="10"/>
  <c r="AU8" i="10"/>
  <c r="BA14" i="10"/>
  <c r="AV13" i="10"/>
  <c r="BB10" i="10"/>
  <c r="AY8" i="10"/>
  <c r="BB7" i="10"/>
  <c r="AX10" i="10"/>
  <c r="AX15" i="10"/>
  <c r="AU11" i="10"/>
  <c r="AU7" i="10"/>
  <c r="AU5" i="10"/>
  <c r="AV9" i="10"/>
  <c r="AY13" i="10"/>
  <c r="AY5" i="10"/>
  <c r="AY10" i="10"/>
  <c r="BB15" i="10"/>
  <c r="BA6" i="10"/>
  <c r="BA11" i="10"/>
  <c r="AY14" i="10"/>
  <c r="AY7" i="10"/>
  <c r="AY11" i="10"/>
  <c r="AV12" i="10"/>
  <c r="AV15" i="10"/>
  <c r="Q116" i="7"/>
  <c r="D32" i="6"/>
  <c r="C32" i="6"/>
  <c r="B32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I129" i="4"/>
  <c r="H129" i="4"/>
  <c r="C129" i="4"/>
  <c r="B129" i="4"/>
  <c r="F124" i="4"/>
  <c r="F113" i="4"/>
  <c r="F102" i="4"/>
  <c r="F91" i="4"/>
  <c r="F80" i="4"/>
  <c r="F69" i="4"/>
  <c r="F58" i="4"/>
  <c r="F47" i="4"/>
  <c r="F36" i="4"/>
  <c r="L124" i="4"/>
  <c r="K124" i="4"/>
  <c r="L113" i="4"/>
  <c r="K113" i="4"/>
  <c r="L102" i="4"/>
  <c r="K102" i="4"/>
  <c r="L91" i="4"/>
  <c r="K91" i="4"/>
  <c r="L80" i="4"/>
  <c r="K80" i="4"/>
  <c r="L69" i="4"/>
  <c r="K69" i="4"/>
  <c r="L58" i="4"/>
  <c r="K58" i="4"/>
  <c r="L47" i="4"/>
  <c r="K47" i="4"/>
  <c r="L36" i="4"/>
  <c r="K36" i="4"/>
  <c r="L25" i="4"/>
  <c r="K25" i="4"/>
  <c r="L14" i="4"/>
  <c r="K14" i="4"/>
  <c r="E124" i="4"/>
  <c r="E113" i="4"/>
  <c r="E102" i="4"/>
  <c r="E91" i="4"/>
  <c r="E80" i="4"/>
  <c r="E69" i="4"/>
  <c r="E58" i="4"/>
  <c r="E47" i="4"/>
  <c r="E36" i="4"/>
  <c r="F14" i="4"/>
  <c r="E14" i="4"/>
  <c r="F25" i="4"/>
  <c r="E25" i="4"/>
  <c r="D14" i="2"/>
  <c r="C14" i="2"/>
  <c r="B14" i="2"/>
  <c r="F12" i="2"/>
  <c r="F11" i="2"/>
  <c r="F10" i="2"/>
  <c r="F9" i="2"/>
  <c r="F8" i="2"/>
  <c r="F7" i="2"/>
  <c r="F6" i="2"/>
  <c r="F5" i="2"/>
  <c r="F4" i="2"/>
  <c r="AP12" i="15" l="1"/>
  <c r="BA11" i="15" s="1"/>
  <c r="AM12" i="15"/>
  <c r="AX11" i="15" s="1"/>
  <c r="AJ12" i="15"/>
  <c r="AU11" i="15" s="1"/>
  <c r="AK12" i="15"/>
  <c r="AV11" i="15" s="1"/>
  <c r="AQ12" i="15"/>
  <c r="BB11" i="15" s="1"/>
  <c r="AN12" i="15"/>
  <c r="AY11" i="15" s="1"/>
  <c r="AK11" i="15"/>
  <c r="AV10" i="15" s="1"/>
  <c r="AQ11" i="15"/>
  <c r="BB10" i="15" s="1"/>
  <c r="AJ11" i="15"/>
  <c r="AU10" i="15" s="1"/>
  <c r="O12" i="15"/>
  <c r="AS11" i="15" s="1"/>
  <c r="M13" i="15"/>
  <c r="AN11" i="15"/>
  <c r="AY10" i="15" s="1"/>
  <c r="AH19" i="15"/>
  <c r="N14" i="15"/>
  <c r="P13" i="15"/>
  <c r="AP11" i="15"/>
  <c r="BA10" i="15" s="1"/>
  <c r="AG18" i="10"/>
  <c r="BA8" i="10"/>
  <c r="AE18" i="10"/>
  <c r="AD18" i="10"/>
  <c r="AB18" i="10"/>
  <c r="AH18" i="10"/>
  <c r="BB8" i="10"/>
  <c r="AA18" i="10"/>
  <c r="N15" i="15" l="1"/>
  <c r="O13" i="15"/>
  <c r="AS12" i="15" s="1"/>
  <c r="M14" i="15"/>
  <c r="AJ13" i="15"/>
  <c r="AU12" i="15" s="1"/>
  <c r="AK13" i="15"/>
  <c r="AV12" i="15" s="1"/>
  <c r="AN13" i="15"/>
  <c r="AY12" i="15" s="1"/>
  <c r="AP13" i="15"/>
  <c r="BA12" i="15" s="1"/>
  <c r="AM13" i="15"/>
  <c r="AX12" i="15" s="1"/>
  <c r="AQ13" i="15"/>
  <c r="BB12" i="15" s="1"/>
  <c r="AH19" i="10"/>
  <c r="M15" i="15" l="1"/>
  <c r="P15" i="15" s="1"/>
  <c r="O14" i="15"/>
  <c r="AS13" i="15" s="1"/>
  <c r="P14" i="15"/>
  <c r="AK15" i="15" l="1"/>
  <c r="AV14" i="15" s="1"/>
  <c r="AJ15" i="15"/>
  <c r="AU14" i="15" s="1"/>
  <c r="AM15" i="15"/>
  <c r="AX14" i="15" s="1"/>
  <c r="AQ15" i="15"/>
  <c r="BB14" i="15" s="1"/>
  <c r="AP15" i="15"/>
  <c r="BA14" i="15" s="1"/>
  <c r="AN15" i="15"/>
  <c r="AY14" i="15" s="1"/>
  <c r="AQ14" i="15"/>
  <c r="BB13" i="15" s="1"/>
  <c r="AN14" i="15"/>
  <c r="AY13" i="15" s="1"/>
  <c r="AJ14" i="15"/>
  <c r="AU13" i="15" s="1"/>
  <c r="AK14" i="15"/>
  <c r="AV13" i="15" s="1"/>
  <c r="AP14" i="15"/>
  <c r="BA13" i="15" s="1"/>
  <c r="AM14" i="15"/>
  <c r="AX13" i="15" s="1"/>
  <c r="O15" i="15"/>
  <c r="AS14" i="15" s="1"/>
  <c r="M16" i="15"/>
  <c r="P16" i="15" l="1"/>
  <c r="O16" i="15"/>
  <c r="AS15" i="15" s="1"/>
  <c r="AK16" i="15" l="1"/>
  <c r="AV15" i="15" s="1"/>
  <c r="AJ16" i="15"/>
  <c r="AU15" i="15" s="1"/>
  <c r="AN16" i="15"/>
  <c r="AY15" i="15" s="1"/>
  <c r="AQ16" i="15"/>
  <c r="BB15" i="15" s="1"/>
  <c r="AP16" i="15"/>
  <c r="BA15" i="15" s="1"/>
  <c r="AM16" i="15"/>
  <c r="AX15" i="15" s="1"/>
</calcChain>
</file>

<file path=xl/sharedStrings.xml><?xml version="1.0" encoding="utf-8"?>
<sst xmlns="http://schemas.openxmlformats.org/spreadsheetml/2006/main" count="483" uniqueCount="196">
  <si>
    <t>M</t>
  </si>
  <si>
    <t>F</t>
  </si>
  <si>
    <t>B</t>
  </si>
  <si>
    <t>1-9</t>
  </si>
  <si>
    <t>10-19</t>
  </si>
  <si>
    <t>20-29</t>
  </si>
  <si>
    <t>30-39</t>
  </si>
  <si>
    <t>40-49</t>
  </si>
  <si>
    <t>50-59</t>
  </si>
  <si>
    <t>60-69</t>
  </si>
  <si>
    <t>70+</t>
  </si>
  <si>
    <t>неизв</t>
  </si>
  <si>
    <t>verify</t>
  </si>
  <si>
    <t xml:space="preserve">Secretaria de Fomento, Colonizacion e Industria, Direccion General de Estadistica de la Republica Mexicana, </t>
  </si>
  <si>
    <t>Половозрастная структура населения Мексики по переписи 1900 года</t>
  </si>
  <si>
    <t xml:space="preserve">"Censo de 1900 : Resultado del censo de habitantes que se verifico el 28 de octubre de 1900", </t>
  </si>
  <si>
    <t>age</t>
  </si>
  <si>
    <t>всего</t>
  </si>
  <si>
    <t>том 1, С.-Пб, 1905, стр. 56-59</t>
  </si>
  <si>
    <t>RU-1897-raw</t>
  </si>
  <si>
    <t>Половозрастная структура населения Европейской России и Сибири по переписи 1897 года</t>
  </si>
  <si>
    <t>Не включает привислинские губрении, Кавказ и Среднюю Азию, а также Финляндию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</si>
  <si>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</si>
  <si>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</si>
  <si>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</si>
  <si>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</si>
  <si>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</si>
  <si>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</si>
  <si>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</si>
  <si>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</si>
  <si>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</si>
  <si>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</si>
  <si>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</si>
  <si>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</si>
  <si>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</si>
  <si>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</si>
  <si>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</si>
  <si>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</si>
  <si>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</si>
  <si>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</si>
  <si>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</si>
  <si>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</si>
  <si>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</si>
  <si>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</si>
  <si>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</si>
  <si>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</si>
  <si>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</si>
  <si>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</si>
  <si>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</si>
  <si>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</si>
  <si>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</si>
  <si>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</si>
  <si>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</si>
  <si>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</si>
  <si>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</si>
  <si>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</si>
  <si>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</si>
  <si>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</si>
  <si>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</si>
  <si>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</si>
  <si>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</si>
  <si>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</si>
  <si>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</si>
  <si>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</si>
  <si>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</si>
  <si>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</si>
  <si>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</si>
  <si>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</si>
  <si>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</si>
  <si>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</si>
  <si>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</si>
  <si>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</si>
  <si>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</si>
  <si>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</si>
  <si>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</si>
  <si>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</si>
  <si>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</si>
  <si>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Европейская Россия</t>
  </si>
  <si>
    <t>Cибирь</t>
  </si>
  <si>
    <t xml:space="preserve">70-79 </t>
  </si>
  <si>
    <t xml:space="preserve">80-89 </t>
  </si>
  <si>
    <t xml:space="preserve">90-99 </t>
  </si>
  <si>
    <t>100-109</t>
  </si>
  <si>
    <t>110+</t>
  </si>
  <si>
    <t>итого</t>
  </si>
  <si>
    <t>Перенос данных из:</t>
  </si>
  <si>
    <t>MX-1900-raw</t>
  </si>
  <si>
    <t>Ministerio de Fomento, Dirección General de Estadística,</t>
  </si>
  <si>
    <t xml:space="preserve">Censo general de la República Mexicana: verificado el 20 de octubre de 1895, </t>
  </si>
  <si>
    <t>MX-1895-raw</t>
  </si>
  <si>
    <t>Половозрастная структура населения Мексики по переписи 1895 года</t>
  </si>
  <si>
    <t>0-1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</si>
  <si>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</si>
  <si>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</si>
  <si>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</si>
  <si>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</si>
  <si>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</si>
  <si>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</si>
  <si>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</si>
  <si>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</si>
  <si>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</si>
  <si>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</si>
  <si>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</si>
  <si>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</si>
  <si>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</si>
  <si>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</si>
  <si>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</si>
  <si>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</si>
  <si>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96-100</t>
  </si>
  <si>
    <t>6-10</t>
  </si>
  <si>
    <t>11-15</t>
  </si>
  <si>
    <t>12491573</t>
  </si>
  <si>
    <t>RU-1897</t>
  </si>
  <si>
    <t>с удалёнными контрольными рядами</t>
  </si>
  <si>
    <t>Европейская Россия + Сибирь</t>
  </si>
  <si>
    <t>вычисление среднего возраста</t>
  </si>
  <si>
    <t>сумма</t>
  </si>
  <si>
    <t>население</t>
  </si>
  <si>
    <t>101+</t>
  </si>
  <si>
    <t>sum</t>
  </si>
  <si>
    <t>sum 0-109</t>
  </si>
  <si>
    <t>программой RTSS/UnbinDataSum, метод CSASRA</t>
  </si>
  <si>
    <t>Дезагрегация MX-1895-raw в годовые по возрасту значения</t>
  </si>
  <si>
    <t>вычисление 
среднего возраста</t>
  </si>
  <si>
    <t>Дезагрегация MX-1900-raw в годовые по возрасту значения</t>
  </si>
  <si>
    <t>RU-vs-MX</t>
  </si>
  <si>
    <t>Сведение трёх переписей на одном листе</t>
  </si>
  <si>
    <t>Годовые по возрасту значения</t>
  </si>
  <si>
    <t>Для России: Европейская Россия + Сибирь</t>
  </si>
  <si>
    <t>Россия 1897</t>
  </si>
  <si>
    <t>RU-M</t>
  </si>
  <si>
    <t>RU-F</t>
  </si>
  <si>
    <t>MX 1895</t>
  </si>
  <si>
    <t>MX 1900</t>
  </si>
  <si>
    <t>асболютная численность населения</t>
  </si>
  <si>
    <t>MX1895-M</t>
  </si>
  <si>
    <t>MX1895-F</t>
  </si>
  <si>
    <t>MX1900-M</t>
  </si>
  <si>
    <t>MX-1900F</t>
  </si>
  <si>
    <t>MX-1895-dis</t>
  </si>
  <si>
    <t>MX-1900-dis</t>
  </si>
  <si>
    <t>перенос из RU-1897-raw</t>
  </si>
  <si>
    <t>México, 1899, стр. 6-15</t>
  </si>
  <si>
    <t>Mexico : Tip. de la Secretaria de Fomento, 1901, стр. 29-33</t>
  </si>
  <si>
    <t>"Общий свод по Империи результатов разработки данных первой всеобщей переписи населения, произведенной 28 января 1897 года",</t>
  </si>
  <si>
    <t>MX-1895-corr</t>
  </si>
  <si>
    <t>с приложением модели и оценок q0 (226) и l5 по Collver, "Birth Rates in Latin America...", стр. 144</t>
  </si>
  <si>
    <t>сред. на год возраста</t>
  </si>
  <si>
    <t>Реалистичный коридор примерно такой (сумма обеих полов):</t>
  </si>
  <si>
    <t>возраст 0: 450-460 тыс.</t>
  </si>
  <si>
    <t>возраст 1: 390-400 тыс.</t>
  </si>
  <si>
    <t>Минимальная коррекция MX-1895-dis на недоучёт переписью детей возрастов 0-1</t>
  </si>
  <si>
    <t>Заметен явный недоучёт детей в возрасте 0-1</t>
  </si>
  <si>
    <t>См. примечание в ru-vs-mx-1897.docx</t>
  </si>
  <si>
    <t>См. примечание в ru-vs-mx-1897.docx о несовершенстве данных</t>
  </si>
  <si>
    <t>агрегация по возрастным группам</t>
  </si>
  <si>
    <t>from</t>
  </si>
  <si>
    <t>to</t>
  </si>
  <si>
    <t>возраст</t>
  </si>
  <si>
    <t>width</t>
  </si>
  <si>
    <t>долевые значения групп</t>
  </si>
  <si>
    <t>middle</t>
  </si>
  <si>
    <t>RU1897-M</t>
  </si>
  <si>
    <t>RU1897-F</t>
  </si>
  <si>
    <t>MX-1900-F</t>
  </si>
  <si>
    <t xml:space="preserve">Для графиков см. примечание в ru-vs-mx-1897.docx </t>
  </si>
  <si>
    <t>RU-vs-MX v2</t>
  </si>
  <si>
    <t>То же, что RU-vs-MX</t>
  </si>
  <si>
    <t>но с исключённой из графиков группой 0-4 по переписи MX-1900</t>
  </si>
  <si>
    <t xml:space="preserve">из-за переучёта в ней, см. примечание в ru-vs-mx-1897.docx </t>
  </si>
  <si>
    <t>средний долевой вес года группы в процентах</t>
  </si>
  <si>
    <t>средний долевой вес года группы в процентах, только для групп 5+</t>
  </si>
  <si>
    <t>RU1897</t>
  </si>
  <si>
    <t>MX1895</t>
  </si>
  <si>
    <t>MX1900</t>
  </si>
  <si>
    <t>0-9</t>
  </si>
  <si>
    <t>70-79</t>
  </si>
  <si>
    <t>80 +</t>
  </si>
  <si>
    <t>MX 1910</t>
  </si>
  <si>
    <t>verfy</t>
  </si>
  <si>
    <t>в процентах:</t>
  </si>
  <si>
    <t>RU-1897, агрегарция по возрастным группам</t>
  </si>
  <si>
    <t xml:space="preserve">verify </t>
  </si>
  <si>
    <t>в процентах</t>
  </si>
  <si>
    <t>MX1910</t>
  </si>
  <si>
    <t>мужчины</t>
  </si>
  <si>
    <t>женщины</t>
  </si>
  <si>
    <t>MX-Teran</t>
  </si>
  <si>
    <t>Структура населения Мексики по переписям 1895, 1900 и 1910 годов</t>
  </si>
  <si>
    <t>M. Mier-y-Teran, "Evolution de la population mexicaine a partir des donnees des recensements : 1895-1970", 1982, диссертация Université de Montréal, т. 2 (Annexes), стр. 526-527 (таблица XVII.4)</t>
  </si>
  <si>
    <t>Там же - агрегация русской переписи 1897 года по тем же возрастным группам.</t>
  </si>
  <si>
    <t>с коррекцией Мийе-и-Теран и разбивкой по 10-летним возрастным группам</t>
  </si>
  <si>
    <t>MX-Teran-vs-RU</t>
  </si>
  <si>
    <t>Графики для данных со страницы MX-Teran</t>
  </si>
  <si>
    <t>в процентах на группу</t>
  </si>
  <si>
    <t>в процентах на год возраста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</si>
</sst>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000000"/>
    <numFmt numFmtId="167" formatCode="0.000000"/>
    <numFmt numFmtId="168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165" fontId="0" fillId="2" borderId="0" xfId="0" applyNumberForma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164" fontId="0" fillId="2" borderId="0" xfId="0" applyNumberFormat="1" applyFill="1"/>
    <xf numFmtId="0" fontId="0" fillId="3" borderId="0" xfId="0" applyFill="1"/>
    <xf numFmtId="2" fontId="1" fillId="2" borderId="0" xfId="0" applyNumberFormat="1" applyFont="1" applyFill="1"/>
    <xf numFmtId="2" fontId="1" fillId="0" borderId="0" xfId="0" applyNumberFormat="1" applyFont="1"/>
    <xf numFmtId="167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6" fontId="0" fillId="0" borderId="0" xfId="0" applyNumberFormat="1"/>
    <xf numFmtId="0" fontId="1" fillId="3" borderId="0" xfId="0" applyFont="1" applyFill="1"/>
    <xf numFmtId="168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49" fontId="0" fillId="0" borderId="0" xfId="0" applyNumberFormat="1" applyFont="1"/>
    <xf numFmtId="3" fontId="0" fillId="0" borderId="0" xfId="0" applyNumberFormat="1" applyFont="1"/>
    <xf numFmtId="2" fontId="0" fillId="0" borderId="0" xfId="0" applyNumberFormat="1"/>
    <xf numFmtId="49" fontId="1" fillId="0" borderId="0" xfId="0" applyNumberFormat="1" applyFont="1"/>
    <xf numFmtId="0" fontId="0" fillId="2" borderId="0" xfId="0" applyFill="1" applyAlignment="1">
      <alignment horizontal="center"/>
    </xf>
    <xf numFmtId="2" fontId="0" fillId="2" borderId="0" xfId="0" applyNumberFormat="1" applyFill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'MX-1895-corr'!$B$3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'MX-1895-corr'!$A$4:$A$113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'MX-1895-corr'!$B$4:$B$113</c:f>
              <c:numCache>
                <c:formatCode>#,##0</c:formatCode>
                <c:ptCount val="110"/>
                <c:pt idx="0">
                  <c:v>233223</c:v>
                </c:pt>
                <c:pt idx="1">
                  <c:v>201415</c:v>
                </c:pt>
                <c:pt idx="2">
                  <c:v>189934</c:v>
                </c:pt>
                <c:pt idx="3">
                  <c:v>189977</c:v>
                </c:pt>
                <c:pt idx="4">
                  <c:v>191481</c:v>
                </c:pt>
                <c:pt idx="5">
                  <c:v>192191</c:v>
                </c:pt>
                <c:pt idx="6">
                  <c:v>189853.22169999999</c:v>
                </c:pt>
                <c:pt idx="7">
                  <c:v>185803.44218300001</c:v>
                </c:pt>
                <c:pt idx="8">
                  <c:v>179878.61007600001</c:v>
                </c:pt>
                <c:pt idx="9">
                  <c:v>172151.88931100001</c:v>
                </c:pt>
                <c:pt idx="10">
                  <c:v>162796.83673000001</c:v>
                </c:pt>
                <c:pt idx="11">
                  <c:v>150970.82108200001</c:v>
                </c:pt>
                <c:pt idx="12">
                  <c:v>142182.52061400001</c:v>
                </c:pt>
                <c:pt idx="13">
                  <c:v>135317.71759300001</c:v>
                </c:pt>
                <c:pt idx="14">
                  <c:v>130386.164357</c:v>
                </c:pt>
                <c:pt idx="15">
                  <c:v>127230.77635299999</c:v>
                </c:pt>
                <c:pt idx="16">
                  <c:v>126591.61705099999</c:v>
                </c:pt>
                <c:pt idx="17">
                  <c:v>123934.428118</c:v>
                </c:pt>
                <c:pt idx="18">
                  <c:v>120078.583491</c:v>
                </c:pt>
                <c:pt idx="19">
                  <c:v>114974.166843</c:v>
                </c:pt>
                <c:pt idx="20">
                  <c:v>108806.204497</c:v>
                </c:pt>
                <c:pt idx="21">
                  <c:v>100408.055322</c:v>
                </c:pt>
                <c:pt idx="22">
                  <c:v>96943.393911000006</c:v>
                </c:pt>
                <c:pt idx="23">
                  <c:v>96983.601095999999</c:v>
                </c:pt>
                <c:pt idx="24">
                  <c:v>100680.426706</c:v>
                </c:pt>
                <c:pt idx="25">
                  <c:v>107877.522964</c:v>
                </c:pt>
                <c:pt idx="26">
                  <c:v>121622.406678</c:v>
                </c:pt>
                <c:pt idx="27">
                  <c:v>126433.939229</c:v>
                </c:pt>
                <c:pt idx="28">
                  <c:v>124620.85107600001</c:v>
                </c:pt>
                <c:pt idx="29">
                  <c:v>115993.873353</c:v>
                </c:pt>
                <c:pt idx="30">
                  <c:v>101378.929665</c:v>
                </c:pt>
                <c:pt idx="31">
                  <c:v>78293.921172000002</c:v>
                </c:pt>
                <c:pt idx="32">
                  <c:v>66870.878748000003</c:v>
                </c:pt>
                <c:pt idx="33">
                  <c:v>62019.321947999997</c:v>
                </c:pt>
                <c:pt idx="34">
                  <c:v>63658.671900000001</c:v>
                </c:pt>
                <c:pt idx="35">
                  <c:v>71520.206233000004</c:v>
                </c:pt>
                <c:pt idx="36">
                  <c:v>90490.455258000002</c:v>
                </c:pt>
                <c:pt idx="37">
                  <c:v>98985.654559999995</c:v>
                </c:pt>
                <c:pt idx="38">
                  <c:v>99818.165691000002</c:v>
                </c:pt>
                <c:pt idx="39">
                  <c:v>92534.057245999997</c:v>
                </c:pt>
                <c:pt idx="40">
                  <c:v>78094.667243999997</c:v>
                </c:pt>
                <c:pt idx="41">
                  <c:v>54302.256128000001</c:v>
                </c:pt>
                <c:pt idx="42">
                  <c:v>42487.023473000001</c:v>
                </c:pt>
                <c:pt idx="43">
                  <c:v>36590.668890000001</c:v>
                </c:pt>
                <c:pt idx="44">
                  <c:v>36190.363254999997</c:v>
                </c:pt>
                <c:pt idx="45">
                  <c:v>40882.688255000001</c:v>
                </c:pt>
                <c:pt idx="46">
                  <c:v>54510.386771999998</c:v>
                </c:pt>
                <c:pt idx="47">
                  <c:v>60828.770919000002</c:v>
                </c:pt>
                <c:pt idx="48">
                  <c:v>61885.868154999996</c:v>
                </c:pt>
                <c:pt idx="49">
                  <c:v>57296.935395</c:v>
                </c:pt>
                <c:pt idx="50">
                  <c:v>47737.038759000003</c:v>
                </c:pt>
                <c:pt idx="51">
                  <c:v>31747.128594000002</c:v>
                </c:pt>
                <c:pt idx="52">
                  <c:v>24192.629803</c:v>
                </c:pt>
                <c:pt idx="53">
                  <c:v>20669.874688</c:v>
                </c:pt>
                <c:pt idx="54">
                  <c:v>20871.704826000001</c:v>
                </c:pt>
                <c:pt idx="55">
                  <c:v>24590.662089000001</c:v>
                </c:pt>
                <c:pt idx="56">
                  <c:v>34727.802004999998</c:v>
                </c:pt>
                <c:pt idx="57">
                  <c:v>40074.094840999998</c:v>
                </c:pt>
                <c:pt idx="58">
                  <c:v>41932.799822000001</c:v>
                </c:pt>
                <c:pt idx="59">
                  <c:v>39938.113801</c:v>
                </c:pt>
                <c:pt idx="60">
                  <c:v>34425.189531000004</c:v>
                </c:pt>
                <c:pt idx="61">
                  <c:v>24538.547885</c:v>
                </c:pt>
                <c:pt idx="62">
                  <c:v>19011.858893000001</c:v>
                </c:pt>
                <c:pt idx="63">
                  <c:v>15501.054174000001</c:v>
                </c:pt>
                <c:pt idx="64">
                  <c:v>13782.619606</c:v>
                </c:pt>
                <c:pt idx="65">
                  <c:v>13578.919441</c:v>
                </c:pt>
                <c:pt idx="66">
                  <c:v>15561.851756</c:v>
                </c:pt>
                <c:pt idx="67">
                  <c:v>15909.230755</c:v>
                </c:pt>
                <c:pt idx="68">
                  <c:v>15244.811537</c:v>
                </c:pt>
                <c:pt idx="69">
                  <c:v>13542.817402999999</c:v>
                </c:pt>
                <c:pt idx="70">
                  <c:v>10970.288549999999</c:v>
                </c:pt>
                <c:pt idx="71">
                  <c:v>7238.4803279999996</c:v>
                </c:pt>
                <c:pt idx="72">
                  <c:v>5280.2503980000001</c:v>
                </c:pt>
                <c:pt idx="73">
                  <c:v>4150.8634860000002</c:v>
                </c:pt>
                <c:pt idx="74">
                  <c:v>3724.8159759999999</c:v>
                </c:pt>
                <c:pt idx="75">
                  <c:v>3895.5898120000002</c:v>
                </c:pt>
                <c:pt idx="76">
                  <c:v>5002.5620129999998</c:v>
                </c:pt>
                <c:pt idx="77">
                  <c:v>5417.2605649999996</c:v>
                </c:pt>
                <c:pt idx="78">
                  <c:v>5370.3514850000001</c:v>
                </c:pt>
                <c:pt idx="79">
                  <c:v>4836.7394530000001</c:v>
                </c:pt>
                <c:pt idx="80">
                  <c:v>3886.0864839999999</c:v>
                </c:pt>
                <c:pt idx="81">
                  <c:v>2412.27529</c:v>
                </c:pt>
                <c:pt idx="82">
                  <c:v>1658.5623430000001</c:v>
                </c:pt>
                <c:pt idx="83">
                  <c:v>1209.933466</c:v>
                </c:pt>
                <c:pt idx="84">
                  <c:v>1004.331465</c:v>
                </c:pt>
                <c:pt idx="85">
                  <c:v>990.89743599999997</c:v>
                </c:pt>
                <c:pt idx="86">
                  <c:v>1250.905107</c:v>
                </c:pt>
                <c:pt idx="87">
                  <c:v>1343.3254099999999</c:v>
                </c:pt>
                <c:pt idx="88">
                  <c:v>1334.462636</c:v>
                </c:pt>
                <c:pt idx="89">
                  <c:v>1217.0228569999999</c:v>
                </c:pt>
                <c:pt idx="90">
                  <c:v>1005.283989</c:v>
                </c:pt>
                <c:pt idx="91">
                  <c:v>674.68485999999996</c:v>
                </c:pt>
                <c:pt idx="92">
                  <c:v>492.95518900000002</c:v>
                </c:pt>
                <c:pt idx="93">
                  <c:v>378.55717099999998</c:v>
                </c:pt>
                <c:pt idx="94">
                  <c:v>320.34603499999997</c:v>
                </c:pt>
                <c:pt idx="95">
                  <c:v>307.45674500000001</c:v>
                </c:pt>
                <c:pt idx="96">
                  <c:v>357.585847</c:v>
                </c:pt>
                <c:pt idx="97">
                  <c:v>363.46210600000001</c:v>
                </c:pt>
                <c:pt idx="98">
                  <c:v>342.81500799999998</c:v>
                </c:pt>
                <c:pt idx="99">
                  <c:v>295.26905599999998</c:v>
                </c:pt>
                <c:pt idx="100">
                  <c:v>225.86798200000001</c:v>
                </c:pt>
                <c:pt idx="101">
                  <c:v>128.16244</c:v>
                </c:pt>
                <c:pt idx="102">
                  <c:v>78.821770999999998</c:v>
                </c:pt>
                <c:pt idx="103">
                  <c:v>47.861614000000003</c:v>
                </c:pt>
                <c:pt idx="104">
                  <c:v>29.167954000000002</c:v>
                </c:pt>
                <c:pt idx="105">
                  <c:v>17.895475000000001</c:v>
                </c:pt>
                <c:pt idx="106">
                  <c:v>11.171498</c:v>
                </c:pt>
                <c:pt idx="107">
                  <c:v>7.2928980000000001</c:v>
                </c:pt>
                <c:pt idx="108">
                  <c:v>5.2574649999999998</c:v>
                </c:pt>
                <c:pt idx="109">
                  <c:v>4.3688840000000004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78-4D6E-B579-781B2FAE1AFA}"/>
            </c:ext>
          </c:extLst>
        </c:ser>
        <c:ser>
          <c:idx val="1"/>
          <c:order val="1"/>
          <c:tx>
            <c:strRef>
              <c:f>'MX-1895-corr'!$C$3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'MX-1895-corr'!$A$4:$A$113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'MX-1895-corr'!$C$4:$C$113</c:f>
              <c:numCache>
                <c:formatCode>#,##0</c:formatCode>
                <c:ptCount val="110"/>
                <c:pt idx="0">
                  <c:v>219777</c:v>
                </c:pt>
                <c:pt idx="1">
                  <c:v>193585</c:v>
                </c:pt>
                <c:pt idx="2">
                  <c:v>185418</c:v>
                </c:pt>
                <c:pt idx="3">
                  <c:v>187240</c:v>
                </c:pt>
                <c:pt idx="4">
                  <c:v>190397</c:v>
                </c:pt>
                <c:pt idx="5">
                  <c:v>182763</c:v>
                </c:pt>
                <c:pt idx="6">
                  <c:v>180673.685192</c:v>
                </c:pt>
                <c:pt idx="7">
                  <c:v>175537.181763</c:v>
                </c:pt>
                <c:pt idx="8">
                  <c:v>168720.57441599999</c:v>
                </c:pt>
                <c:pt idx="9">
                  <c:v>160161.59430299999</c:v>
                </c:pt>
                <c:pt idx="10">
                  <c:v>150109.96432500001</c:v>
                </c:pt>
                <c:pt idx="11">
                  <c:v>137158.939973</c:v>
                </c:pt>
                <c:pt idx="12">
                  <c:v>130136.512389</c:v>
                </c:pt>
                <c:pt idx="13">
                  <c:v>127204.51951100001</c:v>
                </c:pt>
                <c:pt idx="14">
                  <c:v>128447.80229199999</c:v>
                </c:pt>
                <c:pt idx="15">
                  <c:v>133647.22583499999</c:v>
                </c:pt>
                <c:pt idx="16">
                  <c:v>145392.73318099999</c:v>
                </c:pt>
                <c:pt idx="17">
                  <c:v>150130.57107000001</c:v>
                </c:pt>
                <c:pt idx="18">
                  <c:v>149992.543592</c:v>
                </c:pt>
                <c:pt idx="19">
                  <c:v>144728.62731400001</c:v>
                </c:pt>
                <c:pt idx="20">
                  <c:v>134808.52484299999</c:v>
                </c:pt>
                <c:pt idx="21">
                  <c:v>117906.64745400001</c:v>
                </c:pt>
                <c:pt idx="22">
                  <c:v>109901.117318</c:v>
                </c:pt>
                <c:pt idx="23">
                  <c:v>107454.259011</c:v>
                </c:pt>
                <c:pt idx="24">
                  <c:v>110759.880495</c:v>
                </c:pt>
                <c:pt idx="25">
                  <c:v>119557.09572300001</c:v>
                </c:pt>
                <c:pt idx="26">
                  <c:v>138383.28240900001</c:v>
                </c:pt>
                <c:pt idx="27">
                  <c:v>144767.14484600001</c:v>
                </c:pt>
                <c:pt idx="28">
                  <c:v>141996.95731999999</c:v>
                </c:pt>
                <c:pt idx="29">
                  <c:v>129840.940088</c:v>
                </c:pt>
                <c:pt idx="30">
                  <c:v>109577.67533699999</c:v>
                </c:pt>
                <c:pt idx="31">
                  <c:v>78150.729697000002</c:v>
                </c:pt>
                <c:pt idx="32">
                  <c:v>62945.733689000001</c:v>
                </c:pt>
                <c:pt idx="33">
                  <c:v>56262.150917999999</c:v>
                </c:pt>
                <c:pt idx="34">
                  <c:v>57730.709213000002</c:v>
                </c:pt>
                <c:pt idx="35">
                  <c:v>67003.676483000003</c:v>
                </c:pt>
                <c:pt idx="36">
                  <c:v>90597.887896</c:v>
                </c:pt>
                <c:pt idx="37">
                  <c:v>101809.05334499999</c:v>
                </c:pt>
                <c:pt idx="38">
                  <c:v>103854.011554</c:v>
                </c:pt>
                <c:pt idx="39">
                  <c:v>96068.193660999998</c:v>
                </c:pt>
                <c:pt idx="40">
                  <c:v>79630.853543999998</c:v>
                </c:pt>
                <c:pt idx="41">
                  <c:v>52064.004329000003</c:v>
                </c:pt>
                <c:pt idx="42">
                  <c:v>39179.037229000001</c:v>
                </c:pt>
                <c:pt idx="43">
                  <c:v>33197.206420000002</c:v>
                </c:pt>
                <c:pt idx="44">
                  <c:v>33550.298563999997</c:v>
                </c:pt>
                <c:pt idx="45">
                  <c:v>39868.453458000004</c:v>
                </c:pt>
                <c:pt idx="46">
                  <c:v>57373.256565000003</c:v>
                </c:pt>
                <c:pt idx="47">
                  <c:v>65900.869676999995</c:v>
                </c:pt>
                <c:pt idx="48">
                  <c:v>67739.591021</c:v>
                </c:pt>
                <c:pt idx="49">
                  <c:v>62341.210620999998</c:v>
                </c:pt>
                <c:pt idx="50">
                  <c:v>50604.072116000003</c:v>
                </c:pt>
                <c:pt idx="51">
                  <c:v>30852.890082000002</c:v>
                </c:pt>
                <c:pt idx="52">
                  <c:v>22053.578691999999</c:v>
                </c:pt>
                <c:pt idx="53">
                  <c:v>18077.861263999999</c:v>
                </c:pt>
                <c:pt idx="54">
                  <c:v>18410.233086</c:v>
                </c:pt>
                <c:pt idx="55">
                  <c:v>22818.436876</c:v>
                </c:pt>
                <c:pt idx="56">
                  <c:v>35218.050477999997</c:v>
                </c:pt>
                <c:pt idx="57">
                  <c:v>41713.233390000001</c:v>
                </c:pt>
                <c:pt idx="58">
                  <c:v>43757.461073999999</c:v>
                </c:pt>
                <c:pt idx="59">
                  <c:v>40882.706444000003</c:v>
                </c:pt>
                <c:pt idx="60">
                  <c:v>33609.548613999999</c:v>
                </c:pt>
                <c:pt idx="61">
                  <c:v>20972.852368</c:v>
                </c:pt>
                <c:pt idx="62">
                  <c:v>14649.963769</c:v>
                </c:pt>
                <c:pt idx="63">
                  <c:v>10965.217237999999</c:v>
                </c:pt>
                <c:pt idx="64">
                  <c:v>9448.2093550000009</c:v>
                </c:pt>
                <c:pt idx="65">
                  <c:v>9700.7572710000004</c:v>
                </c:pt>
                <c:pt idx="66">
                  <c:v>12641.339871</c:v>
                </c:pt>
                <c:pt idx="67">
                  <c:v>13752.533964</c:v>
                </c:pt>
                <c:pt idx="68">
                  <c:v>13678.124947</c:v>
                </c:pt>
                <c:pt idx="69">
                  <c:v>12343.416348999999</c:v>
                </c:pt>
                <c:pt idx="70">
                  <c:v>9928.5848679999999</c:v>
                </c:pt>
                <c:pt idx="71">
                  <c:v>6141.7464620000001</c:v>
                </c:pt>
                <c:pt idx="72">
                  <c:v>4298.0961989999996</c:v>
                </c:pt>
                <c:pt idx="73">
                  <c:v>3298.23918</c:v>
                </c:pt>
                <c:pt idx="74">
                  <c:v>3003.7328000000002</c:v>
                </c:pt>
                <c:pt idx="75">
                  <c:v>3313.1853580000002</c:v>
                </c:pt>
                <c:pt idx="76">
                  <c:v>4640.7005159999999</c:v>
                </c:pt>
                <c:pt idx="77">
                  <c:v>5226.4474060000002</c:v>
                </c:pt>
                <c:pt idx="78">
                  <c:v>5292.8957600000003</c:v>
                </c:pt>
                <c:pt idx="79">
                  <c:v>4801.9636620000001</c:v>
                </c:pt>
                <c:pt idx="80">
                  <c:v>3828.9926559999999</c:v>
                </c:pt>
                <c:pt idx="81">
                  <c:v>2262.841308</c:v>
                </c:pt>
                <c:pt idx="82">
                  <c:v>1500.6135380000001</c:v>
                </c:pt>
                <c:pt idx="83">
                  <c:v>1060.958245</c:v>
                </c:pt>
                <c:pt idx="84">
                  <c:v>871.956727</c:v>
                </c:pt>
                <c:pt idx="85">
                  <c:v>878.63018199999999</c:v>
                </c:pt>
                <c:pt idx="86">
                  <c:v>1173.2803719999999</c:v>
                </c:pt>
                <c:pt idx="87">
                  <c:v>1290.7204630000001</c:v>
                </c:pt>
                <c:pt idx="88">
                  <c:v>1297.0958479999999</c:v>
                </c:pt>
                <c:pt idx="89">
                  <c:v>1183.444291</c:v>
                </c:pt>
                <c:pt idx="90">
                  <c:v>965.45902699999999</c:v>
                </c:pt>
                <c:pt idx="91">
                  <c:v>617.34799999999996</c:v>
                </c:pt>
                <c:pt idx="92">
                  <c:v>436.19010200000002</c:v>
                </c:pt>
                <c:pt idx="93">
                  <c:v>327.40431000000001</c:v>
                </c:pt>
                <c:pt idx="94">
                  <c:v>277.88839899999999</c:v>
                </c:pt>
                <c:pt idx="95">
                  <c:v>276.16918900000002</c:v>
                </c:pt>
                <c:pt idx="96">
                  <c:v>344.13258200000001</c:v>
                </c:pt>
                <c:pt idx="97">
                  <c:v>363.91283199999998</c:v>
                </c:pt>
                <c:pt idx="98">
                  <c:v>353.41941300000002</c:v>
                </c:pt>
                <c:pt idx="99">
                  <c:v>311.43702999999999</c:v>
                </c:pt>
                <c:pt idx="100">
                  <c:v>243.09814399999999</c:v>
                </c:pt>
                <c:pt idx="101">
                  <c:v>141.97218799999999</c:v>
                </c:pt>
                <c:pt idx="102">
                  <c:v>89.531729999999996</c:v>
                </c:pt>
                <c:pt idx="103">
                  <c:v>55.811019999999999</c:v>
                </c:pt>
                <c:pt idx="104">
                  <c:v>34.932256000000002</c:v>
                </c:pt>
                <c:pt idx="105">
                  <c:v>22.03304</c:v>
                </c:pt>
                <c:pt idx="106">
                  <c:v>14.161868999999999</c:v>
                </c:pt>
                <c:pt idx="107">
                  <c:v>9.5294349999999994</c:v>
                </c:pt>
                <c:pt idx="108">
                  <c:v>7.0593370000000002</c:v>
                </c:pt>
                <c:pt idx="109">
                  <c:v>5.969125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78-4D6E-B579-781B2FAE1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271456"/>
        <c:axId val="303269536"/>
      </c:scatterChart>
      <c:valAx>
        <c:axId val="3032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269536"/>
        <c:crosses val="autoZero"/>
        <c:crossBetween val="midCat"/>
        <c:majorUnit val="5"/>
      </c:valAx>
      <c:valAx>
        <c:axId val="3032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27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'MX-1900-dis'!$B$3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'MX-1900-dis'!$A$4:$A$113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cat>
          <c:val>
            <c:numRef>
              <c:f>'MX-1900-dis'!$B$4:$B$113</c:f>
              <c:numCache>
                <c:formatCode>#,##0</c:formatCode>
                <c:ptCount val="110"/>
                <c:pt idx="0">
                  <c:v>362490.68634299998</c:v>
                </c:pt>
                <c:pt idx="1">
                  <c:v>293376.33229200001</c:v>
                </c:pt>
                <c:pt idx="2">
                  <c:v>256667.84484800001</c:v>
                </c:pt>
                <c:pt idx="3">
                  <c:v>224846.11173900001</c:v>
                </c:pt>
                <c:pt idx="4">
                  <c:v>199137.36468299999</c:v>
                </c:pt>
                <c:pt idx="5">
                  <c:v>178814.43098</c:v>
                </c:pt>
                <c:pt idx="6">
                  <c:v>163309.117964</c:v>
                </c:pt>
                <c:pt idx="7">
                  <c:v>152207.642918</c:v>
                </c:pt>
                <c:pt idx="8">
                  <c:v>145216.29037599999</c:v>
                </c:pt>
                <c:pt idx="9">
                  <c:v>142035.864199</c:v>
                </c:pt>
                <c:pt idx="10">
                  <c:v>143650.85876599999</c:v>
                </c:pt>
                <c:pt idx="11">
                  <c:v>143934.28624399999</c:v>
                </c:pt>
                <c:pt idx="12">
                  <c:v>143952.45323799999</c:v>
                </c:pt>
                <c:pt idx="13">
                  <c:v>143594.29219400001</c:v>
                </c:pt>
                <c:pt idx="14">
                  <c:v>142866.86251000001</c:v>
                </c:pt>
                <c:pt idx="15">
                  <c:v>141772.347718</c:v>
                </c:pt>
                <c:pt idx="16">
                  <c:v>140313.43857</c:v>
                </c:pt>
                <c:pt idx="17">
                  <c:v>138493.879109</c:v>
                </c:pt>
                <c:pt idx="18">
                  <c:v>136317.86293599999</c:v>
                </c:pt>
                <c:pt idx="19">
                  <c:v>133799.718715</c:v>
                </c:pt>
                <c:pt idx="20">
                  <c:v>130861.82105899999</c:v>
                </c:pt>
                <c:pt idx="21">
                  <c:v>127995.420564</c:v>
                </c:pt>
                <c:pt idx="22">
                  <c:v>125115.07411</c:v>
                </c:pt>
                <c:pt idx="23">
                  <c:v>122229.80628600001</c:v>
                </c:pt>
                <c:pt idx="24">
                  <c:v>119339.250551</c:v>
                </c:pt>
                <c:pt idx="25">
                  <c:v>116443.507318</c:v>
                </c:pt>
                <c:pt idx="26">
                  <c:v>113542.710836</c:v>
                </c:pt>
                <c:pt idx="27">
                  <c:v>110636.99037</c:v>
                </c:pt>
                <c:pt idx="28">
                  <c:v>107726.566362</c:v>
                </c:pt>
                <c:pt idx="29">
                  <c:v>104809.852545</c:v>
                </c:pt>
                <c:pt idx="30">
                  <c:v>101903.47406199999</c:v>
                </c:pt>
                <c:pt idx="31">
                  <c:v>98912.591004999995</c:v>
                </c:pt>
                <c:pt idx="32">
                  <c:v>95856.114881999994</c:v>
                </c:pt>
                <c:pt idx="33">
                  <c:v>92734.367490999997</c:v>
                </c:pt>
                <c:pt idx="34">
                  <c:v>89549.568486000004</c:v>
                </c:pt>
                <c:pt idx="35">
                  <c:v>86303.887029999998</c:v>
                </c:pt>
                <c:pt idx="36">
                  <c:v>82999.53529</c:v>
                </c:pt>
                <c:pt idx="37">
                  <c:v>79638.741829999999</c:v>
                </c:pt>
                <c:pt idx="38">
                  <c:v>76223.445089000001</c:v>
                </c:pt>
                <c:pt idx="39">
                  <c:v>72762.274833999996</c:v>
                </c:pt>
                <c:pt idx="40">
                  <c:v>69196.775120999999</c:v>
                </c:pt>
                <c:pt idx="41">
                  <c:v>65879.750505999997</c:v>
                </c:pt>
                <c:pt idx="42">
                  <c:v>62738.754665</c:v>
                </c:pt>
                <c:pt idx="43">
                  <c:v>59771.684042000001</c:v>
                </c:pt>
                <c:pt idx="44">
                  <c:v>56969.966621</c:v>
                </c:pt>
                <c:pt idx="45">
                  <c:v>54325.834146000001</c:v>
                </c:pt>
                <c:pt idx="46">
                  <c:v>51831.976800999997</c:v>
                </c:pt>
                <c:pt idx="47">
                  <c:v>49481.503230000002</c:v>
                </c:pt>
                <c:pt idx="48">
                  <c:v>47268.068851999997</c:v>
                </c:pt>
                <c:pt idx="49">
                  <c:v>45182.686017</c:v>
                </c:pt>
                <c:pt idx="50">
                  <c:v>43247.216828999997</c:v>
                </c:pt>
                <c:pt idx="51">
                  <c:v>41297.058779999999</c:v>
                </c:pt>
                <c:pt idx="52">
                  <c:v>39360.345169</c:v>
                </c:pt>
                <c:pt idx="53">
                  <c:v>37433.595945000001</c:v>
                </c:pt>
                <c:pt idx="54">
                  <c:v>35516.480115999999</c:v>
                </c:pt>
                <c:pt idx="55">
                  <c:v>33608.512054999999</c:v>
                </c:pt>
                <c:pt idx="56">
                  <c:v>31709.199503</c:v>
                </c:pt>
                <c:pt idx="57">
                  <c:v>29818.047525999998</c:v>
                </c:pt>
                <c:pt idx="58">
                  <c:v>27934.450091999999</c:v>
                </c:pt>
                <c:pt idx="59">
                  <c:v>26060.093985</c:v>
                </c:pt>
                <c:pt idx="60">
                  <c:v>24173.533825999999</c:v>
                </c:pt>
                <c:pt idx="61">
                  <c:v>22395.265661000001</c:v>
                </c:pt>
                <c:pt idx="62">
                  <c:v>20696.546868000001</c:v>
                </c:pt>
                <c:pt idx="63">
                  <c:v>19073.495696999998</c:v>
                </c:pt>
                <c:pt idx="64">
                  <c:v>17520.060151999998</c:v>
                </c:pt>
                <c:pt idx="65">
                  <c:v>16030.563787999999</c:v>
                </c:pt>
                <c:pt idx="66">
                  <c:v>14599.576945000001</c:v>
                </c:pt>
                <c:pt idx="67">
                  <c:v>13221.867883000001</c:v>
                </c:pt>
                <c:pt idx="68">
                  <c:v>11892.246015999999</c:v>
                </c:pt>
                <c:pt idx="69">
                  <c:v>10608.843163</c:v>
                </c:pt>
                <c:pt idx="70">
                  <c:v>9338.101208</c:v>
                </c:pt>
                <c:pt idx="71">
                  <c:v>8242.5354169999991</c:v>
                </c:pt>
                <c:pt idx="72">
                  <c:v>7273.0569020000003</c:v>
                </c:pt>
                <c:pt idx="73">
                  <c:v>6417.7912409999999</c:v>
                </c:pt>
                <c:pt idx="74">
                  <c:v>5663.1460020000004</c:v>
                </c:pt>
                <c:pt idx="75">
                  <c:v>4997.2812459999996</c:v>
                </c:pt>
                <c:pt idx="76">
                  <c:v>4409.7620559999996</c:v>
                </c:pt>
                <c:pt idx="77">
                  <c:v>3891.3772170000002</c:v>
                </c:pt>
                <c:pt idx="78">
                  <c:v>3433.9999509999998</c:v>
                </c:pt>
                <c:pt idx="79">
                  <c:v>3030.4598390000001</c:v>
                </c:pt>
                <c:pt idx="80">
                  <c:v>2674.4304590000002</c:v>
                </c:pt>
                <c:pt idx="81">
                  <c:v>2360.330207</c:v>
                </c:pt>
                <c:pt idx="82">
                  <c:v>2083.2347949999998</c:v>
                </c:pt>
                <c:pt idx="83">
                  <c:v>1838.8000520000001</c:v>
                </c:pt>
                <c:pt idx="84">
                  <c:v>1623.1938190000001</c:v>
                </c:pt>
                <c:pt idx="85">
                  <c:v>1433.035875</c:v>
                </c:pt>
                <c:pt idx="86">
                  <c:v>1265.344947</c:v>
                </c:pt>
                <c:pt idx="87">
                  <c:v>1117.491968</c:v>
                </c:pt>
                <c:pt idx="88">
                  <c:v>987.15886899999998</c:v>
                </c:pt>
                <c:pt idx="89">
                  <c:v>872.302235</c:v>
                </c:pt>
                <c:pt idx="90">
                  <c:v>771.12127099999998</c:v>
                </c:pt>
                <c:pt idx="91">
                  <c:v>682.02957500000002</c:v>
                </c:pt>
                <c:pt idx="92">
                  <c:v>603.630268</c:v>
                </c:pt>
                <c:pt idx="93">
                  <c:v>534.69409499999995</c:v>
                </c:pt>
                <c:pt idx="94">
                  <c:v>474.14015699999999</c:v>
                </c:pt>
                <c:pt idx="95">
                  <c:v>421.01896699999998</c:v>
                </c:pt>
                <c:pt idx="96">
                  <c:v>374.49756400000001</c:v>
                </c:pt>
                <c:pt idx="97">
                  <c:v>333.84645899999998</c:v>
                </c:pt>
                <c:pt idx="98">
                  <c:v>298.42819900000001</c:v>
                </c:pt>
                <c:pt idx="99">
                  <c:v>267.68737099999998</c:v>
                </c:pt>
                <c:pt idx="100">
                  <c:v>241.14190300000001</c:v>
                </c:pt>
                <c:pt idx="101">
                  <c:v>218.37550300000001</c:v>
                </c:pt>
                <c:pt idx="102">
                  <c:v>199.03113500000001</c:v>
                </c:pt>
                <c:pt idx="103">
                  <c:v>182.80542</c:v>
                </c:pt>
                <c:pt idx="104">
                  <c:v>169.443883</c:v>
                </c:pt>
                <c:pt idx="105">
                  <c:v>158.737067</c:v>
                </c:pt>
                <c:pt idx="106">
                  <c:v>150.51591999999999</c:v>
                </c:pt>
                <c:pt idx="107">
                  <c:v>144.659378</c:v>
                </c:pt>
                <c:pt idx="108">
                  <c:v>141.05502799999999</c:v>
                </c:pt>
                <c:pt idx="109">
                  <c:v>139.30653000000001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D-487D-A174-5A7B1D054FC7}"/>
            </c:ext>
          </c:extLst>
        </c:ser>
        <c:ser>
          <c:idx val="1"/>
          <c:order val="1"/>
          <c:tx>
            <c:strRef>
              <c:f>'MX-1900-dis'!$C$3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'MX-1900-dis'!$A$4:$A$113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cat>
          <c:val>
            <c:numRef>
              <c:f>'MX-1900-dis'!$C$4:$C$113</c:f>
              <c:numCache>
                <c:formatCode>#,##0</c:formatCode>
                <c:ptCount val="110"/>
                <c:pt idx="0">
                  <c:v>349707.73266799998</c:v>
                </c:pt>
                <c:pt idx="1">
                  <c:v>280443.35522099998</c:v>
                </c:pt>
                <c:pt idx="2">
                  <c:v>244143.28192800001</c:v>
                </c:pt>
                <c:pt idx="3">
                  <c:v>213057.304137</c:v>
                </c:pt>
                <c:pt idx="4">
                  <c:v>188363.16622499999</c:v>
                </c:pt>
                <c:pt idx="5">
                  <c:v>169290.518797</c:v>
                </c:pt>
                <c:pt idx="6">
                  <c:v>155251.632381</c:v>
                </c:pt>
                <c:pt idx="7">
                  <c:v>145833.090818</c:v>
                </c:pt>
                <c:pt idx="8">
                  <c:v>140761.01751599999</c:v>
                </c:pt>
                <c:pt idx="9">
                  <c:v>139759.632977</c:v>
                </c:pt>
                <c:pt idx="10">
                  <c:v>144006.02971599999</c:v>
                </c:pt>
                <c:pt idx="11">
                  <c:v>146672.55347000001</c:v>
                </c:pt>
                <c:pt idx="12">
                  <c:v>148936.05990200001</c:v>
                </c:pt>
                <c:pt idx="13">
                  <c:v>150665.163157</c:v>
                </c:pt>
                <c:pt idx="14">
                  <c:v>151860.55505900001</c:v>
                </c:pt>
                <c:pt idx="15">
                  <c:v>152518.354162</c:v>
                </c:pt>
                <c:pt idx="16">
                  <c:v>152636.08783199999</c:v>
                </c:pt>
                <c:pt idx="17">
                  <c:v>152213.35030600001</c:v>
                </c:pt>
                <c:pt idx="18">
                  <c:v>151251.434331</c:v>
                </c:pt>
                <c:pt idx="19">
                  <c:v>149757.412063</c:v>
                </c:pt>
                <c:pt idx="20">
                  <c:v>147701.29585200001</c:v>
                </c:pt>
                <c:pt idx="21">
                  <c:v>145293.174467</c:v>
                </c:pt>
                <c:pt idx="22">
                  <c:v>142503.64629199999</c:v>
                </c:pt>
                <c:pt idx="23">
                  <c:v>139343.67662899999</c:v>
                </c:pt>
                <c:pt idx="24">
                  <c:v>135821.27983700001</c:v>
                </c:pt>
                <c:pt idx="25">
                  <c:v>131945.60446900001</c:v>
                </c:pt>
                <c:pt idx="26">
                  <c:v>127726.75391100001</c:v>
                </c:pt>
                <c:pt idx="27">
                  <c:v>123175.656735</c:v>
                </c:pt>
                <c:pt idx="28">
                  <c:v>118303.315307</c:v>
                </c:pt>
                <c:pt idx="29">
                  <c:v>113137.59650100001</c:v>
                </c:pt>
                <c:pt idx="30">
                  <c:v>107545.51033400001</c:v>
                </c:pt>
                <c:pt idx="31">
                  <c:v>102385.095978</c:v>
                </c:pt>
                <c:pt idx="32">
                  <c:v>97489.884602000006</c:v>
                </c:pt>
                <c:pt idx="33">
                  <c:v>92862.336878000002</c:v>
                </c:pt>
                <c:pt idx="34">
                  <c:v>88488.913308000003</c:v>
                </c:pt>
                <c:pt idx="35">
                  <c:v>84357.602375000002</c:v>
                </c:pt>
                <c:pt idx="36">
                  <c:v>80457.117631999994</c:v>
                </c:pt>
                <c:pt idx="37">
                  <c:v>76776.786017000006</c:v>
                </c:pt>
                <c:pt idx="38">
                  <c:v>73306.583901000005</c:v>
                </c:pt>
                <c:pt idx="39">
                  <c:v>70036.168974</c:v>
                </c:pt>
                <c:pt idx="40">
                  <c:v>66964.760410000003</c:v>
                </c:pt>
                <c:pt idx="41">
                  <c:v>64036.881703999999</c:v>
                </c:pt>
                <c:pt idx="42">
                  <c:v>61254.392017999999</c:v>
                </c:pt>
                <c:pt idx="43">
                  <c:v>58610.128688999997</c:v>
                </c:pt>
                <c:pt idx="44">
                  <c:v>56098.171226999999</c:v>
                </c:pt>
                <c:pt idx="45">
                  <c:v>53712.852355000003</c:v>
                </c:pt>
                <c:pt idx="46">
                  <c:v>51448.781155999997</c:v>
                </c:pt>
                <c:pt idx="47">
                  <c:v>49300.859450000004</c:v>
                </c:pt>
                <c:pt idx="48">
                  <c:v>47264.476724</c:v>
                </c:pt>
                <c:pt idx="49">
                  <c:v>45330.696266999999</c:v>
                </c:pt>
                <c:pt idx="50">
                  <c:v>43537.002263000002</c:v>
                </c:pt>
                <c:pt idx="51">
                  <c:v>41638.188101</c:v>
                </c:pt>
                <c:pt idx="52">
                  <c:v>39680.400708000001</c:v>
                </c:pt>
                <c:pt idx="53">
                  <c:v>37662.107510000002</c:v>
                </c:pt>
                <c:pt idx="54">
                  <c:v>35586.622611999999</c:v>
                </c:pt>
                <c:pt idx="55">
                  <c:v>33457.108808999998</c:v>
                </c:pt>
                <c:pt idx="56">
                  <c:v>31276.802095999999</c:v>
                </c:pt>
                <c:pt idx="57">
                  <c:v>29048.993923999999</c:v>
                </c:pt>
                <c:pt idx="58">
                  <c:v>26776.700038999999</c:v>
                </c:pt>
                <c:pt idx="59">
                  <c:v>24470.073939000002</c:v>
                </c:pt>
                <c:pt idx="60">
                  <c:v>22067.874524999999</c:v>
                </c:pt>
                <c:pt idx="61">
                  <c:v>19947.821038999999</c:v>
                </c:pt>
                <c:pt idx="62">
                  <c:v>18018.703555</c:v>
                </c:pt>
                <c:pt idx="63">
                  <c:v>16268.700435999999</c:v>
                </c:pt>
                <c:pt idx="64">
                  <c:v>14680.051242</c:v>
                </c:pt>
                <c:pt idx="65">
                  <c:v>13236.980432</c:v>
                </c:pt>
                <c:pt idx="66">
                  <c:v>11925.186046999999</c:v>
                </c:pt>
                <c:pt idx="67">
                  <c:v>10731.656105</c:v>
                </c:pt>
                <c:pt idx="68">
                  <c:v>9644.5283629999994</c:v>
                </c:pt>
                <c:pt idx="69">
                  <c:v>8653.4982550000004</c:v>
                </c:pt>
                <c:pt idx="70">
                  <c:v>7744.123697</c:v>
                </c:pt>
                <c:pt idx="71">
                  <c:v>6934.0979189999998</c:v>
                </c:pt>
                <c:pt idx="72">
                  <c:v>6208.4626930000004</c:v>
                </c:pt>
                <c:pt idx="73">
                  <c:v>5558.8605470000002</c:v>
                </c:pt>
                <c:pt idx="74">
                  <c:v>4977.3102419999996</c:v>
                </c:pt>
                <c:pt idx="75">
                  <c:v>4456.6912629999997</c:v>
                </c:pt>
                <c:pt idx="76">
                  <c:v>3990.631065</c:v>
                </c:pt>
                <c:pt idx="77">
                  <c:v>3573.4242509999999</c:v>
                </c:pt>
                <c:pt idx="78">
                  <c:v>3199.9635499999999</c:v>
                </c:pt>
                <c:pt idx="79">
                  <c:v>2865.6771840000001</c:v>
                </c:pt>
                <c:pt idx="80">
                  <c:v>2566.4729170000001</c:v>
                </c:pt>
                <c:pt idx="81">
                  <c:v>2298.6879530000001</c:v>
                </c:pt>
                <c:pt idx="82">
                  <c:v>2059.0441040000001</c:v>
                </c:pt>
                <c:pt idx="83">
                  <c:v>1844.607659</c:v>
                </c:pt>
                <c:pt idx="84">
                  <c:v>1652.753471</c:v>
                </c:pt>
                <c:pt idx="85">
                  <c:v>1481.132822</c:v>
                </c:pt>
                <c:pt idx="86">
                  <c:v>1327.6446719999999</c:v>
                </c:pt>
                <c:pt idx="87">
                  <c:v>1190.4099450000001</c:v>
                </c:pt>
                <c:pt idx="88">
                  <c:v>1067.748517</c:v>
                </c:pt>
                <c:pt idx="89">
                  <c:v>958.15866300000005</c:v>
                </c:pt>
                <c:pt idx="90">
                  <c:v>860.29866300000003</c:v>
                </c:pt>
                <c:pt idx="91">
                  <c:v>772.97038799999996</c:v>
                </c:pt>
                <c:pt idx="92">
                  <c:v>695.10462800000005</c:v>
                </c:pt>
                <c:pt idx="93">
                  <c:v>625.74800800000003</c:v>
                </c:pt>
                <c:pt idx="94">
                  <c:v>564.05131900000003</c:v>
                </c:pt>
                <c:pt idx="95">
                  <c:v>509.25912099999999</c:v>
                </c:pt>
                <c:pt idx="96">
                  <c:v>460.70050099999997</c:v>
                </c:pt>
                <c:pt idx="97">
                  <c:v>417.78085700000003</c:v>
                </c:pt>
                <c:pt idx="98">
                  <c:v>379.97462300000001</c:v>
                </c:pt>
                <c:pt idx="99">
                  <c:v>346.81883800000003</c:v>
                </c:pt>
                <c:pt idx="100">
                  <c:v>317.90747499999998</c:v>
                </c:pt>
                <c:pt idx="101">
                  <c:v>292.88647700000001</c:v>
                </c:pt>
                <c:pt idx="102">
                  <c:v>271.44942400000002</c:v>
                </c:pt>
                <c:pt idx="103">
                  <c:v>253.333776</c:v>
                </c:pt>
                <c:pt idx="104">
                  <c:v>238.31766400000001</c:v>
                </c:pt>
                <c:pt idx="105">
                  <c:v>226.21729500000001</c:v>
                </c:pt>
                <c:pt idx="106">
                  <c:v>216.88318000000001</c:v>
                </c:pt>
                <c:pt idx="107">
                  <c:v>210.20998299999999</c:v>
                </c:pt>
                <c:pt idx="108">
                  <c:v>206.09261000000001</c:v>
                </c:pt>
                <c:pt idx="109">
                  <c:v>204.09203600000001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D-487D-A174-5A7B1D05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0392"/>
        <c:axId val="882462784"/>
      </c:lineChart>
      <c:catAx>
        <c:axId val="70329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462784"/>
        <c:crosses val="autoZero"/>
        <c:auto val="1"/>
        <c:lblAlgn val="ctr"/>
        <c:lblOffset val="100"/>
        <c:noMultiLvlLbl val="0"/>
      </c:catAx>
      <c:valAx>
        <c:axId val="8824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29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Европейская</a:t>
            </a:r>
            <a:r>
              <a:rPr lang="ru-RU" b="1" baseline="0"/>
              <a:t> Россия + Сибирь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'RU-1897'!$H$4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'RU-1897'!$A$5:$A$114</c:f>
              <c:numCache>
                <c:formatCode>0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'RU-1897'!$H$5:$H$114</c:f>
              <c:numCache>
                <c:formatCode>#,##0</c:formatCode>
                <c:ptCount val="110"/>
                <c:pt idx="0">
                  <c:v>1799585</c:v>
                </c:pt>
                <c:pt idx="1">
                  <c:v>1430584</c:v>
                </c:pt>
                <c:pt idx="2">
                  <c:v>1450430</c:v>
                </c:pt>
                <c:pt idx="3">
                  <c:v>1428134</c:v>
                </c:pt>
                <c:pt idx="4">
                  <c:v>1331294</c:v>
                </c:pt>
                <c:pt idx="5">
                  <c:v>1253530</c:v>
                </c:pt>
                <c:pt idx="6">
                  <c:v>1232195</c:v>
                </c:pt>
                <c:pt idx="7">
                  <c:v>1179192</c:v>
                </c:pt>
                <c:pt idx="8">
                  <c:v>1215578</c:v>
                </c:pt>
                <c:pt idx="9">
                  <c:v>1095634</c:v>
                </c:pt>
                <c:pt idx="10">
                  <c:v>1204078</c:v>
                </c:pt>
                <c:pt idx="11">
                  <c:v>981933</c:v>
                </c:pt>
                <c:pt idx="12">
                  <c:v>1276307</c:v>
                </c:pt>
                <c:pt idx="13">
                  <c:v>1052707</c:v>
                </c:pt>
                <c:pt idx="14">
                  <c:v>1023946</c:v>
                </c:pt>
                <c:pt idx="15">
                  <c:v>992837</c:v>
                </c:pt>
                <c:pt idx="16">
                  <c:v>984612</c:v>
                </c:pt>
                <c:pt idx="17">
                  <c:v>978629</c:v>
                </c:pt>
                <c:pt idx="18">
                  <c:v>998723</c:v>
                </c:pt>
                <c:pt idx="19">
                  <c:v>848201</c:v>
                </c:pt>
                <c:pt idx="20">
                  <c:v>879164</c:v>
                </c:pt>
                <c:pt idx="21">
                  <c:v>800179</c:v>
                </c:pt>
                <c:pt idx="22">
                  <c:v>863687</c:v>
                </c:pt>
                <c:pt idx="23">
                  <c:v>791814</c:v>
                </c:pt>
                <c:pt idx="24">
                  <c:v>690732</c:v>
                </c:pt>
                <c:pt idx="25">
                  <c:v>795114</c:v>
                </c:pt>
                <c:pt idx="26">
                  <c:v>748462</c:v>
                </c:pt>
                <c:pt idx="27">
                  <c:v>785934</c:v>
                </c:pt>
                <c:pt idx="28">
                  <c:v>785014</c:v>
                </c:pt>
                <c:pt idx="29">
                  <c:v>505001</c:v>
                </c:pt>
                <c:pt idx="30">
                  <c:v>1055694</c:v>
                </c:pt>
                <c:pt idx="31">
                  <c:v>401717</c:v>
                </c:pt>
                <c:pt idx="32">
                  <c:v>602761</c:v>
                </c:pt>
                <c:pt idx="33">
                  <c:v>573913</c:v>
                </c:pt>
                <c:pt idx="34">
                  <c:v>431960</c:v>
                </c:pt>
                <c:pt idx="35">
                  <c:v>813420</c:v>
                </c:pt>
                <c:pt idx="36">
                  <c:v>570698</c:v>
                </c:pt>
                <c:pt idx="37">
                  <c:v>584686</c:v>
                </c:pt>
                <c:pt idx="38">
                  <c:v>632533</c:v>
                </c:pt>
                <c:pt idx="39">
                  <c:v>399785</c:v>
                </c:pt>
                <c:pt idx="40">
                  <c:v>905505</c:v>
                </c:pt>
                <c:pt idx="41">
                  <c:v>308069</c:v>
                </c:pt>
                <c:pt idx="42">
                  <c:v>503889</c:v>
                </c:pt>
                <c:pt idx="43">
                  <c:v>423710</c:v>
                </c:pt>
                <c:pt idx="44">
                  <c:v>341645</c:v>
                </c:pt>
                <c:pt idx="45">
                  <c:v>715609</c:v>
                </c:pt>
                <c:pt idx="46">
                  <c:v>383680</c:v>
                </c:pt>
                <c:pt idx="47">
                  <c:v>360612</c:v>
                </c:pt>
                <c:pt idx="48">
                  <c:v>440852</c:v>
                </c:pt>
                <c:pt idx="49">
                  <c:v>244786</c:v>
                </c:pt>
                <c:pt idx="50">
                  <c:v>812835</c:v>
                </c:pt>
                <c:pt idx="51">
                  <c:v>183378</c:v>
                </c:pt>
                <c:pt idx="52">
                  <c:v>313188</c:v>
                </c:pt>
                <c:pt idx="53">
                  <c:v>259360</c:v>
                </c:pt>
                <c:pt idx="54">
                  <c:v>210742</c:v>
                </c:pt>
                <c:pt idx="55">
                  <c:v>542450</c:v>
                </c:pt>
                <c:pt idx="56">
                  <c:v>288780</c:v>
                </c:pt>
                <c:pt idx="57">
                  <c:v>232543</c:v>
                </c:pt>
                <c:pt idx="58">
                  <c:v>252281</c:v>
                </c:pt>
                <c:pt idx="59">
                  <c:v>140690</c:v>
                </c:pt>
                <c:pt idx="60">
                  <c:v>686050</c:v>
                </c:pt>
                <c:pt idx="61">
                  <c:v>118251</c:v>
                </c:pt>
                <c:pt idx="62">
                  <c:v>197306</c:v>
                </c:pt>
                <c:pt idx="63">
                  <c:v>176982</c:v>
                </c:pt>
                <c:pt idx="64">
                  <c:v>122679</c:v>
                </c:pt>
                <c:pt idx="65">
                  <c:v>357326</c:v>
                </c:pt>
                <c:pt idx="66">
                  <c:v>140457</c:v>
                </c:pt>
                <c:pt idx="67">
                  <c:v>148740</c:v>
                </c:pt>
                <c:pt idx="68">
                  <c:v>114114</c:v>
                </c:pt>
                <c:pt idx="69">
                  <c:v>61105</c:v>
                </c:pt>
                <c:pt idx="70">
                  <c:v>379260</c:v>
                </c:pt>
                <c:pt idx="71">
                  <c:v>47362</c:v>
                </c:pt>
                <c:pt idx="72">
                  <c:v>80630</c:v>
                </c:pt>
                <c:pt idx="73">
                  <c:v>62901</c:v>
                </c:pt>
                <c:pt idx="74">
                  <c:v>46340</c:v>
                </c:pt>
                <c:pt idx="75">
                  <c:v>158782</c:v>
                </c:pt>
                <c:pt idx="76">
                  <c:v>49674</c:v>
                </c:pt>
                <c:pt idx="77">
                  <c:v>40825</c:v>
                </c:pt>
                <c:pt idx="78">
                  <c:v>46067</c:v>
                </c:pt>
                <c:pt idx="79">
                  <c:v>19050</c:v>
                </c:pt>
                <c:pt idx="80">
                  <c:v>141367</c:v>
                </c:pt>
                <c:pt idx="81">
                  <c:v>12177</c:v>
                </c:pt>
                <c:pt idx="82">
                  <c:v>18053</c:v>
                </c:pt>
                <c:pt idx="83">
                  <c:v>13146</c:v>
                </c:pt>
                <c:pt idx="84">
                  <c:v>11994</c:v>
                </c:pt>
                <c:pt idx="85">
                  <c:v>36446</c:v>
                </c:pt>
                <c:pt idx="86">
                  <c:v>9657</c:v>
                </c:pt>
                <c:pt idx="87">
                  <c:v>7869</c:v>
                </c:pt>
                <c:pt idx="88">
                  <c:v>6313</c:v>
                </c:pt>
                <c:pt idx="89">
                  <c:v>3735</c:v>
                </c:pt>
                <c:pt idx="90">
                  <c:v>24476</c:v>
                </c:pt>
                <c:pt idx="91">
                  <c:v>1560</c:v>
                </c:pt>
                <c:pt idx="92">
                  <c:v>1941</c:v>
                </c:pt>
                <c:pt idx="93">
                  <c:v>1670</c:v>
                </c:pt>
                <c:pt idx="94">
                  <c:v>1391</c:v>
                </c:pt>
                <c:pt idx="95">
                  <c:v>5244</c:v>
                </c:pt>
                <c:pt idx="96">
                  <c:v>2154</c:v>
                </c:pt>
                <c:pt idx="97">
                  <c:v>1638</c:v>
                </c:pt>
                <c:pt idx="98">
                  <c:v>1583</c:v>
                </c:pt>
                <c:pt idx="99">
                  <c:v>717</c:v>
                </c:pt>
                <c:pt idx="100">
                  <c:v>2400</c:v>
                </c:pt>
                <c:pt idx="101">
                  <c:v>271</c:v>
                </c:pt>
                <c:pt idx="102">
                  <c:v>352</c:v>
                </c:pt>
                <c:pt idx="103">
                  <c:v>255</c:v>
                </c:pt>
                <c:pt idx="104">
                  <c:v>149</c:v>
                </c:pt>
                <c:pt idx="105">
                  <c:v>318</c:v>
                </c:pt>
                <c:pt idx="106">
                  <c:v>115</c:v>
                </c:pt>
                <c:pt idx="107">
                  <c:v>91</c:v>
                </c:pt>
                <c:pt idx="108">
                  <c:v>61</c:v>
                </c:pt>
                <c:pt idx="109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2-47BD-93E7-8EC938758146}"/>
            </c:ext>
          </c:extLst>
        </c:ser>
        <c:ser>
          <c:idx val="1"/>
          <c:order val="1"/>
          <c:tx>
            <c:strRef>
              <c:f>'RU-1897'!$I$4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'RU-1897'!$A$5:$A$114</c:f>
              <c:numCache>
                <c:formatCode>0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'RU-1897'!$I$5:$I$114</c:f>
              <c:numCache>
                <c:formatCode>#,##0</c:formatCode>
                <c:ptCount val="110"/>
                <c:pt idx="0">
                  <c:v>1792949</c:v>
                </c:pt>
                <c:pt idx="1">
                  <c:v>1450048</c:v>
                </c:pt>
                <c:pt idx="2">
                  <c:v>1460857</c:v>
                </c:pt>
                <c:pt idx="3">
                  <c:v>1448117</c:v>
                </c:pt>
                <c:pt idx="4">
                  <c:v>1363876</c:v>
                </c:pt>
                <c:pt idx="5">
                  <c:v>1269384</c:v>
                </c:pt>
                <c:pt idx="6">
                  <c:v>1247881</c:v>
                </c:pt>
                <c:pt idx="7">
                  <c:v>1223008</c:v>
                </c:pt>
                <c:pt idx="8">
                  <c:v>1235027</c:v>
                </c:pt>
                <c:pt idx="9">
                  <c:v>1093997</c:v>
                </c:pt>
                <c:pt idx="10">
                  <c:v>1215355</c:v>
                </c:pt>
                <c:pt idx="11">
                  <c:v>969224</c:v>
                </c:pt>
                <c:pt idx="12">
                  <c:v>1281067</c:v>
                </c:pt>
                <c:pt idx="13">
                  <c:v>1058899</c:v>
                </c:pt>
                <c:pt idx="14">
                  <c:v>1049048</c:v>
                </c:pt>
                <c:pt idx="15">
                  <c:v>1022042</c:v>
                </c:pt>
                <c:pt idx="16">
                  <c:v>1094871</c:v>
                </c:pt>
                <c:pt idx="17">
                  <c:v>1098460</c:v>
                </c:pt>
                <c:pt idx="18">
                  <c:v>1089350</c:v>
                </c:pt>
                <c:pt idx="19">
                  <c:v>897488</c:v>
                </c:pt>
                <c:pt idx="20">
                  <c:v>1192042</c:v>
                </c:pt>
                <c:pt idx="21">
                  <c:v>636809</c:v>
                </c:pt>
                <c:pt idx="22">
                  <c:v>885528</c:v>
                </c:pt>
                <c:pt idx="23">
                  <c:v>825830</c:v>
                </c:pt>
                <c:pt idx="24">
                  <c:v>720216</c:v>
                </c:pt>
                <c:pt idx="25">
                  <c:v>1072869</c:v>
                </c:pt>
                <c:pt idx="26">
                  <c:v>727473</c:v>
                </c:pt>
                <c:pt idx="27">
                  <c:v>760804</c:v>
                </c:pt>
                <c:pt idx="28">
                  <c:v>807738</c:v>
                </c:pt>
                <c:pt idx="29">
                  <c:v>439289</c:v>
                </c:pt>
                <c:pt idx="30">
                  <c:v>1376799</c:v>
                </c:pt>
                <c:pt idx="31">
                  <c:v>339826</c:v>
                </c:pt>
                <c:pt idx="32">
                  <c:v>581295</c:v>
                </c:pt>
                <c:pt idx="33">
                  <c:v>527699</c:v>
                </c:pt>
                <c:pt idx="34">
                  <c:v>437786</c:v>
                </c:pt>
                <c:pt idx="35">
                  <c:v>952338</c:v>
                </c:pt>
                <c:pt idx="36">
                  <c:v>543752</c:v>
                </c:pt>
                <c:pt idx="37">
                  <c:v>542612</c:v>
                </c:pt>
                <c:pt idx="38">
                  <c:v>605566</c:v>
                </c:pt>
                <c:pt idx="39">
                  <c:v>340628</c:v>
                </c:pt>
                <c:pt idx="40">
                  <c:v>1199144</c:v>
                </c:pt>
                <c:pt idx="41">
                  <c:v>256184</c:v>
                </c:pt>
                <c:pt idx="42">
                  <c:v>452626</c:v>
                </c:pt>
                <c:pt idx="43">
                  <c:v>385797</c:v>
                </c:pt>
                <c:pt idx="44">
                  <c:v>328233</c:v>
                </c:pt>
                <c:pt idx="45">
                  <c:v>796360</c:v>
                </c:pt>
                <c:pt idx="46">
                  <c:v>340053</c:v>
                </c:pt>
                <c:pt idx="47">
                  <c:v>335352</c:v>
                </c:pt>
                <c:pt idx="48">
                  <c:v>419733</c:v>
                </c:pt>
                <c:pt idx="49">
                  <c:v>223859</c:v>
                </c:pt>
                <c:pt idx="50">
                  <c:v>1082324</c:v>
                </c:pt>
                <c:pt idx="51">
                  <c:v>170897</c:v>
                </c:pt>
                <c:pt idx="52">
                  <c:v>295658</c:v>
                </c:pt>
                <c:pt idx="53">
                  <c:v>253700</c:v>
                </c:pt>
                <c:pt idx="54">
                  <c:v>222184</c:v>
                </c:pt>
                <c:pt idx="55">
                  <c:v>585136</c:v>
                </c:pt>
                <c:pt idx="56">
                  <c:v>258577</c:v>
                </c:pt>
                <c:pt idx="57">
                  <c:v>208310</c:v>
                </c:pt>
                <c:pt idx="58">
                  <c:v>233912</c:v>
                </c:pt>
                <c:pt idx="59">
                  <c:v>125306</c:v>
                </c:pt>
                <c:pt idx="60">
                  <c:v>907775</c:v>
                </c:pt>
                <c:pt idx="61">
                  <c:v>102415</c:v>
                </c:pt>
                <c:pt idx="62">
                  <c:v>177053</c:v>
                </c:pt>
                <c:pt idx="63">
                  <c:v>158971</c:v>
                </c:pt>
                <c:pt idx="64">
                  <c:v>117725</c:v>
                </c:pt>
                <c:pt idx="65">
                  <c:v>390908</c:v>
                </c:pt>
                <c:pt idx="66">
                  <c:v>113437</c:v>
                </c:pt>
                <c:pt idx="67">
                  <c:v>127023</c:v>
                </c:pt>
                <c:pt idx="68">
                  <c:v>108737</c:v>
                </c:pt>
                <c:pt idx="69">
                  <c:v>60508</c:v>
                </c:pt>
                <c:pt idx="70">
                  <c:v>522328</c:v>
                </c:pt>
                <c:pt idx="71">
                  <c:v>43292</c:v>
                </c:pt>
                <c:pt idx="72">
                  <c:v>71854</c:v>
                </c:pt>
                <c:pt idx="73">
                  <c:v>55974</c:v>
                </c:pt>
                <c:pt idx="74">
                  <c:v>41171</c:v>
                </c:pt>
                <c:pt idx="75">
                  <c:v>159422</c:v>
                </c:pt>
                <c:pt idx="76">
                  <c:v>39445</c:v>
                </c:pt>
                <c:pt idx="77">
                  <c:v>31463</c:v>
                </c:pt>
                <c:pt idx="78">
                  <c:v>39379</c:v>
                </c:pt>
                <c:pt idx="79">
                  <c:v>16950</c:v>
                </c:pt>
                <c:pt idx="80">
                  <c:v>175101</c:v>
                </c:pt>
                <c:pt idx="81">
                  <c:v>10458</c:v>
                </c:pt>
                <c:pt idx="82">
                  <c:v>15247</c:v>
                </c:pt>
                <c:pt idx="83">
                  <c:v>10975</c:v>
                </c:pt>
                <c:pt idx="84">
                  <c:v>9312</c:v>
                </c:pt>
                <c:pt idx="85">
                  <c:v>34885</c:v>
                </c:pt>
                <c:pt idx="86">
                  <c:v>7264</c:v>
                </c:pt>
                <c:pt idx="87">
                  <c:v>6388</c:v>
                </c:pt>
                <c:pt idx="88">
                  <c:v>5342</c:v>
                </c:pt>
                <c:pt idx="89">
                  <c:v>3650</c:v>
                </c:pt>
                <c:pt idx="90">
                  <c:v>32625</c:v>
                </c:pt>
                <c:pt idx="91">
                  <c:v>1529</c:v>
                </c:pt>
                <c:pt idx="92">
                  <c:v>1997</c:v>
                </c:pt>
                <c:pt idx="93">
                  <c:v>1527</c:v>
                </c:pt>
                <c:pt idx="94">
                  <c:v>1142</c:v>
                </c:pt>
                <c:pt idx="95">
                  <c:v>5745</c:v>
                </c:pt>
                <c:pt idx="96">
                  <c:v>1827</c:v>
                </c:pt>
                <c:pt idx="97">
                  <c:v>1320</c:v>
                </c:pt>
                <c:pt idx="98">
                  <c:v>1437</c:v>
                </c:pt>
                <c:pt idx="99">
                  <c:v>787</c:v>
                </c:pt>
                <c:pt idx="100">
                  <c:v>3635</c:v>
                </c:pt>
                <c:pt idx="101">
                  <c:v>294</c:v>
                </c:pt>
                <c:pt idx="102">
                  <c:v>410</c:v>
                </c:pt>
                <c:pt idx="103">
                  <c:v>252</c:v>
                </c:pt>
                <c:pt idx="104">
                  <c:v>165</c:v>
                </c:pt>
                <c:pt idx="105">
                  <c:v>385</c:v>
                </c:pt>
                <c:pt idx="106">
                  <c:v>110</c:v>
                </c:pt>
                <c:pt idx="107">
                  <c:v>81</c:v>
                </c:pt>
                <c:pt idx="108">
                  <c:v>57</c:v>
                </c:pt>
                <c:pt idx="109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2-47BD-93E7-8EC938758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299776"/>
        <c:axId val="303307936"/>
      </c:scatterChart>
      <c:valAx>
        <c:axId val="30329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307936"/>
        <c:crosses val="autoZero"/>
        <c:crossBetween val="midCat"/>
        <c:majorUnit val="5"/>
      </c:valAx>
      <c:valAx>
        <c:axId val="303307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29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Мужчины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'RU-vs-MX'!$AJ$4</c:f>
              <c:strCache>
                <c:ptCount val="1"/>
                <c:pt idx="0">
                  <c:v>RU1897-M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'RU-vs-MX'!$AJ$5:$AJ$16</c:f>
              <c:numCache>
                <c:formatCode>0.000</c:formatCode>
                <c:ptCount val="12"/>
                <c:pt idx="0">
                  <c:v>1.5005023185550626</c:v>
                </c:pt>
                <c:pt idx="1">
                  <c:v>1.1611808833753829</c:v>
                </c:pt>
                <c:pt idx="2">
                  <c:v>0.890272424988795</c:v>
                </c:pt>
                <c:pt idx="3">
                  <c:v>0.67417183337252473</c:v>
                </c:pt>
                <c:pt idx="4">
                  <c:v>0.55299965207228752</c:v>
                </c:pt>
                <c:pt idx="5">
                  <c:v>0.39580062151830903</c:v>
                </c:pt>
                <c:pt idx="6">
                  <c:v>0.27811749880764447</c:v>
                </c:pt>
                <c:pt idx="7">
                  <c:v>0.14503139250214014</c:v>
                </c:pt>
                <c:pt idx="8">
                  <c:v>5.1542773473445859E-2</c:v>
                </c:pt>
                <c:pt idx="9">
                  <c:v>9.5856338557109497E-3</c:v>
                </c:pt>
                <c:pt idx="10">
                  <c:v>1.4886986114988825E-3</c:v>
                </c:pt>
                <c:pt idx="11">
                  <c:v>1.3351195296515072E-4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E-4B8B-8E2A-1187CF3B04B5}"/>
            </c:ext>
          </c:extLst>
        </c:ser>
        <c:ser>
          <c:idx val="1"/>
          <c:order val="1"/>
          <c:tx>
            <c:strRef>
              <c:f>'RU-vs-MX'!$AM$4</c:f>
              <c:strCache>
                <c:ptCount val="1"/>
                <c:pt idx="0">
                  <c:v>MX1895-M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'RU-vs-MX'!$AM$5:$AM$16</c:f>
              <c:numCache>
                <c:formatCode>0.000</c:formatCode>
                <c:ptCount val="12"/>
                <c:pt idx="0">
                  <c:v>1.5852934537293015</c:v>
                </c:pt>
                <c:pt idx="1">
                  <c:v>1.2933562061925126</c:v>
                </c:pt>
                <c:pt idx="2">
                  <c:v>0.87978898055999388</c:v>
                </c:pt>
                <c:pt idx="3">
                  <c:v>0.7632899820502802</c:v>
                </c:pt>
                <c:pt idx="4">
                  <c:v>0.55232554746194007</c:v>
                </c:pt>
                <c:pt idx="5">
                  <c:v>0.33140708024053389</c:v>
                </c:pt>
                <c:pt idx="6">
                  <c:v>0.22732583281329241</c:v>
                </c:pt>
                <c:pt idx="7">
                  <c:v>8.2888464797029479E-2</c:v>
                </c:pt>
                <c:pt idx="8">
                  <c:v>2.7335011584828976E-2</c:v>
                </c:pt>
                <c:pt idx="9">
                  <c:v>7.0977118247794154E-3</c:v>
                </c:pt>
                <c:pt idx="10">
                  <c:v>1.7148318004168307E-3</c:v>
                </c:pt>
                <c:pt idx="11">
                  <c:v>7.2464691438382017E-5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E-4B8B-8E2A-1187CF3B04B5}"/>
            </c:ext>
          </c:extLst>
        </c:ser>
        <c:ser>
          <c:idx val="2"/>
          <c:order val="2"/>
          <c:tx>
            <c:strRef>
              <c:f>'RU-vs-MX'!$AP$4</c:f>
              <c:strCache>
                <c:ptCount val="1"/>
                <c:pt idx="0">
                  <c:v>MX1900-M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'RU-vs-MX'!$O$5:$O$16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'RU-vs-MX'!$AP$5:$AP$16</c:f>
              <c:numCache>
                <c:formatCode>0.000</c:formatCode>
                <c:ptCount val="12"/>
                <c:pt idx="0">
                  <c:v>1.9679529162496852</c:v>
                </c:pt>
                <c:pt idx="1">
                  <c:v>1.1040278601258002</c:v>
                </c:pt>
                <c:pt idx="2">
                  <c:v>0.96904604771148239</c:v>
                </c:pt>
                <c:pt idx="3">
                  <c:v>0.7598680565771343</c:v>
                </c:pt>
                <c:pt idx="4">
                  <c:v>0.52454819647953144</c:v>
                </c:pt>
                <c:pt idx="5">
                  <c:v>0.3275788754442604</c:v>
                </c:pt>
                <c:pt idx="6">
                  <c:v>0.18625664519991963</c:v>
                </c:pt>
                <c:pt idx="7">
                  <c:v>7.6042872205085404E-2</c:v>
                </c:pt>
                <c:pt idx="8">
                  <c:v>2.233913931986688E-2</c:v>
                </c:pt>
                <c:pt idx="9">
                  <c:v>6.4352938801536513E-3</c:v>
                </c:pt>
                <c:pt idx="10">
                  <c:v>1.992424788502368E-3</c:v>
                </c:pt>
                <c:pt idx="11">
                  <c:v>1.081179707714792E-3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9E-4B8B-8E2A-1187CF3B0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99215"/>
        <c:axId val="1123206895"/>
      </c:scatterChart>
      <c:valAx>
        <c:axId val="112319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206895"/>
        <c:crosses val="autoZero"/>
        <c:crossBetween val="midCat"/>
        <c:majorUnit val="5"/>
      </c:valAx>
      <c:valAx>
        <c:axId val="11232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19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Женщины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'RU-vs-MX'!$AK$4</c:f>
              <c:strCache>
                <c:ptCount val="1"/>
                <c:pt idx="0">
                  <c:v>RU1897-F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'RU-vs-MX'!$AK$5:$AK$16</c:f>
              <c:numCache>
                <c:formatCode>0.000</c:formatCode>
                <c:ptCount val="12"/>
                <c:pt idx="0">
                  <c:v>1.515793672443005</c:v>
                </c:pt>
                <c:pt idx="1">
                  <c:v>1.1740672069927673</c:v>
                </c:pt>
                <c:pt idx="2">
                  <c:v>0.95421073456068117</c:v>
                </c:pt>
                <c:pt idx="3">
                  <c:v>0.71309681973217121</c:v>
                </c:pt>
                <c:pt idx="4">
                  <c:v>0.56539690244806962</c:v>
                </c:pt>
                <c:pt idx="5">
                  <c:v>0.41748905340640469</c:v>
                </c:pt>
                <c:pt idx="6">
                  <c:v>0.28993270160599854</c:v>
                </c:pt>
                <c:pt idx="7">
                  <c:v>0.15481255481464826</c:v>
                </c:pt>
                <c:pt idx="8">
                  <c:v>5.1201632282448048E-2</c:v>
                </c:pt>
                <c:pt idx="9">
                  <c:v>9.7158180938363339E-3</c:v>
                </c:pt>
                <c:pt idx="10">
                  <c:v>1.6005299980837405E-3</c:v>
                </c:pt>
                <c:pt idx="11">
                  <c:v>1.3976402327016535E-4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6-4F3C-96EA-570172C61F27}"/>
            </c:ext>
          </c:extLst>
        </c:ser>
        <c:ser>
          <c:idx val="1"/>
          <c:order val="1"/>
          <c:tx>
            <c:strRef>
              <c:f>'RU-vs-MX'!$AN$4</c:f>
              <c:strCache>
                <c:ptCount val="1"/>
                <c:pt idx="0">
                  <c:v>MX1895-F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'RU-vs-MX'!$AN$5:$AN$16</c:f>
              <c:numCache>
                <c:formatCode>0.000</c:formatCode>
                <c:ptCount val="12"/>
                <c:pt idx="0">
                  <c:v>1.5386295420713134</c:v>
                </c:pt>
                <c:pt idx="1">
                  <c:v>1.2140793609253702</c:v>
                </c:pt>
                <c:pt idx="2">
                  <c:v>1.0279849764936873</c:v>
                </c:pt>
                <c:pt idx="3">
                  <c:v>0.81879101282037436</c:v>
                </c:pt>
                <c:pt idx="4">
                  <c:v>0.54912724635971288</c:v>
                </c:pt>
                <c:pt idx="5">
                  <c:v>0.34133377081143279</c:v>
                </c:pt>
                <c:pt idx="6">
                  <c:v>0.2159115379102273</c:v>
                </c:pt>
                <c:pt idx="7">
                  <c:v>6.9954559620276829E-2</c:v>
                </c:pt>
                <c:pt idx="8">
                  <c:v>2.5843416895718598E-2</c:v>
                </c:pt>
                <c:pt idx="9">
                  <c:v>6.6557183257068952E-3</c:v>
                </c:pt>
                <c:pt idx="10">
                  <c:v>1.7447291817272402E-3</c:v>
                </c:pt>
                <c:pt idx="11">
                  <c:v>9.2582168265387317E-5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6-4F3C-96EA-570172C61F27}"/>
            </c:ext>
          </c:extLst>
        </c:ser>
        <c:ser>
          <c:idx val="2"/>
          <c:order val="2"/>
          <c:tx>
            <c:strRef>
              <c:f>'RU-vs-MX'!$AQ$4</c:f>
              <c:strCache>
                <c:ptCount val="1"/>
                <c:pt idx="0">
                  <c:v>MX-1900-F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'RU-vs-MX'!$O$5:$O$16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'RU-vs-MX'!$AQ$5:$AQ$16</c:f>
              <c:numCache>
                <c:formatCode>0.000</c:formatCode>
                <c:ptCount val="12"/>
                <c:pt idx="0">
                  <c:v>1.8784229629140103</c:v>
                </c:pt>
                <c:pt idx="1">
                  <c:v>1.0992086535555097</c:v>
                </c:pt>
                <c:pt idx="2">
                  <c:v>1.0815418309455558</c:v>
                </c:pt>
                <c:pt idx="3">
                  <c:v>0.81209939049189861</c:v>
                </c:pt>
                <c:pt idx="4">
                  <c:v>0.50939213218573831</c:v>
                </c:pt>
                <c:pt idx="5">
                  <c:v>0.32773879888163232</c:v>
                </c:pt>
                <c:pt idx="6">
                  <c:v>0.17375823526841613</c:v>
                </c:pt>
                <c:pt idx="7">
                  <c:v>6.3031573144374325E-2</c:v>
                </c:pt>
                <c:pt idx="8">
                  <c:v>2.0988230534600479E-2</c:v>
                </c:pt>
                <c:pt idx="9">
                  <c:v>7.025979663887327E-3</c:v>
                </c:pt>
                <c:pt idx="10">
                  <c:v>2.5682638758206021E-3</c:v>
                </c:pt>
                <c:pt idx="11">
                  <c:v>1.5659405702452441E-3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B6-4F3C-96EA-570172C6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212655"/>
        <c:axId val="1123210735"/>
      </c:scatterChart>
      <c:valAx>
        <c:axId val="112321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210735"/>
        <c:crosses val="autoZero"/>
        <c:crossBetween val="midCat"/>
        <c:majorUnit val="5"/>
      </c:valAx>
      <c:valAx>
        <c:axId val="11232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21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Мужчины 5+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'RU-vs-MX'!$AU$4</c:f>
              <c:strCache>
                <c:ptCount val="1"/>
                <c:pt idx="0">
                  <c:v>RU1897-M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'RU-vs-MX'!$AU$5:$AU$15</c:f>
              <c:numCache>
                <c:formatCode>0.000</c:formatCode>
                <c:ptCount val="11"/>
                <c:pt idx="0">
                  <c:v>1.1611808833753829</c:v>
                </c:pt>
                <c:pt idx="1">
                  <c:v>0.890272424988795</c:v>
                </c:pt>
                <c:pt idx="2">
                  <c:v>0.67417183337252473</c:v>
                </c:pt>
                <c:pt idx="3">
                  <c:v>0.55299965207228752</c:v>
                </c:pt>
                <c:pt idx="4">
                  <c:v>0.39580062151830903</c:v>
                </c:pt>
                <c:pt idx="5">
                  <c:v>0.27811749880764447</c:v>
                </c:pt>
                <c:pt idx="6">
                  <c:v>0.14503139250214014</c:v>
                </c:pt>
                <c:pt idx="7">
                  <c:v>5.1542773473445859E-2</c:v>
                </c:pt>
                <c:pt idx="8">
                  <c:v>9.5856338557109497E-3</c:v>
                </c:pt>
                <c:pt idx="9">
                  <c:v>1.4886986114988825E-3</c:v>
                </c:pt>
                <c:pt idx="10">
                  <c:v>1.3351195296515072E-4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BF-4D38-871E-AC297CB89775}"/>
            </c:ext>
          </c:extLst>
        </c:ser>
        <c:ser>
          <c:idx val="1"/>
          <c:order val="1"/>
          <c:tx>
            <c:strRef>
              <c:f>'RU-vs-MX'!$AX$4</c:f>
              <c:strCache>
                <c:ptCount val="1"/>
                <c:pt idx="0">
                  <c:v>MX1895-M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'RU-vs-MX'!$AX$5:$AX$15</c:f>
              <c:numCache>
                <c:formatCode>0.000</c:formatCode>
                <c:ptCount val="11"/>
                <c:pt idx="0">
                  <c:v>1.2933562061925126</c:v>
                </c:pt>
                <c:pt idx="1">
                  <c:v>0.87978898055999388</c:v>
                </c:pt>
                <c:pt idx="2">
                  <c:v>0.7632899820502802</c:v>
                </c:pt>
                <c:pt idx="3">
                  <c:v>0.55232554746194007</c:v>
                </c:pt>
                <c:pt idx="4">
                  <c:v>0.33140708024053389</c:v>
                </c:pt>
                <c:pt idx="5">
                  <c:v>0.22732583281329241</c:v>
                </c:pt>
                <c:pt idx="6">
                  <c:v>8.2888464797029479E-2</c:v>
                </c:pt>
                <c:pt idx="7">
                  <c:v>2.7335011584828976E-2</c:v>
                </c:pt>
                <c:pt idx="8">
                  <c:v>7.0977118247794154E-3</c:v>
                </c:pt>
                <c:pt idx="9">
                  <c:v>1.7148318004168307E-3</c:v>
                </c:pt>
                <c:pt idx="10">
                  <c:v>7.2464691438382017E-5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BF-4D38-871E-AC297CB89775}"/>
            </c:ext>
          </c:extLst>
        </c:ser>
        <c:ser>
          <c:idx val="2"/>
          <c:order val="2"/>
          <c:tx>
            <c:strRef>
              <c:f>'RU-vs-MX'!$BA$4</c:f>
              <c:strCache>
                <c:ptCount val="1"/>
                <c:pt idx="0">
                  <c:v>MX1900-M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'RU-vs-MX'!$AS$5:$AS$15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'RU-vs-MX'!$BA$5:$BA$15</c:f>
              <c:numCache>
                <c:formatCode>0.000</c:formatCode>
                <c:ptCount val="11"/>
                <c:pt idx="0">
                  <c:v>1.1040278601258002</c:v>
                </c:pt>
                <c:pt idx="1">
                  <c:v>0.96904604771148239</c:v>
                </c:pt>
                <c:pt idx="2">
                  <c:v>0.7598680565771343</c:v>
                </c:pt>
                <c:pt idx="3">
                  <c:v>0.52454819647953144</c:v>
                </c:pt>
                <c:pt idx="4">
                  <c:v>0.3275788754442604</c:v>
                </c:pt>
                <c:pt idx="5">
                  <c:v>0.18625664519991963</c:v>
                </c:pt>
                <c:pt idx="6">
                  <c:v>7.6042872205085404E-2</c:v>
                </c:pt>
                <c:pt idx="7">
                  <c:v>2.233913931986688E-2</c:v>
                </c:pt>
                <c:pt idx="8">
                  <c:v>6.4352938801536513E-3</c:v>
                </c:pt>
                <c:pt idx="9">
                  <c:v>1.992424788502368E-3</c:v>
                </c:pt>
                <c:pt idx="10">
                  <c:v>1.081179707714792E-3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BF-4D38-871E-AC297CB89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058160"/>
        <c:axId val="648056240"/>
      </c:scatterChart>
      <c:valAx>
        <c:axId val="6480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8056240"/>
        <c:crosses val="autoZero"/>
        <c:crossBetween val="midCat"/>
        <c:majorUnit val="5"/>
      </c:valAx>
      <c:valAx>
        <c:axId val="6480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805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Женщины 5+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'RU-vs-MX'!$AV$4</c:f>
              <c:strCache>
                <c:ptCount val="1"/>
                <c:pt idx="0">
                  <c:v>RU1897-F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'RU-vs-MX'!$AV$5:$AV$15</c:f>
              <c:numCache>
                <c:formatCode>0.000</c:formatCode>
                <c:ptCount val="11"/>
                <c:pt idx="0">
                  <c:v>1.1740672069927673</c:v>
                </c:pt>
                <c:pt idx="1">
                  <c:v>0.95421073456068117</c:v>
                </c:pt>
                <c:pt idx="2">
                  <c:v>0.71309681973217121</c:v>
                </c:pt>
                <c:pt idx="3">
                  <c:v>0.56539690244806962</c:v>
                </c:pt>
                <c:pt idx="4">
                  <c:v>0.41748905340640469</c:v>
                </c:pt>
                <c:pt idx="5">
                  <c:v>0.28993270160599854</c:v>
                </c:pt>
                <c:pt idx="6">
                  <c:v>0.15481255481464826</c:v>
                </c:pt>
                <c:pt idx="7">
                  <c:v>5.1201632282448048E-2</c:v>
                </c:pt>
                <c:pt idx="8">
                  <c:v>9.7158180938363339E-3</c:v>
                </c:pt>
                <c:pt idx="9">
                  <c:v>1.6005299980837405E-3</c:v>
                </c:pt>
                <c:pt idx="10">
                  <c:v>1.3976402327016535E-4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5-47F6-99DA-6E681437AF2F}"/>
            </c:ext>
          </c:extLst>
        </c:ser>
        <c:ser>
          <c:idx val="1"/>
          <c:order val="1"/>
          <c:tx>
            <c:strRef>
              <c:f>'RU-vs-MX'!$AY$4</c:f>
              <c:strCache>
                <c:ptCount val="1"/>
                <c:pt idx="0">
                  <c:v>MX1895-F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'RU-vs-MX'!$AY$5:$AY$15</c:f>
              <c:numCache>
                <c:formatCode>0.000</c:formatCode>
                <c:ptCount val="11"/>
                <c:pt idx="0">
                  <c:v>1.2140793609253702</c:v>
                </c:pt>
                <c:pt idx="1">
                  <c:v>1.0279849764936873</c:v>
                </c:pt>
                <c:pt idx="2">
                  <c:v>0.81879101282037436</c:v>
                </c:pt>
                <c:pt idx="3">
                  <c:v>0.54912724635971288</c:v>
                </c:pt>
                <c:pt idx="4">
                  <c:v>0.34133377081143279</c:v>
                </c:pt>
                <c:pt idx="5">
                  <c:v>0.2159115379102273</c:v>
                </c:pt>
                <c:pt idx="6">
                  <c:v>6.9954559620276829E-2</c:v>
                </c:pt>
                <c:pt idx="7">
                  <c:v>2.5843416895718598E-2</c:v>
                </c:pt>
                <c:pt idx="8">
                  <c:v>6.6557183257068952E-3</c:v>
                </c:pt>
                <c:pt idx="9">
                  <c:v>1.7447291817272402E-3</c:v>
                </c:pt>
                <c:pt idx="10">
                  <c:v>9.2582168265387317E-5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85-47F6-99DA-6E681437AF2F}"/>
            </c:ext>
          </c:extLst>
        </c:ser>
        <c:ser>
          <c:idx val="2"/>
          <c:order val="2"/>
          <c:tx>
            <c:strRef>
              <c:f>'RU-vs-MX'!$BB$4</c:f>
              <c:strCache>
                <c:ptCount val="1"/>
                <c:pt idx="0">
                  <c:v>MX-1900-F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'RU-vs-MX'!$AS$5:$AS$15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'RU-vs-MX'!$BB$5:$BB$15</c:f>
              <c:numCache>
                <c:formatCode>0.000</c:formatCode>
                <c:ptCount val="11"/>
                <c:pt idx="0">
                  <c:v>1.0992086535555097</c:v>
                </c:pt>
                <c:pt idx="1">
                  <c:v>1.0815418309455558</c:v>
                </c:pt>
                <c:pt idx="2">
                  <c:v>0.81209939049189861</c:v>
                </c:pt>
                <c:pt idx="3">
                  <c:v>0.50939213218573831</c:v>
                </c:pt>
                <c:pt idx="4">
                  <c:v>0.32773879888163232</c:v>
                </c:pt>
                <c:pt idx="5">
                  <c:v>0.17375823526841613</c:v>
                </c:pt>
                <c:pt idx="6">
                  <c:v>6.3031573144374325E-2</c:v>
                </c:pt>
                <c:pt idx="7">
                  <c:v>2.0988230534600479E-2</c:v>
                </c:pt>
                <c:pt idx="8">
                  <c:v>7.025979663887327E-3</c:v>
                </c:pt>
                <c:pt idx="9">
                  <c:v>2.5682638758206021E-3</c:v>
                </c:pt>
                <c:pt idx="10">
                  <c:v>1.5659405702452441E-3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85-47F6-99DA-6E681437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92880"/>
        <c:axId val="648007280"/>
      </c:scatterChart>
      <c:valAx>
        <c:axId val="64799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8007280"/>
        <c:crosses val="autoZero"/>
        <c:crossBetween val="midCat"/>
        <c:majorUnit val="5"/>
      </c:valAx>
      <c:valAx>
        <c:axId val="6480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9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Мужчины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 v2'!$AJ$4</c:f>
              <c:strCache>
                <c:ptCount val="1"/>
                <c:pt idx="0">
                  <c:v>RU1897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 v2'!$O$5:$O$16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 v2'!$AJ$5:$AJ$16</c:f>
              <c:numCache>
                <c:formatCode>0.000</c:formatCode>
                <c:ptCount val="12"/>
                <c:pt idx="0">
                  <c:v>1.5005023185550626</c:v>
                </c:pt>
                <c:pt idx="1">
                  <c:v>1.1611808833753829</c:v>
                </c:pt>
                <c:pt idx="2">
                  <c:v>0.890272424988795</c:v>
                </c:pt>
                <c:pt idx="3">
                  <c:v>0.67417183337252473</c:v>
                </c:pt>
                <c:pt idx="4">
                  <c:v>0.55299965207228752</c:v>
                </c:pt>
                <c:pt idx="5">
                  <c:v>0.39580062151830903</c:v>
                </c:pt>
                <c:pt idx="6">
                  <c:v>0.27811749880764447</c:v>
                </c:pt>
                <c:pt idx="7">
                  <c:v>0.14503139250214014</c:v>
                </c:pt>
                <c:pt idx="8">
                  <c:v>5.1542773473445859E-2</c:v>
                </c:pt>
                <c:pt idx="9">
                  <c:v>9.5856338557109497E-3</c:v>
                </c:pt>
                <c:pt idx="10">
                  <c:v>1.4886986114988825E-3</c:v>
                </c:pt>
                <c:pt idx="11">
                  <c:v>1.3351195296515072E-4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6D-43EB-8399-568CBFD4EA8C}"/>
            </c:ext>
          </c:extLst>
        </c:ser>
        <c:ser>
          <c:idx val="1"/>
          <c:order val="1"/>
          <c:tx>
            <c:strRef>
              <c:f>'RU-vs-MX v2'!$AM$4</c:f>
              <c:strCache>
                <c:ptCount val="1"/>
                <c:pt idx="0">
                  <c:v>MX1895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 v2'!$O$5:$O$16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 v2'!$AM$5:$AM$16</c:f>
              <c:numCache>
                <c:formatCode>0.000</c:formatCode>
                <c:ptCount val="12"/>
                <c:pt idx="0">
                  <c:v>1.5852934537293015</c:v>
                </c:pt>
                <c:pt idx="1">
                  <c:v>1.2933562061925126</c:v>
                </c:pt>
                <c:pt idx="2">
                  <c:v>0.87978898055999388</c:v>
                </c:pt>
                <c:pt idx="3">
                  <c:v>0.7632899820502802</c:v>
                </c:pt>
                <c:pt idx="4">
                  <c:v>0.55232554746194007</c:v>
                </c:pt>
                <c:pt idx="5">
                  <c:v>0.33140708024053389</c:v>
                </c:pt>
                <c:pt idx="6">
                  <c:v>0.22732583281329241</c:v>
                </c:pt>
                <c:pt idx="7">
                  <c:v>8.2888464797029479E-2</c:v>
                </c:pt>
                <c:pt idx="8">
                  <c:v>2.7335011584828976E-2</c:v>
                </c:pt>
                <c:pt idx="9">
                  <c:v>7.0977118247794154E-3</c:v>
                </c:pt>
                <c:pt idx="10">
                  <c:v>1.7148318004168307E-3</c:v>
                </c:pt>
                <c:pt idx="11">
                  <c:v>7.2464691438382017E-5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6D-43EB-8399-568CBFD4EA8C}"/>
            </c:ext>
          </c:extLst>
        </c:ser>
        <c:ser>
          <c:idx val="2"/>
          <c:order val="2"/>
          <c:tx>
            <c:strRef>
              <c:f>'RU-vs-MX v2'!$AP$4</c:f>
              <c:strCache>
                <c:ptCount val="1"/>
                <c:pt idx="0">
                  <c:v>MX1900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'RU-vs-MX v2'!$O$5:$O$16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 v2'!$AP$5:$AP$16</c:f>
              <c:numCache>
                <c:formatCode>0.000</c:formatCode>
                <c:ptCount val="12"/>
                <c:pt idx="1">
                  <c:v>1.1040278601258002</c:v>
                </c:pt>
                <c:pt idx="2">
                  <c:v>0.96904604771148239</c:v>
                </c:pt>
                <c:pt idx="3">
                  <c:v>0.7598680565771343</c:v>
                </c:pt>
                <c:pt idx="4">
                  <c:v>0.52454819647953144</c:v>
                </c:pt>
                <c:pt idx="5">
                  <c:v>0.3275788754442604</c:v>
                </c:pt>
                <c:pt idx="6">
                  <c:v>0.18625664519991963</c:v>
                </c:pt>
                <c:pt idx="7">
                  <c:v>7.6042872205085404E-2</c:v>
                </c:pt>
                <c:pt idx="8">
                  <c:v>2.233913931986688E-2</c:v>
                </c:pt>
                <c:pt idx="9">
                  <c:v>6.4352938801536513E-3</c:v>
                </c:pt>
                <c:pt idx="10">
                  <c:v>1.992424788502368E-3</c:v>
                </c:pt>
                <c:pt idx="11">
                  <c:v>1.081179707714792E-3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6D-43EB-8399-568CBFD4E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99215"/>
        <c:axId val="1123206895"/>
      </c:scatterChart>
      <c:valAx>
        <c:axId val="112319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206895"/>
        <c:crosses val="autoZero"/>
        <c:crossBetween val="midCat"/>
        <c:majorUnit val="5"/>
      </c:valAx>
      <c:valAx>
        <c:axId val="11232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19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Женщины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 v2'!$AK$4</c:f>
              <c:strCache>
                <c:ptCount val="1"/>
                <c:pt idx="0">
                  <c:v>RU1897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 v2'!$O$5:$O$16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 v2'!$AK$5:$AK$16</c:f>
              <c:numCache>
                <c:formatCode>0.000</c:formatCode>
                <c:ptCount val="12"/>
                <c:pt idx="0">
                  <c:v>1.515793672443005</c:v>
                </c:pt>
                <c:pt idx="1">
                  <c:v>1.1740672069927673</c:v>
                </c:pt>
                <c:pt idx="2">
                  <c:v>0.95421073456068117</c:v>
                </c:pt>
                <c:pt idx="3">
                  <c:v>0.71309681973217121</c:v>
                </c:pt>
                <c:pt idx="4">
                  <c:v>0.56539690244806962</c:v>
                </c:pt>
                <c:pt idx="5">
                  <c:v>0.41748905340640469</c:v>
                </c:pt>
                <c:pt idx="6">
                  <c:v>0.28993270160599854</c:v>
                </c:pt>
                <c:pt idx="7">
                  <c:v>0.15481255481464826</c:v>
                </c:pt>
                <c:pt idx="8">
                  <c:v>5.1201632282448048E-2</c:v>
                </c:pt>
                <c:pt idx="9">
                  <c:v>9.7158180938363339E-3</c:v>
                </c:pt>
                <c:pt idx="10">
                  <c:v>1.6005299980837405E-3</c:v>
                </c:pt>
                <c:pt idx="11">
                  <c:v>1.3976402327016535E-4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F9-4F66-861C-9290AC4B41B6}"/>
            </c:ext>
          </c:extLst>
        </c:ser>
        <c:ser>
          <c:idx val="1"/>
          <c:order val="1"/>
          <c:tx>
            <c:strRef>
              <c:f>'RU-vs-MX v2'!$AN$4</c:f>
              <c:strCache>
                <c:ptCount val="1"/>
                <c:pt idx="0">
                  <c:v>MX1895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 v2'!$O$5:$O$16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 v2'!$AN$5:$AN$16</c:f>
              <c:numCache>
                <c:formatCode>0.000</c:formatCode>
                <c:ptCount val="12"/>
                <c:pt idx="0">
                  <c:v>1.5386295420713134</c:v>
                </c:pt>
                <c:pt idx="1">
                  <c:v>1.2140793609253702</c:v>
                </c:pt>
                <c:pt idx="2">
                  <c:v>1.0279849764936873</c:v>
                </c:pt>
                <c:pt idx="3">
                  <c:v>0.81879101282037436</c:v>
                </c:pt>
                <c:pt idx="4">
                  <c:v>0.54912724635971288</c:v>
                </c:pt>
                <c:pt idx="5">
                  <c:v>0.34133377081143279</c:v>
                </c:pt>
                <c:pt idx="6">
                  <c:v>0.2159115379102273</c:v>
                </c:pt>
                <c:pt idx="7">
                  <c:v>6.9954559620276829E-2</c:v>
                </c:pt>
                <c:pt idx="8">
                  <c:v>2.5843416895718598E-2</c:v>
                </c:pt>
                <c:pt idx="9">
                  <c:v>6.6557183257068952E-3</c:v>
                </c:pt>
                <c:pt idx="10">
                  <c:v>1.7447291817272402E-3</c:v>
                </c:pt>
                <c:pt idx="11">
                  <c:v>9.2582168265387317E-5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F9-4F66-861C-9290AC4B41B6}"/>
            </c:ext>
          </c:extLst>
        </c:ser>
        <c:ser>
          <c:idx val="2"/>
          <c:order val="2"/>
          <c:tx>
            <c:strRef>
              <c:f>'RU-vs-MX v2'!$AQ$4</c:f>
              <c:strCache>
                <c:ptCount val="1"/>
                <c:pt idx="0">
                  <c:v>MX1900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'RU-vs-MX v2'!$O$5:$O$16</c:f>
              <c:numCache>
                <c:formatCode>General</c:formatCode>
                <c:ptCount val="12"/>
                <c:pt idx="0">
                  <c:v>2.5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107.5</c:v>
                </c:pt>
              </c:numCache>
            </c:numRef>
          </c:xVal>
          <c:yVal>
            <c:numRef>
              <c:f>'RU-vs-MX v2'!$AQ$5:$AQ$16</c:f>
              <c:numCache>
                <c:formatCode>0.000</c:formatCode>
                <c:ptCount val="12"/>
                <c:pt idx="1">
                  <c:v>1.0992086535555097</c:v>
                </c:pt>
                <c:pt idx="2">
                  <c:v>1.0815418309455558</c:v>
                </c:pt>
                <c:pt idx="3">
                  <c:v>0.81209939049189861</c:v>
                </c:pt>
                <c:pt idx="4">
                  <c:v>0.50939213218573831</c:v>
                </c:pt>
                <c:pt idx="5">
                  <c:v>0.32773879888163232</c:v>
                </c:pt>
                <c:pt idx="6">
                  <c:v>0.17375823526841613</c:v>
                </c:pt>
                <c:pt idx="7">
                  <c:v>6.3031573144374325E-2</c:v>
                </c:pt>
                <c:pt idx="8">
                  <c:v>2.0988230534600479E-2</c:v>
                </c:pt>
                <c:pt idx="9">
                  <c:v>7.025979663887327E-3</c:v>
                </c:pt>
                <c:pt idx="10">
                  <c:v>2.5682638758206021E-3</c:v>
                </c:pt>
                <c:pt idx="11">
                  <c:v>1.5659405702452441E-3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F9-4F66-861C-9290AC4B4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212655"/>
        <c:axId val="1123210735"/>
      </c:scatterChart>
      <c:valAx>
        <c:axId val="112321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210735"/>
        <c:crosses val="autoZero"/>
        <c:crossBetween val="midCat"/>
        <c:majorUnit val="5"/>
      </c:valAx>
      <c:valAx>
        <c:axId val="11232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21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Мужчины 5+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 v2'!$AU$4</c:f>
              <c:strCache>
                <c:ptCount val="1"/>
                <c:pt idx="0">
                  <c:v>RU1897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 v2'!$AS$5:$AS$15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 v2'!$AU$5:$AU$15</c:f>
              <c:numCache>
                <c:formatCode>0.000</c:formatCode>
                <c:ptCount val="11"/>
                <c:pt idx="0">
                  <c:v>1.1611808833753829</c:v>
                </c:pt>
                <c:pt idx="1">
                  <c:v>0.890272424988795</c:v>
                </c:pt>
                <c:pt idx="2">
                  <c:v>0.67417183337252473</c:v>
                </c:pt>
                <c:pt idx="3">
                  <c:v>0.55299965207228752</c:v>
                </c:pt>
                <c:pt idx="4">
                  <c:v>0.39580062151830903</c:v>
                </c:pt>
                <c:pt idx="5">
                  <c:v>0.27811749880764447</c:v>
                </c:pt>
                <c:pt idx="6">
                  <c:v>0.14503139250214014</c:v>
                </c:pt>
                <c:pt idx="7">
                  <c:v>5.1542773473445859E-2</c:v>
                </c:pt>
                <c:pt idx="8">
                  <c:v>9.5856338557109497E-3</c:v>
                </c:pt>
                <c:pt idx="9">
                  <c:v>1.4886986114988825E-3</c:v>
                </c:pt>
                <c:pt idx="10">
                  <c:v>1.3351195296515072E-4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D5-4680-8B70-F2F9484C332F}"/>
            </c:ext>
          </c:extLst>
        </c:ser>
        <c:ser>
          <c:idx val="1"/>
          <c:order val="1"/>
          <c:tx>
            <c:strRef>
              <c:f>'RU-vs-MX v2'!$AX$4</c:f>
              <c:strCache>
                <c:ptCount val="1"/>
                <c:pt idx="0">
                  <c:v>MX1895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 v2'!$AS$5:$AS$15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 v2'!$AX$5:$AX$15</c:f>
              <c:numCache>
                <c:formatCode>0.000</c:formatCode>
                <c:ptCount val="11"/>
                <c:pt idx="0">
                  <c:v>1.2933562061925126</c:v>
                </c:pt>
                <c:pt idx="1">
                  <c:v>0.87978898055999388</c:v>
                </c:pt>
                <c:pt idx="2">
                  <c:v>0.7632899820502802</c:v>
                </c:pt>
                <c:pt idx="3">
                  <c:v>0.55232554746194007</c:v>
                </c:pt>
                <c:pt idx="4">
                  <c:v>0.33140708024053389</c:v>
                </c:pt>
                <c:pt idx="5">
                  <c:v>0.22732583281329241</c:v>
                </c:pt>
                <c:pt idx="6">
                  <c:v>8.2888464797029479E-2</c:v>
                </c:pt>
                <c:pt idx="7">
                  <c:v>2.7335011584828976E-2</c:v>
                </c:pt>
                <c:pt idx="8">
                  <c:v>7.0977118247794154E-3</c:v>
                </c:pt>
                <c:pt idx="9">
                  <c:v>1.7148318004168307E-3</c:v>
                </c:pt>
                <c:pt idx="10">
                  <c:v>7.2464691438382017E-5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D5-4680-8B70-F2F9484C332F}"/>
            </c:ext>
          </c:extLst>
        </c:ser>
        <c:ser>
          <c:idx val="2"/>
          <c:order val="2"/>
          <c:tx>
            <c:strRef>
              <c:f>'RU-vs-MX v2'!$BA$4</c:f>
              <c:strCache>
                <c:ptCount val="1"/>
                <c:pt idx="0">
                  <c:v>MX1900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'RU-vs-MX v2'!$AS$5:$AS$15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 v2'!$BA$5:$BA$15</c:f>
              <c:numCache>
                <c:formatCode>0.000</c:formatCode>
                <c:ptCount val="11"/>
                <c:pt idx="0">
                  <c:v>1.1040278601258002</c:v>
                </c:pt>
                <c:pt idx="1">
                  <c:v>0.96904604771148239</c:v>
                </c:pt>
                <c:pt idx="2">
                  <c:v>0.7598680565771343</c:v>
                </c:pt>
                <c:pt idx="3">
                  <c:v>0.52454819647953144</c:v>
                </c:pt>
                <c:pt idx="4">
                  <c:v>0.3275788754442604</c:v>
                </c:pt>
                <c:pt idx="5">
                  <c:v>0.18625664519991963</c:v>
                </c:pt>
                <c:pt idx="6">
                  <c:v>7.6042872205085404E-2</c:v>
                </c:pt>
                <c:pt idx="7">
                  <c:v>2.233913931986688E-2</c:v>
                </c:pt>
                <c:pt idx="8">
                  <c:v>6.4352938801536513E-3</c:v>
                </c:pt>
                <c:pt idx="9">
                  <c:v>1.992424788502368E-3</c:v>
                </c:pt>
                <c:pt idx="10">
                  <c:v>1.081179707714792E-3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D5-4680-8B70-F2F9484C3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058160"/>
        <c:axId val="648056240"/>
      </c:scatterChart>
      <c:valAx>
        <c:axId val="6480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8056240"/>
        <c:crosses val="autoZero"/>
        <c:crossBetween val="midCat"/>
        <c:majorUnit val="5"/>
      </c:valAx>
      <c:valAx>
        <c:axId val="6480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805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Женщины 5+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'RU-vs-MX v2'!$AV$4</c:f>
              <c:strCache>
                <c:ptCount val="1"/>
                <c:pt idx="0">
                  <c:v>RU1897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'RU-vs-MX v2'!$AS$5:$AS$15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 v2'!$AV$5:$AV$15</c:f>
              <c:numCache>
                <c:formatCode>0.000</c:formatCode>
                <c:ptCount val="11"/>
                <c:pt idx="0">
                  <c:v>1.1740672069927673</c:v>
                </c:pt>
                <c:pt idx="1">
                  <c:v>0.95421073456068117</c:v>
                </c:pt>
                <c:pt idx="2">
                  <c:v>0.71309681973217121</c:v>
                </c:pt>
                <c:pt idx="3">
                  <c:v>0.56539690244806962</c:v>
                </c:pt>
                <c:pt idx="4">
                  <c:v>0.41748905340640469</c:v>
                </c:pt>
                <c:pt idx="5">
                  <c:v>0.28993270160599854</c:v>
                </c:pt>
                <c:pt idx="6">
                  <c:v>0.15481255481464826</c:v>
                </c:pt>
                <c:pt idx="7">
                  <c:v>5.1201632282448048E-2</c:v>
                </c:pt>
                <c:pt idx="8">
                  <c:v>9.7158180938363339E-3</c:v>
                </c:pt>
                <c:pt idx="9">
                  <c:v>1.6005299980837405E-3</c:v>
                </c:pt>
                <c:pt idx="10">
                  <c:v>1.3976402327016535E-4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14-4704-9B3A-D4A3200DB657}"/>
            </c:ext>
          </c:extLst>
        </c:ser>
        <c:ser>
          <c:idx val="1"/>
          <c:order val="1"/>
          <c:tx>
            <c:strRef>
              <c:f>'RU-vs-MX v2'!$AY$4</c:f>
              <c:strCache>
                <c:ptCount val="1"/>
                <c:pt idx="0">
                  <c:v>MX1895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'RU-vs-MX v2'!$AS$5:$AS$15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 v2'!$AY$5:$AY$15</c:f>
              <c:numCache>
                <c:formatCode>0.000</c:formatCode>
                <c:ptCount val="11"/>
                <c:pt idx="0">
                  <c:v>1.2140793609253702</c:v>
                </c:pt>
                <c:pt idx="1">
                  <c:v>1.0279849764936873</c:v>
                </c:pt>
                <c:pt idx="2">
                  <c:v>0.81879101282037436</c:v>
                </c:pt>
                <c:pt idx="3">
                  <c:v>0.54912724635971288</c:v>
                </c:pt>
                <c:pt idx="4">
                  <c:v>0.34133377081143279</c:v>
                </c:pt>
                <c:pt idx="5">
                  <c:v>0.2159115379102273</c:v>
                </c:pt>
                <c:pt idx="6">
                  <c:v>6.9954559620276829E-2</c:v>
                </c:pt>
                <c:pt idx="7">
                  <c:v>2.5843416895718598E-2</c:v>
                </c:pt>
                <c:pt idx="8">
                  <c:v>6.6557183257068952E-3</c:v>
                </c:pt>
                <c:pt idx="9">
                  <c:v>1.7447291817272402E-3</c:v>
                </c:pt>
                <c:pt idx="10">
                  <c:v>9.2582168265387317E-5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14-4704-9B3A-D4A3200DB657}"/>
            </c:ext>
          </c:extLst>
        </c:ser>
        <c:ser>
          <c:idx val="2"/>
          <c:order val="2"/>
          <c:tx>
            <c:strRef>
              <c:f>'RU-vs-MX v2'!$BB$4</c:f>
              <c:strCache>
                <c:ptCount val="1"/>
                <c:pt idx="0">
                  <c:v>MX1900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'RU-vs-MX v2'!$AS$5:$AS$15</c:f>
              <c:numCache>
                <c:formatCode>0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107.5</c:v>
                </c:pt>
              </c:numCache>
            </c:numRef>
          </c:xVal>
          <c:yVal>
            <c:numRef>
              <c:f>'RU-vs-MX v2'!$BB$5:$BB$15</c:f>
              <c:numCache>
                <c:formatCode>0.000</c:formatCode>
                <c:ptCount val="11"/>
                <c:pt idx="0">
                  <c:v>1.0992086535555097</c:v>
                </c:pt>
                <c:pt idx="1">
                  <c:v>1.0815418309455558</c:v>
                </c:pt>
                <c:pt idx="2">
                  <c:v>0.81209939049189861</c:v>
                </c:pt>
                <c:pt idx="3">
                  <c:v>0.50939213218573831</c:v>
                </c:pt>
                <c:pt idx="4">
                  <c:v>0.32773879888163232</c:v>
                </c:pt>
                <c:pt idx="5">
                  <c:v>0.17375823526841613</c:v>
                </c:pt>
                <c:pt idx="6">
                  <c:v>6.3031573144374325E-2</c:v>
                </c:pt>
                <c:pt idx="7">
                  <c:v>2.0988230534600479E-2</c:v>
                </c:pt>
                <c:pt idx="8">
                  <c:v>7.025979663887327E-3</c:v>
                </c:pt>
                <c:pt idx="9">
                  <c:v>2.5682638758206021E-3</c:v>
                </c:pt>
                <c:pt idx="10">
                  <c:v>1.5659405702452441E-3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14-4704-9B3A-D4A3200D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92880"/>
        <c:axId val="648007280"/>
      </c:scatterChart>
      <c:valAx>
        <c:axId val="64799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8007280"/>
        <c:crosses val="autoZero"/>
        <c:crossBetween val="midCat"/>
        <c:majorUnit val="5"/>
      </c:valAx>
      <c:valAx>
        <c:axId val="6480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99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Мужчины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154183211196739E-2"/>
          <c:y val="0.10007910717126822"/>
          <c:w val="0.9418111743415174"/>
          <c:h val="0.779193857978557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'MX-Teran-vs-RU'!$B$29</c:f>
              <c:strCache>
                <c:ptCount val="1"/>
                <c:pt idx="0">
                  <c:v>MX1895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'MX-Teran-vs-RU'!$A$30:$A$38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'MX-Teran-vs-RU'!$B$30:$B$38</c:f>
              <c:numCache>
                <c:formatCode>0.00</c:formatCode>
                <c:ptCount val="9"/>
                <c:pt idx="0">
                  <c:v>1.4785951717743315</c:v>
                </c:pt>
                <c:pt idx="1">
                  <c:v>1.057322248715723</c:v>
                </c:pt>
                <c:pt idx="2">
                  <c:v>0.81745553532203297</c:v>
                </c:pt>
                <c:pt idx="3">
                  <c:v>0.61251154249787765</c:v>
                </c:pt>
                <c:pt idx="4">
                  <c:v>0.44061784711287155</c:v>
                </c:pt>
                <c:pt idx="5">
                  <c:v>0.3050895850621218</c:v>
                </c:pt>
                <c:pt idx="6">
                  <c:v>0.18476749963633771</c:v>
                </c:pt>
                <c:pt idx="7">
                  <c:v>6.424886150625897E-2</c:v>
                </c:pt>
                <c:pt idx="8">
                  <c:v>1.1937990566106801E-2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B1-4821-A8BC-0E5511636CBE}"/>
            </c:ext>
          </c:extLst>
        </c:ser>
        <c:ser>
          <c:idx val="1"/>
          <c:order val="1"/>
          <c:tx>
            <c:strRef>
              <c:f>'MX-Teran-vs-RU'!$C$29</c:f>
              <c:strCache>
                <c:ptCount val="1"/>
                <c:pt idx="0">
                  <c:v>MX1900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'MX-Teran-vs-RU'!$A$30:$A$38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'MX-Teran-vs-RU'!$C$30:$C$38</c:f>
              <c:numCache>
                <c:formatCode>0.00</c:formatCode>
                <c:ptCount val="9"/>
                <c:pt idx="0">
                  <c:v>1.4853729654266892</c:v>
                </c:pt>
                <c:pt idx="1">
                  <c:v>1.0431289996112918</c:v>
                </c:pt>
                <c:pt idx="2">
                  <c:v>0.8090816259300786</c:v>
                </c:pt>
                <c:pt idx="3">
                  <c:v>0.59921369133224778</c:v>
                </c:pt>
                <c:pt idx="4">
                  <c:v>0.44920887099862783</c:v>
                </c:pt>
                <c:pt idx="5">
                  <c:v>0.30710807716231581</c:v>
                </c:pt>
                <c:pt idx="6">
                  <c:v>0.18299072280205625</c:v>
                </c:pt>
                <c:pt idx="7">
                  <c:v>7.3068774054895452E-2</c:v>
                </c:pt>
                <c:pt idx="8">
                  <c:v>1.3128622495389134E-2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B1-4821-A8BC-0E5511636CBE}"/>
            </c:ext>
          </c:extLst>
        </c:ser>
        <c:ser>
          <c:idx val="2"/>
          <c:order val="2"/>
          <c:tx>
            <c:strRef>
              <c:f>'MX-Teran-vs-RU'!$D$29</c:f>
              <c:strCache>
                <c:ptCount val="1"/>
                <c:pt idx="0">
                  <c:v>MX1910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'MX-Teran-vs-RU'!$A$30:$A$38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'MX-Teran-vs-RU'!$D$30:$D$38</c:f>
              <c:numCache>
                <c:formatCode>0.00</c:formatCode>
                <c:ptCount val="9"/>
                <c:pt idx="0">
                  <c:v>1.511217722683833</c:v>
                </c:pt>
                <c:pt idx="1">
                  <c:v>1.0506361829235888</c:v>
                </c:pt>
                <c:pt idx="2">
                  <c:v>0.81018632241051147</c:v>
                </c:pt>
                <c:pt idx="3">
                  <c:v>0.59719671169022437</c:v>
                </c:pt>
                <c:pt idx="4">
                  <c:v>0.43206014868392073</c:v>
                </c:pt>
                <c:pt idx="5">
                  <c:v>0.29324609655844214</c:v>
                </c:pt>
                <c:pt idx="6">
                  <c:v>0.17432365614743511</c:v>
                </c:pt>
                <c:pt idx="7">
                  <c:v>6.9212560531936196E-2</c:v>
                </c:pt>
                <c:pt idx="8">
                  <c:v>1.2987920289866556E-2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B1-4821-A8BC-0E5511636CBE}"/>
            </c:ext>
          </c:extLst>
        </c:ser>
        <c:ser>
          <c:idx val="3"/>
          <c:order val="3"/>
          <c:tx>
            <c:strRef>
              <c:f>'MX-Teran-vs-RU'!$E$29</c:f>
              <c:strCache>
                <c:ptCount val="1"/>
                <c:pt idx="0">
                  <c:v>RU1897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'MX-Teran-vs-RU'!$A$30:$A$38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'MX-Teran-vs-RU'!$E$30:$E$38</c:f>
              <c:numCache>
                <c:formatCode>0.00</c:formatCode>
                <c:ptCount val="9"/>
                <c:pt idx="0">
                  <c:v>1.3528830731458645</c:v>
                </c:pt>
                <c:pt idx="1">
                  <c:v>1.0428829401381108</c:v>
                </c:pt>
                <c:pt idx="2">
                  <c:v>0.77093078936995973</c:v>
                </c:pt>
                <c:pt idx="3">
                  <c:v>0.61181217155265455</c:v>
                </c:pt>
                <c:pt idx="4">
                  <c:v>0.46672279614042755</c:v>
                </c:pt>
                <c:pt idx="5">
                  <c:v>0.32634264142568747</c:v>
                </c:pt>
                <c:pt idx="6">
                  <c:v>0.21408399642337211</c:v>
                </c:pt>
                <c:pt idx="7">
                  <c:v>9.387090287589285E-2</c:v>
                </c:pt>
                <c:pt idx="8">
                  <c:v>3.098001675978369E-2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B1-4821-A8BC-0E551163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77488"/>
        <c:axId val="886678144"/>
      </c:scatterChart>
      <c:valAx>
        <c:axId val="886677488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6678144"/>
        <c:crosses val="autoZero"/>
        <c:crossBetween val="midCat"/>
      </c:valAx>
      <c:valAx>
        <c:axId val="8866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667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Женщины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'MX-Teran-vs-RU'!$I$29</c:f>
              <c:strCache>
                <c:ptCount val="1"/>
                <c:pt idx="0">
                  <c:v>MX1895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'MX-Teran-vs-RU'!$H$30:$H$38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'MX-Teran-vs-RU'!$I$30:$I$38</c:f>
              <c:numCache>
                <c:formatCode>0.00</c:formatCode>
                <c:ptCount val="9"/>
                <c:pt idx="0">
                  <c:v>1.4450658268534602</c:v>
                </c:pt>
                <c:pt idx="1">
                  <c:v>1.0442614408793338</c:v>
                </c:pt>
                <c:pt idx="2">
                  <c:v>0.8317561371393577</c:v>
                </c:pt>
                <c:pt idx="3">
                  <c:v>0.62499860742011126</c:v>
                </c:pt>
                <c:pt idx="4">
                  <c:v>0.45892271293023956</c:v>
                </c:pt>
                <c:pt idx="5">
                  <c:v>0.33448416135337755</c:v>
                </c:pt>
                <c:pt idx="6">
                  <c:v>0.2013734179894584</c:v>
                </c:pt>
                <c:pt idx="7">
                  <c:v>7.2271713185201023E-2</c:v>
                </c:pt>
                <c:pt idx="8">
                  <c:v>1.4318904295862269E-2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3-4366-95B0-939197FD478A}"/>
            </c:ext>
          </c:extLst>
        </c:ser>
        <c:ser>
          <c:idx val="1"/>
          <c:order val="1"/>
          <c:tx>
            <c:strRef>
              <c:f>'MX-Teran-vs-RU'!$J$29</c:f>
              <c:strCache>
                <c:ptCount val="1"/>
                <c:pt idx="0">
                  <c:v>MX1900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'MX-Teran-vs-RU'!$H$30:$H$38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'MX-Teran-vs-RU'!$J$30:$J$38</c:f>
              <c:numCache>
                <c:formatCode>0.00</c:formatCode>
                <c:ptCount val="9"/>
                <c:pt idx="0">
                  <c:v>1.450429581969223</c:v>
                </c:pt>
                <c:pt idx="1">
                  <c:v>1.0455611770770465</c:v>
                </c:pt>
                <c:pt idx="2">
                  <c:v>0.8131447929905159</c:v>
                </c:pt>
                <c:pt idx="3">
                  <c:v>0.62031677442350053</c:v>
                </c:pt>
                <c:pt idx="4">
                  <c:v>0.46555838612589129</c:v>
                </c:pt>
                <c:pt idx="5">
                  <c:v>0.33620616412817772</c:v>
                </c:pt>
                <c:pt idx="6">
                  <c:v>0.20716355868869901</c:v>
                </c:pt>
                <c:pt idx="7">
                  <c:v>8.2971368098723949E-2</c:v>
                </c:pt>
                <c:pt idx="8">
                  <c:v>1.6345846684630298E-2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3-4366-95B0-939197FD478A}"/>
            </c:ext>
          </c:extLst>
        </c:ser>
        <c:ser>
          <c:idx val="2"/>
          <c:order val="2"/>
          <c:tx>
            <c:strRef>
              <c:f>'MX-Teran-vs-RU'!$K$29</c:f>
              <c:strCache>
                <c:ptCount val="1"/>
                <c:pt idx="0">
                  <c:v>MX1910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'MX-Teran-vs-RU'!$H$30:$H$38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'MX-Teran-vs-RU'!$K$30:$K$38</c:f>
              <c:numCache>
                <c:formatCode>0.00</c:formatCode>
                <c:ptCount val="9"/>
                <c:pt idx="0">
                  <c:v>1.4777359748421692</c:v>
                </c:pt>
                <c:pt idx="1">
                  <c:v>1.0553106192310762</c:v>
                </c:pt>
                <c:pt idx="2">
                  <c:v>0.81190514677954506</c:v>
                </c:pt>
                <c:pt idx="3">
                  <c:v>0.61925682867857468</c:v>
                </c:pt>
                <c:pt idx="4">
                  <c:v>0.45112833589275059</c:v>
                </c:pt>
                <c:pt idx="5">
                  <c:v>0.32576641209841051</c:v>
                </c:pt>
                <c:pt idx="6">
                  <c:v>0.20603969658886986</c:v>
                </c:pt>
                <c:pt idx="7">
                  <c:v>8.4909131441002123E-2</c:v>
                </c:pt>
                <c:pt idx="8">
                  <c:v>1.6880532527843238E-2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A3-4366-95B0-939197FD478A}"/>
            </c:ext>
          </c:extLst>
        </c:ser>
        <c:ser>
          <c:idx val="3"/>
          <c:order val="3"/>
          <c:tx>
            <c:strRef>
              <c:f>'MX-Teran-vs-RU'!$L$29</c:f>
              <c:strCache>
                <c:ptCount val="1"/>
                <c:pt idx="0">
                  <c:v>RU1897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'MX-Teran-vs-RU'!$H$30:$H$38</c:f>
              <c:numCache>
                <c:formatCode>General</c:formatCode>
                <c:ptCount val="9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90</c:v>
                </c:pt>
              </c:numCache>
            </c:numRef>
          </c:xVal>
          <c:yVal>
            <c:numRef>
              <c:f>'MX-Teran-vs-RU'!$L$30:$L$38</c:f>
              <c:numCache>
                <c:formatCode>0.00</c:formatCode>
                <c:ptCount val="9"/>
                <c:pt idx="0">
                  <c:v>1.3699237966410873</c:v>
                </c:pt>
                <c:pt idx="1">
                  <c:v>1.0866303903396397</c:v>
                </c:pt>
                <c:pt idx="2">
                  <c:v>0.81363616062742383</c:v>
                </c:pt>
                <c:pt idx="3">
                  <c:v>0.6300776957885984</c:v>
                </c:pt>
                <c:pt idx="4">
                  <c:v>0.47771272565851974</c:v>
                </c:pt>
                <c:pt idx="5">
                  <c:v>0.34648610606953911</c:v>
                </c:pt>
                <c:pt idx="6">
                  <c:v>0.22835706957034593</c:v>
                </c:pt>
                <c:pt idx="7">
                  <c:v>0.10298551382201149</c:v>
                </c:pt>
                <c:pt idx="8">
                  <c:v>3.3681213651080892E-2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A3-4366-95B0-939197FD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968656"/>
        <c:axId val="886935376"/>
      </c:scatterChart>
      <c:valAx>
        <c:axId val="88696865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6935376"/>
        <c:crosses val="autoZero"/>
        <c:crossBetween val="midCat"/>
      </c:valAx>
      <c:valAx>
        <c:axId val="8869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696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</xdr:colOff>
      <xdr:row>2</xdr:row>
      <xdr:rowOff>37147</xdr:rowOff>
    </xdr:from>
    <xdr:to>
      <xdr:col>30</xdr:col>
      <xdr:colOff>619125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E09FF-C075-B381-394F-6FDE4A56C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637222</xdr:colOff>
      <xdr:row>2</xdr:row>
      <xdr:rowOff>951</xdr:rowOff>
    </xdr:from>
    <xdr:to>
      <xdr:col>22</xdr:col>
      <xdr:colOff>571500</xdr:colOff>
      <xdr:row>39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5A1D5-7EF4-4DA1-AE9A-745F2673D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629601</xdr:colOff>
      <xdr:row>2</xdr:row>
      <xdr:rowOff>8572</xdr:rowOff>
    </xdr:from>
    <xdr:to>
      <xdr:col>39</xdr:col>
      <xdr:colOff>28574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BB67A-C365-B512-BA29-1AA0B197E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</xdr:colOff>
      <xdr:row>20</xdr:row>
      <xdr:rowOff>951</xdr:rowOff>
    </xdr:from>
    <xdr:to>
      <xdr:col>25</xdr:col>
      <xdr:colOff>28575</xdr:colOff>
      <xdr:row>48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E80BB-535D-01E6-1CAB-4598C8179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19049</xdr:colOff>
      <xdr:row>51</xdr:row>
      <xdr:rowOff>18096</xdr:rowOff>
    </xdr:from>
    <xdr:to>
      <xdr:col>25</xdr:col>
      <xdr:colOff>0</xdr:colOff>
      <xdr:row>81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C488E-B988-B0A5-887D-274AD3444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626745</xdr:colOff>
      <xdr:row>19</xdr:row>
      <xdr:rowOff>172402</xdr:rowOff>
    </xdr:from>
    <xdr:to>
      <xdr:col>40</xdr:col>
      <xdr:colOff>628650</xdr:colOff>
      <xdr:row>49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48F4CF-676E-FDE8-7F8A-116D8E0A0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7620</xdr:colOff>
      <xdr:row>50</xdr:row>
      <xdr:rowOff>172402</xdr:rowOff>
    </xdr:from>
    <xdr:to>
      <xdr:col>41</xdr:col>
      <xdr:colOff>19050</xdr:colOff>
      <xdr:row>80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2FE4D-279E-B47E-93A4-F43CA6055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</xdr:colOff>
      <xdr:row>20</xdr:row>
      <xdr:rowOff>951</xdr:rowOff>
    </xdr:from>
    <xdr:to>
      <xdr:col>25</xdr:col>
      <xdr:colOff>28575</xdr:colOff>
      <xdr:row>48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8B598-D326-4266-B467-A9F300FC5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19049</xdr:colOff>
      <xdr:row>51</xdr:row>
      <xdr:rowOff>18096</xdr:rowOff>
    </xdr:from>
    <xdr:to>
      <xdr:col>25</xdr:col>
      <xdr:colOff>0</xdr:colOff>
      <xdr:row>81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146E39-D3F3-43DD-898B-BA7D79E0A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626745</xdr:colOff>
      <xdr:row>19</xdr:row>
      <xdr:rowOff>172402</xdr:rowOff>
    </xdr:from>
    <xdr:to>
      <xdr:col>40</xdr:col>
      <xdr:colOff>628650</xdr:colOff>
      <xdr:row>49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C2CFC6-1BF3-4D19-8971-9DA76B6EC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7620</xdr:colOff>
      <xdr:row>50</xdr:row>
      <xdr:rowOff>172402</xdr:rowOff>
    </xdr:from>
    <xdr:to>
      <xdr:col>41</xdr:col>
      <xdr:colOff>19050</xdr:colOff>
      <xdr:row>80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55F6D9-4304-43DE-8803-EF22C5A46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39</xdr:row>
      <xdr:rowOff>190499</xdr:rowOff>
    </xdr:from>
    <xdr:to>
      <xdr:col>14</xdr:col>
      <xdr:colOff>571500</xdr:colOff>
      <xdr:row>70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13827-B3CF-4257-A257-1C8C02816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73</xdr:row>
      <xdr:rowOff>9525</xdr:rowOff>
    </xdr:from>
    <xdr:to>
      <xdr:col>15</xdr:col>
      <xdr:colOff>9525</xdr:colOff>
      <xdr:row>105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B5D18F-5ED4-4B08-8453-B25219358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6297-7AA9-4082-887A-7490FB1B1C69}">
  <sheetPr codeName="Sheet1"/>
  <dimension ref="A1:B53"/>
  <sheetViews>
    <sheetView workbookViewId="0">
      <selection activeCell="O14" sqref="O14"/>
    </sheetView>
  </sheetViews>
  <sheetFormatPr defaultRowHeight="15" x14ac:dyDescent="0.25"/>
  <cols>
    <col min="1" max="1" width="20.140625" customWidth="1"/>
  </cols>
  <sheetData>
    <row r="1" spans="1:2" x14ac:dyDescent="0.25">
      <c r="A1" s="5" t="s">
        <v>89</v>
      </c>
      <c r="B1" t="s">
        <v>90</v>
      </c>
    </row>
    <row r="2" spans="1:2" x14ac:dyDescent="0.25">
      <c r="B2" t="s">
        <v>85</v>
      </c>
    </row>
    <row r="3" spans="1:2" x14ac:dyDescent="0.25">
      <c r="B3" t="s">
        <v>87</v>
      </c>
    </row>
    <row r="4" spans="1:2" x14ac:dyDescent="0.25">
      <c r="B4" t="s">
        <v>88</v>
      </c>
    </row>
    <row r="5" spans="1:2" x14ac:dyDescent="0.25">
      <c r="B5" t="s">
        <v>142</v>
      </c>
    </row>
    <row r="6" spans="1:2" x14ac:dyDescent="0.25">
      <c r="B6" t="s">
        <v>152</v>
      </c>
    </row>
    <row r="8" spans="1:2" x14ac:dyDescent="0.25">
      <c r="A8" s="5" t="s">
        <v>139</v>
      </c>
      <c r="B8" t="s">
        <v>122</v>
      </c>
    </row>
    <row r="9" spans="1:2" x14ac:dyDescent="0.25">
      <c r="B9" t="s">
        <v>121</v>
      </c>
    </row>
    <row r="11" spans="1:2" x14ac:dyDescent="0.25">
      <c r="A11" s="5" t="s">
        <v>145</v>
      </c>
      <c r="B11" t="s">
        <v>151</v>
      </c>
    </row>
    <row r="12" spans="1:2" x14ac:dyDescent="0.25">
      <c r="B12" t="s">
        <v>146</v>
      </c>
    </row>
    <row r="13" spans="1:2" x14ac:dyDescent="0.25">
      <c r="B13" t="s">
        <v>148</v>
      </c>
    </row>
    <row r="14" spans="1:2" x14ac:dyDescent="0.25">
      <c r="B14" t="s">
        <v>149</v>
      </c>
    </row>
    <row r="15" spans="1:2" x14ac:dyDescent="0.25">
      <c r="B15" t="s">
        <v>150</v>
      </c>
    </row>
    <row r="16" spans="1:2" x14ac:dyDescent="0.25">
      <c r="B16" t="s">
        <v>153</v>
      </c>
    </row>
    <row r="18" spans="1:2" x14ac:dyDescent="0.25">
      <c r="A18" s="5" t="s">
        <v>86</v>
      </c>
      <c r="B18" t="s">
        <v>14</v>
      </c>
    </row>
    <row r="19" spans="1:2" x14ac:dyDescent="0.25">
      <c r="B19" t="s">
        <v>85</v>
      </c>
    </row>
    <row r="20" spans="1:2" x14ac:dyDescent="0.25">
      <c r="B20" t="s">
        <v>13</v>
      </c>
    </row>
    <row r="21" spans="1:2" x14ac:dyDescent="0.25">
      <c r="B21" t="s">
        <v>15</v>
      </c>
    </row>
    <row r="22" spans="1:2" x14ac:dyDescent="0.25">
      <c r="B22" t="s">
        <v>143</v>
      </c>
    </row>
    <row r="24" spans="1:2" x14ac:dyDescent="0.25">
      <c r="A24" s="5" t="s">
        <v>140</v>
      </c>
      <c r="B24" t="s">
        <v>124</v>
      </c>
    </row>
    <row r="25" spans="1:2" x14ac:dyDescent="0.25">
      <c r="B25" t="s">
        <v>121</v>
      </c>
    </row>
    <row r="26" spans="1:2" x14ac:dyDescent="0.25">
      <c r="B26" t="s">
        <v>154</v>
      </c>
    </row>
    <row r="28" spans="1:2" x14ac:dyDescent="0.25">
      <c r="A28" s="5" t="s">
        <v>19</v>
      </c>
      <c r="B28" t="s">
        <v>20</v>
      </c>
    </row>
    <row r="29" spans="1:2" x14ac:dyDescent="0.25">
      <c r="B29" t="s">
        <v>21</v>
      </c>
    </row>
    <row r="30" spans="1:2" x14ac:dyDescent="0.25">
      <c r="B30" t="s">
        <v>85</v>
      </c>
    </row>
    <row r="31" spans="1:2" x14ac:dyDescent="0.25">
      <c r="B31" t="s">
        <v>144</v>
      </c>
    </row>
    <row r="32" spans="1:2" x14ac:dyDescent="0.25">
      <c r="B32" t="s">
        <v>18</v>
      </c>
    </row>
    <row r="34" spans="1:2" x14ac:dyDescent="0.25">
      <c r="A34" s="5" t="s">
        <v>112</v>
      </c>
      <c r="B34" t="s">
        <v>20</v>
      </c>
    </row>
    <row r="35" spans="1:2" x14ac:dyDescent="0.25">
      <c r="B35" t="s">
        <v>141</v>
      </c>
    </row>
    <row r="36" spans="1:2" x14ac:dyDescent="0.25">
      <c r="B36" t="s">
        <v>113</v>
      </c>
    </row>
    <row r="38" spans="1:2" x14ac:dyDescent="0.25">
      <c r="A38" s="5" t="s">
        <v>125</v>
      </c>
      <c r="B38" t="s">
        <v>126</v>
      </c>
    </row>
    <row r="39" spans="1:2" x14ac:dyDescent="0.25">
      <c r="B39" t="s">
        <v>127</v>
      </c>
    </row>
    <row r="40" spans="1:2" x14ac:dyDescent="0.25">
      <c r="B40" t="s">
        <v>128</v>
      </c>
    </row>
    <row r="41" spans="1:2" x14ac:dyDescent="0.25">
      <c r="B41" t="s">
        <v>165</v>
      </c>
    </row>
    <row r="43" spans="1:2" x14ac:dyDescent="0.25">
      <c r="A43" s="5" t="s">
        <v>166</v>
      </c>
      <c r="B43" t="s">
        <v>167</v>
      </c>
    </row>
    <row r="44" spans="1:2" x14ac:dyDescent="0.25">
      <c r="B44" t="s">
        <v>168</v>
      </c>
    </row>
    <row r="45" spans="1:2" x14ac:dyDescent="0.25">
      <c r="B45" t="s">
        <v>169</v>
      </c>
    </row>
    <row r="48" spans="1:2" x14ac:dyDescent="0.25">
      <c r="A48" s="5" t="s">
        <v>187</v>
      </c>
      <c r="B48" t="s">
        <v>188</v>
      </c>
    </row>
    <row r="49" spans="1:2" x14ac:dyDescent="0.25">
      <c r="B49" t="s">
        <v>191</v>
      </c>
    </row>
    <row r="50" spans="1:2" x14ac:dyDescent="0.25">
      <c r="B50" t="s">
        <v>189</v>
      </c>
    </row>
    <row r="51" spans="1:2" x14ac:dyDescent="0.25">
      <c r="B51" t="s">
        <v>190</v>
      </c>
    </row>
    <row r="53" spans="1:2" x14ac:dyDescent="0.25">
      <c r="A53" s="5" t="s">
        <v>192</v>
      </c>
      <c r="B53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8FB2-C8D9-4088-84B1-FABE4BAAFA39}">
  <sheetPr codeName="Sheet2"/>
  <dimension ref="A3:I36"/>
  <sheetViews>
    <sheetView workbookViewId="0">
      <selection activeCell="F47" sqref="F47"/>
    </sheetView>
  </sheetViews>
  <sheetFormatPr defaultRowHeight="15" x14ac:dyDescent="0.25"/>
  <cols>
    <col min="1" max="1" width="10.42578125" customWidth="1"/>
  </cols>
  <sheetData>
    <row r="3" spans="1:9" x14ac:dyDescent="0.25">
      <c r="A3" s="6" t="s">
        <v>16</v>
      </c>
      <c r="B3" s="6" t="s">
        <v>0</v>
      </c>
      <c r="C3" s="6" t="s">
        <v>1</v>
      </c>
      <c r="D3" s="6" t="s">
        <v>2</v>
      </c>
      <c r="F3" s="2" t="s">
        <v>12</v>
      </c>
    </row>
    <row r="4" spans="1:9" x14ac:dyDescent="0.25">
      <c r="A4" s="2" t="s">
        <v>91</v>
      </c>
      <c r="B4" s="9">
        <v>324202</v>
      </c>
      <c r="C4" s="9">
        <v>308727</v>
      </c>
      <c r="D4" s="9">
        <v>632929</v>
      </c>
      <c r="F4" s="4">
        <f>B4+C4-D4</f>
        <v>0</v>
      </c>
    </row>
    <row r="5" spans="1:9" x14ac:dyDescent="0.25">
      <c r="A5" s="2">
        <v>2</v>
      </c>
      <c r="B5" s="9">
        <v>189934</v>
      </c>
      <c r="C5" s="9">
        <v>185418</v>
      </c>
      <c r="D5" s="9">
        <v>375352</v>
      </c>
      <c r="F5" s="4">
        <f t="shared" ref="F5:F30" si="0">B5+C5-D5</f>
        <v>0</v>
      </c>
    </row>
    <row r="6" spans="1:9" x14ac:dyDescent="0.25">
      <c r="A6" s="2">
        <v>3</v>
      </c>
      <c r="B6" s="9">
        <v>189977</v>
      </c>
      <c r="C6" s="9">
        <v>187240</v>
      </c>
      <c r="D6" s="9">
        <v>377217</v>
      </c>
      <c r="F6" s="4">
        <f t="shared" si="0"/>
        <v>0</v>
      </c>
    </row>
    <row r="7" spans="1:9" x14ac:dyDescent="0.25">
      <c r="A7" s="2">
        <v>4</v>
      </c>
      <c r="B7" s="9">
        <v>191481</v>
      </c>
      <c r="C7" s="9">
        <v>190397</v>
      </c>
      <c r="D7" s="9">
        <v>381878</v>
      </c>
      <c r="F7" s="4">
        <f t="shared" si="0"/>
        <v>0</v>
      </c>
    </row>
    <row r="8" spans="1:9" x14ac:dyDescent="0.25">
      <c r="A8" s="3" t="s">
        <v>26</v>
      </c>
      <c r="B8" s="9">
        <v>192191</v>
      </c>
      <c r="C8" s="9">
        <v>182763</v>
      </c>
      <c r="D8" s="9">
        <v>374954</v>
      </c>
      <c r="F8" s="4">
        <f t="shared" si="0"/>
        <v>0</v>
      </c>
    </row>
    <row r="9" spans="1:9" x14ac:dyDescent="0.25">
      <c r="A9" s="3" t="s">
        <v>109</v>
      </c>
      <c r="B9" s="9">
        <v>890484</v>
      </c>
      <c r="C9" s="9">
        <v>835203</v>
      </c>
      <c r="D9" s="9">
        <v>1725687</v>
      </c>
      <c r="F9" s="4">
        <f t="shared" si="0"/>
        <v>0</v>
      </c>
    </row>
    <row r="10" spans="1:9" x14ac:dyDescent="0.25">
      <c r="A10" s="3" t="s">
        <v>110</v>
      </c>
      <c r="B10" s="9">
        <v>686088</v>
      </c>
      <c r="C10" s="9">
        <v>656595</v>
      </c>
      <c r="D10" s="9">
        <v>1342683</v>
      </c>
      <c r="F10" s="4">
        <f t="shared" si="0"/>
        <v>0</v>
      </c>
    </row>
    <row r="11" spans="1:9" x14ac:dyDescent="0.25">
      <c r="A11" s="3" t="s">
        <v>92</v>
      </c>
      <c r="B11" s="9">
        <v>594385</v>
      </c>
      <c r="C11" s="9">
        <v>725053</v>
      </c>
      <c r="D11" s="9">
        <v>1319438</v>
      </c>
      <c r="F11" s="4">
        <f t="shared" si="0"/>
        <v>0</v>
      </c>
    </row>
    <row r="12" spans="1:9" x14ac:dyDescent="0.25">
      <c r="A12" s="3" t="s">
        <v>93</v>
      </c>
      <c r="B12" s="9">
        <v>502893</v>
      </c>
      <c r="C12" s="9">
        <v>565579</v>
      </c>
      <c r="D12" s="9">
        <v>1068472</v>
      </c>
      <c r="F12" s="4">
        <f t="shared" si="0"/>
        <v>0</v>
      </c>
    </row>
    <row r="13" spans="1:9" x14ac:dyDescent="0.25">
      <c r="A13" s="3" t="s">
        <v>94</v>
      </c>
      <c r="B13" s="9">
        <v>590050</v>
      </c>
      <c r="C13" s="9">
        <v>664566</v>
      </c>
      <c r="D13" s="9">
        <v>1254616</v>
      </c>
      <c r="F13" s="4">
        <f t="shared" si="0"/>
        <v>0</v>
      </c>
    </row>
    <row r="14" spans="1:9" x14ac:dyDescent="0.25">
      <c r="A14" s="3" t="s">
        <v>95</v>
      </c>
      <c r="B14" s="9">
        <v>342363</v>
      </c>
      <c r="C14" s="9">
        <v>322093</v>
      </c>
      <c r="D14" s="9">
        <v>664456</v>
      </c>
      <c r="F14" s="4">
        <f t="shared" si="0"/>
        <v>0</v>
      </c>
    </row>
    <row r="15" spans="1:9" x14ac:dyDescent="0.25">
      <c r="A15" s="3" t="s">
        <v>96</v>
      </c>
      <c r="B15" s="9">
        <v>459923</v>
      </c>
      <c r="C15" s="9">
        <v>471960</v>
      </c>
      <c r="D15" s="9">
        <v>931883</v>
      </c>
      <c r="F15" s="4">
        <f t="shared" si="0"/>
        <v>0</v>
      </c>
    </row>
    <row r="16" spans="1:9" x14ac:dyDescent="0.25">
      <c r="A16" s="3" t="s">
        <v>97</v>
      </c>
      <c r="B16" s="9">
        <v>210453</v>
      </c>
      <c r="C16" s="9">
        <v>197859</v>
      </c>
      <c r="D16" s="9">
        <v>408312</v>
      </c>
      <c r="F16" s="4">
        <f t="shared" si="0"/>
        <v>0</v>
      </c>
      <c r="H16" s="8"/>
      <c r="I16" s="8"/>
    </row>
    <row r="17" spans="1:6" x14ac:dyDescent="0.25">
      <c r="A17" s="3" t="s">
        <v>98</v>
      </c>
      <c r="B17" s="9">
        <v>282259</v>
      </c>
      <c r="C17" s="9">
        <v>303959</v>
      </c>
      <c r="D17" s="9">
        <v>586218</v>
      </c>
      <c r="F17" s="4">
        <f t="shared" si="0"/>
        <v>0</v>
      </c>
    </row>
    <row r="18" spans="1:6" x14ac:dyDescent="0.25">
      <c r="A18" s="3" t="s">
        <v>99</v>
      </c>
      <c r="B18" s="9">
        <v>122072</v>
      </c>
      <c r="C18" s="9">
        <v>112213</v>
      </c>
      <c r="D18" s="9">
        <v>234285</v>
      </c>
      <c r="F18" s="4">
        <f t="shared" si="0"/>
        <v>0</v>
      </c>
    </row>
    <row r="19" spans="1:6" x14ac:dyDescent="0.25">
      <c r="A19" s="3" t="s">
        <v>100</v>
      </c>
      <c r="B19" s="9">
        <v>191098</v>
      </c>
      <c r="C19" s="9">
        <v>195181</v>
      </c>
      <c r="D19" s="9">
        <v>386279</v>
      </c>
      <c r="F19" s="4">
        <f t="shared" si="0"/>
        <v>0</v>
      </c>
    </row>
    <row r="20" spans="1:6" x14ac:dyDescent="0.25">
      <c r="A20" s="3" t="s">
        <v>101</v>
      </c>
      <c r="B20" s="9">
        <v>86413</v>
      </c>
      <c r="C20" s="9">
        <v>65737</v>
      </c>
      <c r="D20" s="9">
        <v>152150</v>
      </c>
      <c r="F20" s="4">
        <f t="shared" si="0"/>
        <v>0</v>
      </c>
    </row>
    <row r="21" spans="1:6" x14ac:dyDescent="0.25">
      <c r="A21" s="3" t="s">
        <v>102</v>
      </c>
      <c r="B21" s="9">
        <v>71229</v>
      </c>
      <c r="C21" s="9">
        <v>62344</v>
      </c>
      <c r="D21" s="9">
        <v>133573</v>
      </c>
      <c r="F21" s="4">
        <f t="shared" si="0"/>
        <v>0</v>
      </c>
    </row>
    <row r="22" spans="1:6" x14ac:dyDescent="0.25">
      <c r="A22" s="3" t="s">
        <v>103</v>
      </c>
      <c r="B22" s="9">
        <v>24290</v>
      </c>
      <c r="C22" s="9">
        <v>20055</v>
      </c>
      <c r="D22" s="9">
        <v>44345</v>
      </c>
      <c r="F22" s="4">
        <f t="shared" si="0"/>
        <v>0</v>
      </c>
    </row>
    <row r="23" spans="1:6" x14ac:dyDescent="0.25">
      <c r="A23" s="3" t="s">
        <v>104</v>
      </c>
      <c r="B23" s="9">
        <v>24513</v>
      </c>
      <c r="C23" s="9">
        <v>23791</v>
      </c>
      <c r="D23" s="9">
        <v>48304</v>
      </c>
      <c r="F23" s="4">
        <f t="shared" si="0"/>
        <v>0</v>
      </c>
    </row>
    <row r="24" spans="1:6" x14ac:dyDescent="0.25">
      <c r="A24" s="3" t="s">
        <v>105</v>
      </c>
      <c r="B24" s="9">
        <v>7276</v>
      </c>
      <c r="C24" s="9">
        <v>6575</v>
      </c>
      <c r="D24" s="9">
        <v>13851</v>
      </c>
      <c r="F24" s="4">
        <f t="shared" si="0"/>
        <v>0</v>
      </c>
    </row>
    <row r="25" spans="1:6" x14ac:dyDescent="0.25">
      <c r="A25" s="3" t="s">
        <v>106</v>
      </c>
      <c r="B25" s="9">
        <v>6151</v>
      </c>
      <c r="C25" s="9">
        <v>5910</v>
      </c>
      <c r="D25" s="9">
        <v>12061</v>
      </c>
      <c r="F25" s="4">
        <f t="shared" si="0"/>
        <v>0</v>
      </c>
    </row>
    <row r="26" spans="1:6" x14ac:dyDescent="0.25">
      <c r="A26" s="3" t="s">
        <v>107</v>
      </c>
      <c r="B26" s="9">
        <v>2174</v>
      </c>
      <c r="C26" s="9">
        <v>1935</v>
      </c>
      <c r="D26" s="9">
        <v>4109</v>
      </c>
      <c r="F26" s="4">
        <f t="shared" si="0"/>
        <v>0</v>
      </c>
    </row>
    <row r="27" spans="1:6" x14ac:dyDescent="0.25">
      <c r="A27" s="3" t="s">
        <v>108</v>
      </c>
      <c r="B27" s="9">
        <v>1585</v>
      </c>
      <c r="C27" s="9">
        <v>1616</v>
      </c>
      <c r="D27" s="9">
        <v>3201</v>
      </c>
      <c r="F27" s="4">
        <f t="shared" si="0"/>
        <v>0</v>
      </c>
    </row>
    <row r="28" spans="1:6" x14ac:dyDescent="0.25">
      <c r="A28" s="3" t="s">
        <v>118</v>
      </c>
      <c r="B28" s="9">
        <v>330</v>
      </c>
      <c r="C28" s="9">
        <v>381</v>
      </c>
      <c r="D28" s="9">
        <v>711</v>
      </c>
      <c r="F28" s="4">
        <f t="shared" si="0"/>
        <v>0</v>
      </c>
    </row>
    <row r="29" spans="1:6" x14ac:dyDescent="0.25">
      <c r="A29" s="3" t="s">
        <v>11</v>
      </c>
      <c r="B29" s="9">
        <v>6497</v>
      </c>
      <c r="C29" s="9">
        <v>8112</v>
      </c>
      <c r="D29" s="9">
        <v>14609</v>
      </c>
      <c r="F29" s="4">
        <f t="shared" si="0"/>
        <v>0</v>
      </c>
    </row>
    <row r="30" spans="1:6" x14ac:dyDescent="0.25">
      <c r="A30" s="3" t="s">
        <v>17</v>
      </c>
      <c r="B30" s="4">
        <v>6190311</v>
      </c>
      <c r="C30" s="4">
        <v>6301262</v>
      </c>
      <c r="D30" s="4" t="s">
        <v>111</v>
      </c>
      <c r="F30" s="4">
        <f t="shared" si="0"/>
        <v>0</v>
      </c>
    </row>
    <row r="31" spans="1:6" x14ac:dyDescent="0.25">
      <c r="A31" s="1"/>
    </row>
    <row r="32" spans="1:6" x14ac:dyDescent="0.25">
      <c r="A32" s="1"/>
      <c r="B32" s="4">
        <f>SUM(B4:B29)-B30</f>
        <v>0</v>
      </c>
      <c r="C32" s="4">
        <f>SUM(C4:C29)-C30</f>
        <v>0</v>
      </c>
      <c r="D32" s="4">
        <f>SUM(D4:D29)-D30</f>
        <v>0</v>
      </c>
    </row>
    <row r="33" spans="1:3" x14ac:dyDescent="0.25">
      <c r="A33" s="1"/>
    </row>
    <row r="34" spans="1:3" x14ac:dyDescent="0.25">
      <c r="A34" s="1" t="s">
        <v>120</v>
      </c>
      <c r="B34" s="4">
        <f>SUM(B4:B28)</f>
        <v>6183814</v>
      </c>
      <c r="C34" s="4">
        <f>SUM(C4:C28)</f>
        <v>6293150</v>
      </c>
    </row>
    <row r="35" spans="1:3" x14ac:dyDescent="0.25">
      <c r="A35" s="1"/>
    </row>
    <row r="36" spans="1:3" x14ac:dyDescent="0.25">
      <c r="A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8A5A-2A8A-4DFE-B54B-978D914128E6}">
  <sheetPr codeName="Sheet3"/>
  <dimension ref="A3:G115"/>
  <sheetViews>
    <sheetView workbookViewId="0">
      <selection activeCell="I122" sqref="I122"/>
    </sheetView>
  </sheetViews>
  <sheetFormatPr defaultRowHeight="15" x14ac:dyDescent="0.25"/>
  <cols>
    <col min="7" max="7" width="23.140625" customWidth="1"/>
  </cols>
  <sheetData>
    <row r="3" spans="1:7" ht="30" x14ac:dyDescent="0.25">
      <c r="A3" s="6" t="s">
        <v>16</v>
      </c>
      <c r="B3" s="6" t="s">
        <v>0</v>
      </c>
      <c r="C3" s="6" t="s">
        <v>1</v>
      </c>
      <c r="G3" s="12" t="s">
        <v>123</v>
      </c>
    </row>
    <row r="4" spans="1:7" x14ac:dyDescent="0.25">
      <c r="A4">
        <v>0</v>
      </c>
      <c r="B4" s="4">
        <v>152823.434851</v>
      </c>
      <c r="C4" s="4">
        <v>144013.34206</v>
      </c>
      <c r="G4" s="4">
        <f>(B4+C4) * (0.5 + A4)</f>
        <v>148418.38845550001</v>
      </c>
    </row>
    <row r="5" spans="1:7" x14ac:dyDescent="0.25">
      <c r="A5">
        <v>1</v>
      </c>
      <c r="B5" s="4">
        <v>171378.71742599999</v>
      </c>
      <c r="C5" s="4">
        <v>164715.67103</v>
      </c>
      <c r="G5" s="4">
        <f t="shared" ref="G5:G68" si="0">(B5+C5) * (0.5 + A5)</f>
        <v>504141.58268400002</v>
      </c>
    </row>
    <row r="6" spans="1:7" x14ac:dyDescent="0.25">
      <c r="A6">
        <v>2</v>
      </c>
      <c r="B6" s="4">
        <v>189934</v>
      </c>
      <c r="C6" s="4">
        <v>185418</v>
      </c>
      <c r="G6" s="4">
        <f t="shared" si="0"/>
        <v>938380</v>
      </c>
    </row>
    <row r="7" spans="1:7" x14ac:dyDescent="0.25">
      <c r="A7">
        <v>3</v>
      </c>
      <c r="B7" s="4">
        <v>189977</v>
      </c>
      <c r="C7" s="4">
        <v>187240</v>
      </c>
      <c r="G7" s="4">
        <f t="shared" si="0"/>
        <v>1320259.5</v>
      </c>
    </row>
    <row r="8" spans="1:7" x14ac:dyDescent="0.25">
      <c r="A8">
        <v>4</v>
      </c>
      <c r="B8" s="4">
        <v>191481</v>
      </c>
      <c r="C8" s="4">
        <v>190397</v>
      </c>
      <c r="G8" s="4">
        <f t="shared" si="0"/>
        <v>1718451</v>
      </c>
    </row>
    <row r="9" spans="1:7" x14ac:dyDescent="0.25">
      <c r="A9">
        <v>5</v>
      </c>
      <c r="B9" s="4">
        <v>192191</v>
      </c>
      <c r="C9" s="4">
        <v>182763</v>
      </c>
      <c r="G9" s="4">
        <f t="shared" si="0"/>
        <v>2062247</v>
      </c>
    </row>
    <row r="10" spans="1:7" x14ac:dyDescent="0.25">
      <c r="A10">
        <v>6</v>
      </c>
      <c r="B10" s="4">
        <v>189853.22169999999</v>
      </c>
      <c r="C10" s="4">
        <v>180673.685192</v>
      </c>
      <c r="G10" s="4">
        <f t="shared" si="0"/>
        <v>2408424.8947979999</v>
      </c>
    </row>
    <row r="11" spans="1:7" x14ac:dyDescent="0.25">
      <c r="A11">
        <v>7</v>
      </c>
      <c r="B11" s="4">
        <v>185803.44218300001</v>
      </c>
      <c r="C11" s="4">
        <v>175537.181763</v>
      </c>
      <c r="G11" s="4">
        <f t="shared" si="0"/>
        <v>2710054.6795950001</v>
      </c>
    </row>
    <row r="12" spans="1:7" x14ac:dyDescent="0.25">
      <c r="A12">
        <v>8</v>
      </c>
      <c r="B12" s="4">
        <v>179878.61007600001</v>
      </c>
      <c r="C12" s="4">
        <v>168720.57441599999</v>
      </c>
      <c r="G12" s="4">
        <f t="shared" si="0"/>
        <v>2963093.0681820004</v>
      </c>
    </row>
    <row r="13" spans="1:7" x14ac:dyDescent="0.25">
      <c r="A13">
        <v>9</v>
      </c>
      <c r="B13" s="4">
        <v>172151.88931100001</v>
      </c>
      <c r="C13" s="4">
        <v>160161.59430299999</v>
      </c>
      <c r="G13" s="4">
        <f t="shared" si="0"/>
        <v>3156978.0943330005</v>
      </c>
    </row>
    <row r="14" spans="1:7" x14ac:dyDescent="0.25">
      <c r="A14">
        <v>10</v>
      </c>
      <c r="B14" s="4">
        <v>162796.83673000001</v>
      </c>
      <c r="C14" s="4">
        <v>150109.96432500001</v>
      </c>
      <c r="G14" s="4">
        <f t="shared" si="0"/>
        <v>3285521.4110775003</v>
      </c>
    </row>
    <row r="15" spans="1:7" x14ac:dyDescent="0.25">
      <c r="A15">
        <v>11</v>
      </c>
      <c r="B15" s="4">
        <v>150970.82108200001</v>
      </c>
      <c r="C15" s="4">
        <v>137158.939973</v>
      </c>
      <c r="G15" s="4">
        <f t="shared" si="0"/>
        <v>3313492.2521325001</v>
      </c>
    </row>
    <row r="16" spans="1:7" x14ac:dyDescent="0.25">
      <c r="A16">
        <v>12</v>
      </c>
      <c r="B16" s="4">
        <v>142182.52061400001</v>
      </c>
      <c r="C16" s="4">
        <v>130136.512389</v>
      </c>
      <c r="G16" s="4">
        <f t="shared" si="0"/>
        <v>3403987.9125375003</v>
      </c>
    </row>
    <row r="17" spans="1:7" x14ac:dyDescent="0.25">
      <c r="A17">
        <v>13</v>
      </c>
      <c r="B17" s="4">
        <v>135317.71759300001</v>
      </c>
      <c r="C17" s="4">
        <v>127204.51951100001</v>
      </c>
      <c r="G17" s="4">
        <f t="shared" si="0"/>
        <v>3544050.2009040001</v>
      </c>
    </row>
    <row r="18" spans="1:7" x14ac:dyDescent="0.25">
      <c r="A18">
        <v>14</v>
      </c>
      <c r="B18" s="4">
        <v>130386.164357</v>
      </c>
      <c r="C18" s="4">
        <v>128447.80229199999</v>
      </c>
      <c r="G18" s="4">
        <f t="shared" si="0"/>
        <v>3753092.5164105003</v>
      </c>
    </row>
    <row r="19" spans="1:7" x14ac:dyDescent="0.25">
      <c r="A19">
        <v>15</v>
      </c>
      <c r="B19" s="4">
        <v>127230.77635299999</v>
      </c>
      <c r="C19" s="4">
        <v>133647.22583499999</v>
      </c>
      <c r="G19" s="4">
        <f t="shared" si="0"/>
        <v>4043609.0339139998</v>
      </c>
    </row>
    <row r="20" spans="1:7" x14ac:dyDescent="0.25">
      <c r="A20">
        <v>16</v>
      </c>
      <c r="B20" s="4">
        <v>126591.61705099999</v>
      </c>
      <c r="C20" s="4">
        <v>145392.73318099999</v>
      </c>
      <c r="G20" s="4">
        <f t="shared" si="0"/>
        <v>4487741.7788279997</v>
      </c>
    </row>
    <row r="21" spans="1:7" x14ac:dyDescent="0.25">
      <c r="A21">
        <v>17</v>
      </c>
      <c r="B21" s="4">
        <v>123934.428118</v>
      </c>
      <c r="C21" s="4">
        <v>150130.57107000001</v>
      </c>
      <c r="G21" s="4">
        <f t="shared" si="0"/>
        <v>4796137.4857899994</v>
      </c>
    </row>
    <row r="22" spans="1:7" x14ac:dyDescent="0.25">
      <c r="A22">
        <v>18</v>
      </c>
      <c r="B22" s="4">
        <v>120078.583491</v>
      </c>
      <c r="C22" s="4">
        <v>149992.543592</v>
      </c>
      <c r="G22" s="4">
        <f t="shared" si="0"/>
        <v>4996315.8510355009</v>
      </c>
    </row>
    <row r="23" spans="1:7" x14ac:dyDescent="0.25">
      <c r="A23">
        <v>19</v>
      </c>
      <c r="B23" s="4">
        <v>114974.166843</v>
      </c>
      <c r="C23" s="4">
        <v>144728.62731400001</v>
      </c>
      <c r="G23" s="4">
        <f t="shared" si="0"/>
        <v>5064204.4860615004</v>
      </c>
    </row>
    <row r="24" spans="1:7" x14ac:dyDescent="0.25">
      <c r="A24">
        <v>20</v>
      </c>
      <c r="B24" s="4">
        <v>108806.204497</v>
      </c>
      <c r="C24" s="4">
        <v>134808.52484299999</v>
      </c>
      <c r="G24" s="4">
        <f t="shared" si="0"/>
        <v>4994101.9514699997</v>
      </c>
    </row>
    <row r="25" spans="1:7" x14ac:dyDescent="0.25">
      <c r="A25">
        <v>21</v>
      </c>
      <c r="B25" s="4">
        <v>100408.055322</v>
      </c>
      <c r="C25" s="4">
        <v>117906.64745400001</v>
      </c>
      <c r="G25" s="4">
        <f t="shared" si="0"/>
        <v>4693766.1096840007</v>
      </c>
    </row>
    <row r="26" spans="1:7" x14ac:dyDescent="0.25">
      <c r="A26">
        <v>22</v>
      </c>
      <c r="B26" s="4">
        <v>96943.393911000006</v>
      </c>
      <c r="C26" s="4">
        <v>109901.117318</v>
      </c>
      <c r="G26" s="4">
        <f t="shared" si="0"/>
        <v>4654001.5026524998</v>
      </c>
    </row>
    <row r="27" spans="1:7" x14ac:dyDescent="0.25">
      <c r="A27">
        <v>23</v>
      </c>
      <c r="B27" s="4">
        <v>96983.601095999999</v>
      </c>
      <c r="C27" s="4">
        <v>107454.259011</v>
      </c>
      <c r="G27" s="4">
        <f t="shared" si="0"/>
        <v>4804289.7125144992</v>
      </c>
    </row>
    <row r="28" spans="1:7" x14ac:dyDescent="0.25">
      <c r="A28">
        <v>24</v>
      </c>
      <c r="B28" s="4">
        <v>100680.426706</v>
      </c>
      <c r="C28" s="4">
        <v>110759.880495</v>
      </c>
      <c r="G28" s="4">
        <f t="shared" si="0"/>
        <v>5180287.5264245002</v>
      </c>
    </row>
    <row r="29" spans="1:7" x14ac:dyDescent="0.25">
      <c r="A29">
        <v>25</v>
      </c>
      <c r="B29" s="4">
        <v>107877.522964</v>
      </c>
      <c r="C29" s="4">
        <v>119557.09572300001</v>
      </c>
      <c r="G29" s="4">
        <f t="shared" si="0"/>
        <v>5799582.7765185004</v>
      </c>
    </row>
    <row r="30" spans="1:7" x14ac:dyDescent="0.25">
      <c r="A30">
        <v>26</v>
      </c>
      <c r="B30" s="4">
        <v>121622.406678</v>
      </c>
      <c r="C30" s="4">
        <v>138383.28240900001</v>
      </c>
      <c r="G30" s="4">
        <f t="shared" si="0"/>
        <v>6890150.7608054997</v>
      </c>
    </row>
    <row r="31" spans="1:7" x14ac:dyDescent="0.25">
      <c r="A31">
        <v>27</v>
      </c>
      <c r="B31" s="4">
        <v>126433.939229</v>
      </c>
      <c r="C31" s="4">
        <v>144767.14484600001</v>
      </c>
      <c r="G31" s="4">
        <f t="shared" si="0"/>
        <v>7458029.812062501</v>
      </c>
    </row>
    <row r="32" spans="1:7" x14ac:dyDescent="0.25">
      <c r="A32">
        <v>28</v>
      </c>
      <c r="B32" s="4">
        <v>124620.85107600001</v>
      </c>
      <c r="C32" s="4">
        <v>141996.95731999999</v>
      </c>
      <c r="G32" s="4">
        <f t="shared" si="0"/>
        <v>7598607.5392860007</v>
      </c>
    </row>
    <row r="33" spans="1:7" x14ac:dyDescent="0.25">
      <c r="A33">
        <v>29</v>
      </c>
      <c r="B33" s="4">
        <v>115993.873353</v>
      </c>
      <c r="C33" s="4">
        <v>129840.940088</v>
      </c>
      <c r="G33" s="4">
        <f t="shared" si="0"/>
        <v>7252126.9965094998</v>
      </c>
    </row>
    <row r="34" spans="1:7" x14ac:dyDescent="0.25">
      <c r="A34">
        <v>30</v>
      </c>
      <c r="B34" s="4">
        <v>101378.929665</v>
      </c>
      <c r="C34" s="4">
        <v>109577.67533699999</v>
      </c>
      <c r="G34" s="4">
        <f t="shared" si="0"/>
        <v>6434176.4525610004</v>
      </c>
    </row>
    <row r="35" spans="1:7" x14ac:dyDescent="0.25">
      <c r="A35">
        <v>31</v>
      </c>
      <c r="B35" s="4">
        <v>78293.921172000002</v>
      </c>
      <c r="C35" s="4">
        <v>78150.729697000002</v>
      </c>
      <c r="G35" s="4">
        <f t="shared" si="0"/>
        <v>4928006.5023734998</v>
      </c>
    </row>
    <row r="36" spans="1:7" x14ac:dyDescent="0.25">
      <c r="A36">
        <v>32</v>
      </c>
      <c r="B36" s="4">
        <v>66870.878748000003</v>
      </c>
      <c r="C36" s="4">
        <v>62945.733689000001</v>
      </c>
      <c r="G36" s="4">
        <f t="shared" si="0"/>
        <v>4219039.9042025004</v>
      </c>
    </row>
    <row r="37" spans="1:7" x14ac:dyDescent="0.25">
      <c r="A37">
        <v>33</v>
      </c>
      <c r="B37" s="4">
        <v>62019.321947999997</v>
      </c>
      <c r="C37" s="4">
        <v>56262.150917999999</v>
      </c>
      <c r="G37" s="4">
        <f t="shared" si="0"/>
        <v>3962429.3410109999</v>
      </c>
    </row>
    <row r="38" spans="1:7" x14ac:dyDescent="0.25">
      <c r="A38">
        <v>34</v>
      </c>
      <c r="B38" s="4">
        <v>63658.671900000001</v>
      </c>
      <c r="C38" s="4">
        <v>57730.709213000002</v>
      </c>
      <c r="G38" s="4">
        <f t="shared" si="0"/>
        <v>4187933.6483985004</v>
      </c>
    </row>
    <row r="39" spans="1:7" x14ac:dyDescent="0.25">
      <c r="A39">
        <v>35</v>
      </c>
      <c r="B39" s="4">
        <v>71520.206233000004</v>
      </c>
      <c r="C39" s="4">
        <v>67003.676483000003</v>
      </c>
      <c r="G39" s="4">
        <f t="shared" si="0"/>
        <v>4917597.836418001</v>
      </c>
    </row>
    <row r="40" spans="1:7" x14ac:dyDescent="0.25">
      <c r="A40">
        <v>36</v>
      </c>
      <c r="B40" s="4">
        <v>90490.455258000002</v>
      </c>
      <c r="C40" s="4">
        <v>90597.887896</v>
      </c>
      <c r="G40" s="4">
        <f t="shared" si="0"/>
        <v>6609724.5251209997</v>
      </c>
    </row>
    <row r="41" spans="1:7" x14ac:dyDescent="0.25">
      <c r="A41">
        <v>37</v>
      </c>
      <c r="B41" s="4">
        <v>98985.654559999995</v>
      </c>
      <c r="C41" s="4">
        <v>101809.05334499999</v>
      </c>
      <c r="G41" s="4">
        <f t="shared" si="0"/>
        <v>7529801.5464374991</v>
      </c>
    </row>
    <row r="42" spans="1:7" x14ac:dyDescent="0.25">
      <c r="A42">
        <v>38</v>
      </c>
      <c r="B42" s="4">
        <v>99818.165691000002</v>
      </c>
      <c r="C42" s="4">
        <v>103854.011554</v>
      </c>
      <c r="G42" s="4">
        <f t="shared" si="0"/>
        <v>7841378.8239324996</v>
      </c>
    </row>
    <row r="43" spans="1:7" x14ac:dyDescent="0.25">
      <c r="A43">
        <v>39</v>
      </c>
      <c r="B43" s="4">
        <v>92534.057245999997</v>
      </c>
      <c r="C43" s="4">
        <v>96068.193660999998</v>
      </c>
      <c r="G43" s="4">
        <f t="shared" si="0"/>
        <v>7449788.9108264996</v>
      </c>
    </row>
    <row r="44" spans="1:7" x14ac:dyDescent="0.25">
      <c r="A44">
        <v>40</v>
      </c>
      <c r="B44" s="4">
        <v>78094.667243999997</v>
      </c>
      <c r="C44" s="4">
        <v>79630.853543999998</v>
      </c>
      <c r="G44" s="4">
        <f t="shared" si="0"/>
        <v>6387883.591914</v>
      </c>
    </row>
    <row r="45" spans="1:7" x14ac:dyDescent="0.25">
      <c r="A45">
        <v>41</v>
      </c>
      <c r="B45" s="4">
        <v>54302.256128000001</v>
      </c>
      <c r="C45" s="4">
        <v>52064.004329000003</v>
      </c>
      <c r="G45" s="4">
        <f t="shared" si="0"/>
        <v>4414199.8089654995</v>
      </c>
    </row>
    <row r="46" spans="1:7" x14ac:dyDescent="0.25">
      <c r="A46">
        <v>42</v>
      </c>
      <c r="B46" s="4">
        <v>42487.023473000001</v>
      </c>
      <c r="C46" s="4">
        <v>39179.037229000001</v>
      </c>
      <c r="G46" s="4">
        <f t="shared" si="0"/>
        <v>3470807.579835</v>
      </c>
    </row>
    <row r="47" spans="1:7" x14ac:dyDescent="0.25">
      <c r="A47">
        <v>43</v>
      </c>
      <c r="B47" s="4">
        <v>36590.668890000001</v>
      </c>
      <c r="C47" s="4">
        <v>33197.206420000002</v>
      </c>
      <c r="G47" s="4">
        <f t="shared" si="0"/>
        <v>3035772.575985</v>
      </c>
    </row>
    <row r="48" spans="1:7" x14ac:dyDescent="0.25">
      <c r="A48">
        <v>44</v>
      </c>
      <c r="B48" s="4">
        <v>36190.363254999997</v>
      </c>
      <c r="C48" s="4">
        <v>33550.298563999997</v>
      </c>
      <c r="G48" s="4">
        <f t="shared" si="0"/>
        <v>3103459.4509454998</v>
      </c>
    </row>
    <row r="49" spans="1:7" x14ac:dyDescent="0.25">
      <c r="A49">
        <v>45</v>
      </c>
      <c r="B49" s="4">
        <v>40882.688255000001</v>
      </c>
      <c r="C49" s="4">
        <v>39868.453458000004</v>
      </c>
      <c r="G49" s="4">
        <f t="shared" si="0"/>
        <v>3674176.9479415002</v>
      </c>
    </row>
    <row r="50" spans="1:7" x14ac:dyDescent="0.25">
      <c r="A50">
        <v>46</v>
      </c>
      <c r="B50" s="4">
        <v>54510.386771999998</v>
      </c>
      <c r="C50" s="4">
        <v>57373.256565000003</v>
      </c>
      <c r="G50" s="4">
        <f t="shared" si="0"/>
        <v>5202589.4151705001</v>
      </c>
    </row>
    <row r="51" spans="1:7" x14ac:dyDescent="0.25">
      <c r="A51">
        <v>47</v>
      </c>
      <c r="B51" s="4">
        <v>60828.770919000002</v>
      </c>
      <c r="C51" s="4">
        <v>65900.869676999995</v>
      </c>
      <c r="G51" s="4">
        <f t="shared" si="0"/>
        <v>6019657.9283100003</v>
      </c>
    </row>
    <row r="52" spans="1:7" x14ac:dyDescent="0.25">
      <c r="A52">
        <v>48</v>
      </c>
      <c r="B52" s="4">
        <v>61885.868154999996</v>
      </c>
      <c r="C52" s="4">
        <v>67739.591021</v>
      </c>
      <c r="G52" s="4">
        <f t="shared" si="0"/>
        <v>6286834.7700359998</v>
      </c>
    </row>
    <row r="53" spans="1:7" x14ac:dyDescent="0.25">
      <c r="A53">
        <v>49</v>
      </c>
      <c r="B53" s="4">
        <v>57296.935395</v>
      </c>
      <c r="C53" s="4">
        <v>62341.210620999998</v>
      </c>
      <c r="G53" s="4">
        <f t="shared" si="0"/>
        <v>5922088.2277920004</v>
      </c>
    </row>
    <row r="54" spans="1:7" x14ac:dyDescent="0.25">
      <c r="A54">
        <v>50</v>
      </c>
      <c r="B54" s="4">
        <v>47737.038759000003</v>
      </c>
      <c r="C54" s="4">
        <v>50604.072116000003</v>
      </c>
      <c r="G54" s="4">
        <f t="shared" si="0"/>
        <v>4966226.0991875008</v>
      </c>
    </row>
    <row r="55" spans="1:7" x14ac:dyDescent="0.25">
      <c r="A55">
        <v>51</v>
      </c>
      <c r="B55" s="4">
        <v>31747.128594000002</v>
      </c>
      <c r="C55" s="4">
        <v>30852.890082000002</v>
      </c>
      <c r="G55" s="4">
        <f t="shared" si="0"/>
        <v>3223900.9618140003</v>
      </c>
    </row>
    <row r="56" spans="1:7" x14ac:dyDescent="0.25">
      <c r="A56">
        <v>52</v>
      </c>
      <c r="B56" s="4">
        <v>24192.629803</v>
      </c>
      <c r="C56" s="4">
        <v>22053.578691999999</v>
      </c>
      <c r="G56" s="4">
        <f t="shared" si="0"/>
        <v>2427925.9459874998</v>
      </c>
    </row>
    <row r="57" spans="1:7" x14ac:dyDescent="0.25">
      <c r="A57">
        <v>53</v>
      </c>
      <c r="B57" s="4">
        <v>20669.874688</v>
      </c>
      <c r="C57" s="4">
        <v>18077.861263999999</v>
      </c>
      <c r="G57" s="4">
        <f t="shared" si="0"/>
        <v>2073003.8734320002</v>
      </c>
    </row>
    <row r="58" spans="1:7" x14ac:dyDescent="0.25">
      <c r="A58">
        <v>54</v>
      </c>
      <c r="B58" s="4">
        <v>20871.704826000001</v>
      </c>
      <c r="C58" s="4">
        <v>18410.233086</v>
      </c>
      <c r="G58" s="4">
        <f t="shared" si="0"/>
        <v>2140865.6162040001</v>
      </c>
    </row>
    <row r="59" spans="1:7" x14ac:dyDescent="0.25">
      <c r="A59">
        <v>55</v>
      </c>
      <c r="B59" s="4">
        <v>24590.662089000001</v>
      </c>
      <c r="C59" s="4">
        <v>22818.436876</v>
      </c>
      <c r="G59" s="4">
        <f t="shared" si="0"/>
        <v>2631204.9925575</v>
      </c>
    </row>
    <row r="60" spans="1:7" x14ac:dyDescent="0.25">
      <c r="A60">
        <v>56</v>
      </c>
      <c r="B60" s="4">
        <v>34727.802004999998</v>
      </c>
      <c r="C60" s="4">
        <v>35218.050477999997</v>
      </c>
      <c r="G60" s="4">
        <f t="shared" si="0"/>
        <v>3951940.6652894998</v>
      </c>
    </row>
    <row r="61" spans="1:7" x14ac:dyDescent="0.25">
      <c r="A61">
        <v>57</v>
      </c>
      <c r="B61" s="4">
        <v>40074.094840999998</v>
      </c>
      <c r="C61" s="4">
        <v>41713.233390000001</v>
      </c>
      <c r="G61" s="4">
        <f t="shared" si="0"/>
        <v>4702771.3732824996</v>
      </c>
    </row>
    <row r="62" spans="1:7" x14ac:dyDescent="0.25">
      <c r="A62">
        <v>58</v>
      </c>
      <c r="B62" s="4">
        <v>41932.799822000001</v>
      </c>
      <c r="C62" s="4">
        <v>43757.461073999999</v>
      </c>
      <c r="G62" s="4">
        <f t="shared" si="0"/>
        <v>5012880.2624159995</v>
      </c>
    </row>
    <row r="63" spans="1:7" x14ac:dyDescent="0.25">
      <c r="A63">
        <v>59</v>
      </c>
      <c r="B63" s="4">
        <v>39938.113801</v>
      </c>
      <c r="C63" s="4">
        <v>40882.706444000003</v>
      </c>
      <c r="G63" s="4">
        <f t="shared" si="0"/>
        <v>4808838.8045775006</v>
      </c>
    </row>
    <row r="64" spans="1:7" x14ac:dyDescent="0.25">
      <c r="A64">
        <v>60</v>
      </c>
      <c r="B64" s="4">
        <v>34425.189531000004</v>
      </c>
      <c r="C64" s="4">
        <v>33609.548613999999</v>
      </c>
      <c r="G64" s="4">
        <f t="shared" si="0"/>
        <v>4116101.6577725005</v>
      </c>
    </row>
    <row r="65" spans="1:7" x14ac:dyDescent="0.25">
      <c r="A65">
        <v>61</v>
      </c>
      <c r="B65" s="4">
        <v>24538.547885</v>
      </c>
      <c r="C65" s="4">
        <v>20972.852368</v>
      </c>
      <c r="G65" s="4">
        <f t="shared" si="0"/>
        <v>2798951.1155595002</v>
      </c>
    </row>
    <row r="66" spans="1:7" x14ac:dyDescent="0.25">
      <c r="A66">
        <v>62</v>
      </c>
      <c r="B66" s="4">
        <v>19011.858893000001</v>
      </c>
      <c r="C66" s="4">
        <v>14649.963769</v>
      </c>
      <c r="G66" s="4">
        <f t="shared" si="0"/>
        <v>2103863.916375</v>
      </c>
    </row>
    <row r="67" spans="1:7" x14ac:dyDescent="0.25">
      <c r="A67">
        <v>63</v>
      </c>
      <c r="B67" s="4">
        <v>15501.054174000001</v>
      </c>
      <c r="C67" s="4">
        <v>10965.217237999999</v>
      </c>
      <c r="G67" s="4">
        <f t="shared" si="0"/>
        <v>1680608.2346620001</v>
      </c>
    </row>
    <row r="68" spans="1:7" x14ac:dyDescent="0.25">
      <c r="A68">
        <v>64</v>
      </c>
      <c r="B68" s="4">
        <v>13782.619606</v>
      </c>
      <c r="C68" s="4">
        <v>9448.2093550000009</v>
      </c>
      <c r="G68" s="4">
        <f t="shared" si="0"/>
        <v>1498388.4679844999</v>
      </c>
    </row>
    <row r="69" spans="1:7" x14ac:dyDescent="0.25">
      <c r="A69">
        <v>65</v>
      </c>
      <c r="B69" s="4">
        <v>13578.919441</v>
      </c>
      <c r="C69" s="4">
        <v>9700.7572710000004</v>
      </c>
      <c r="G69" s="4">
        <f t="shared" ref="G69:G113" si="1">(B69+C69) * (0.5 + A69)</f>
        <v>1524818.824636</v>
      </c>
    </row>
    <row r="70" spans="1:7" x14ac:dyDescent="0.25">
      <c r="A70">
        <v>66</v>
      </c>
      <c r="B70" s="4">
        <v>15561.851756</v>
      </c>
      <c r="C70" s="4">
        <v>12641.339871</v>
      </c>
      <c r="G70" s="4">
        <f t="shared" si="1"/>
        <v>1875512.2431955</v>
      </c>
    </row>
    <row r="71" spans="1:7" x14ac:dyDescent="0.25">
      <c r="A71">
        <v>67</v>
      </c>
      <c r="B71" s="4">
        <v>15909.230755</v>
      </c>
      <c r="C71" s="4">
        <v>13752.533964</v>
      </c>
      <c r="G71" s="4">
        <f t="shared" si="1"/>
        <v>2002169.1185325</v>
      </c>
    </row>
    <row r="72" spans="1:7" x14ac:dyDescent="0.25">
      <c r="A72">
        <v>68</v>
      </c>
      <c r="B72" s="4">
        <v>15244.811537</v>
      </c>
      <c r="C72" s="4">
        <v>13678.124947</v>
      </c>
      <c r="G72" s="4">
        <f t="shared" si="1"/>
        <v>1981221.1491539998</v>
      </c>
    </row>
    <row r="73" spans="1:7" x14ac:dyDescent="0.25">
      <c r="A73">
        <v>69</v>
      </c>
      <c r="B73" s="4">
        <v>13542.817402999999</v>
      </c>
      <c r="C73" s="4">
        <v>12343.416348999999</v>
      </c>
      <c r="G73" s="4">
        <f t="shared" si="1"/>
        <v>1799093.2457640001</v>
      </c>
    </row>
    <row r="74" spans="1:7" x14ac:dyDescent="0.25">
      <c r="A74">
        <v>70</v>
      </c>
      <c r="B74" s="4">
        <v>10970.288549999999</v>
      </c>
      <c r="C74" s="4">
        <v>9928.5848679999999</v>
      </c>
      <c r="G74" s="4">
        <f t="shared" si="1"/>
        <v>1473370.5759689999</v>
      </c>
    </row>
    <row r="75" spans="1:7" x14ac:dyDescent="0.25">
      <c r="A75">
        <v>71</v>
      </c>
      <c r="B75" s="4">
        <v>7238.4803279999996</v>
      </c>
      <c r="C75" s="4">
        <v>6141.7464620000001</v>
      </c>
      <c r="G75" s="4">
        <f t="shared" si="1"/>
        <v>956686.21548500005</v>
      </c>
    </row>
    <row r="76" spans="1:7" x14ac:dyDescent="0.25">
      <c r="A76">
        <v>72</v>
      </c>
      <c r="B76" s="4">
        <v>5280.2503980000001</v>
      </c>
      <c r="C76" s="4">
        <v>4298.0961989999996</v>
      </c>
      <c r="G76" s="4">
        <f t="shared" si="1"/>
        <v>694430.12828249997</v>
      </c>
    </row>
    <row r="77" spans="1:7" x14ac:dyDescent="0.25">
      <c r="A77">
        <v>73</v>
      </c>
      <c r="B77" s="4">
        <v>4150.8634860000002</v>
      </c>
      <c r="C77" s="4">
        <v>3298.23918</v>
      </c>
      <c r="G77" s="4">
        <f t="shared" si="1"/>
        <v>547509.04595100007</v>
      </c>
    </row>
    <row r="78" spans="1:7" x14ac:dyDescent="0.25">
      <c r="A78">
        <v>74</v>
      </c>
      <c r="B78" s="4">
        <v>3724.8159759999999</v>
      </c>
      <c r="C78" s="4">
        <v>3003.7328000000002</v>
      </c>
      <c r="G78" s="4">
        <f t="shared" si="1"/>
        <v>501276.88381199999</v>
      </c>
    </row>
    <row r="79" spans="1:7" x14ac:dyDescent="0.25">
      <c r="A79">
        <v>75</v>
      </c>
      <c r="B79" s="4">
        <v>3895.5898120000002</v>
      </c>
      <c r="C79" s="4">
        <v>3313.1853580000002</v>
      </c>
      <c r="G79" s="4">
        <f t="shared" si="1"/>
        <v>544262.52533500001</v>
      </c>
    </row>
    <row r="80" spans="1:7" x14ac:dyDescent="0.25">
      <c r="A80">
        <v>76</v>
      </c>
      <c r="B80" s="4">
        <v>5002.5620129999998</v>
      </c>
      <c r="C80" s="4">
        <v>4640.7005159999999</v>
      </c>
      <c r="G80" s="4">
        <f t="shared" si="1"/>
        <v>737709.58346849994</v>
      </c>
    </row>
    <row r="81" spans="1:7" x14ac:dyDescent="0.25">
      <c r="A81">
        <v>77</v>
      </c>
      <c r="B81" s="4">
        <v>5417.2605649999996</v>
      </c>
      <c r="C81" s="4">
        <v>5226.4474060000002</v>
      </c>
      <c r="G81" s="4">
        <f t="shared" si="1"/>
        <v>824887.36775249999</v>
      </c>
    </row>
    <row r="82" spans="1:7" x14ac:dyDescent="0.25">
      <c r="A82">
        <v>78</v>
      </c>
      <c r="B82" s="4">
        <v>5370.3514850000001</v>
      </c>
      <c r="C82" s="4">
        <v>5292.8957600000003</v>
      </c>
      <c r="G82" s="4">
        <f t="shared" si="1"/>
        <v>837064.90873250004</v>
      </c>
    </row>
    <row r="83" spans="1:7" x14ac:dyDescent="0.25">
      <c r="A83">
        <v>79</v>
      </c>
      <c r="B83" s="4">
        <v>4836.7394530000001</v>
      </c>
      <c r="C83" s="4">
        <v>4801.9636620000001</v>
      </c>
      <c r="G83" s="4">
        <f t="shared" si="1"/>
        <v>766276.8976425</v>
      </c>
    </row>
    <row r="84" spans="1:7" x14ac:dyDescent="0.25">
      <c r="A84">
        <v>80</v>
      </c>
      <c r="B84" s="4">
        <v>3886.0864839999999</v>
      </c>
      <c r="C84" s="4">
        <v>3828.9926559999999</v>
      </c>
      <c r="G84" s="4">
        <f t="shared" si="1"/>
        <v>621063.87077000004</v>
      </c>
    </row>
    <row r="85" spans="1:7" x14ac:dyDescent="0.25">
      <c r="A85">
        <v>81</v>
      </c>
      <c r="B85" s="4">
        <v>2412.27529</v>
      </c>
      <c r="C85" s="4">
        <v>2262.841308</v>
      </c>
      <c r="G85" s="4">
        <f t="shared" si="1"/>
        <v>381022.00273700006</v>
      </c>
    </row>
    <row r="86" spans="1:7" x14ac:dyDescent="0.25">
      <c r="A86">
        <v>82</v>
      </c>
      <c r="B86" s="4">
        <v>1658.5623430000001</v>
      </c>
      <c r="C86" s="4">
        <v>1500.6135380000001</v>
      </c>
      <c r="G86" s="4">
        <f t="shared" si="1"/>
        <v>260632.0101825</v>
      </c>
    </row>
    <row r="87" spans="1:7" x14ac:dyDescent="0.25">
      <c r="A87">
        <v>83</v>
      </c>
      <c r="B87" s="4">
        <v>1209.933466</v>
      </c>
      <c r="C87" s="4">
        <v>1060.958245</v>
      </c>
      <c r="G87" s="4">
        <f t="shared" si="1"/>
        <v>189619.45786850003</v>
      </c>
    </row>
    <row r="88" spans="1:7" x14ac:dyDescent="0.25">
      <c r="A88">
        <v>84</v>
      </c>
      <c r="B88" s="4">
        <v>1004.331465</v>
      </c>
      <c r="C88" s="4">
        <v>871.956727</v>
      </c>
      <c r="G88" s="4">
        <f t="shared" si="1"/>
        <v>158546.352224</v>
      </c>
    </row>
    <row r="89" spans="1:7" x14ac:dyDescent="0.25">
      <c r="A89">
        <v>85</v>
      </c>
      <c r="B89" s="4">
        <v>990.89743599999997</v>
      </c>
      <c r="C89" s="4">
        <v>878.63018199999999</v>
      </c>
      <c r="G89" s="4">
        <f t="shared" si="1"/>
        <v>159844.611339</v>
      </c>
    </row>
    <row r="90" spans="1:7" x14ac:dyDescent="0.25">
      <c r="A90">
        <v>86</v>
      </c>
      <c r="B90" s="4">
        <v>1250.905107</v>
      </c>
      <c r="C90" s="4">
        <v>1173.2803719999999</v>
      </c>
      <c r="G90" s="4">
        <f t="shared" si="1"/>
        <v>209692.04393349998</v>
      </c>
    </row>
    <row r="91" spans="1:7" x14ac:dyDescent="0.25">
      <c r="A91">
        <v>87</v>
      </c>
      <c r="B91" s="4">
        <v>1343.3254099999999</v>
      </c>
      <c r="C91" s="4">
        <v>1290.7204630000001</v>
      </c>
      <c r="G91" s="4">
        <f t="shared" si="1"/>
        <v>230479.01388750001</v>
      </c>
    </row>
    <row r="92" spans="1:7" x14ac:dyDescent="0.25">
      <c r="A92">
        <v>88</v>
      </c>
      <c r="B92" s="4">
        <v>1334.462636</v>
      </c>
      <c r="C92" s="4">
        <v>1297.0958479999999</v>
      </c>
      <c r="G92" s="4">
        <f t="shared" si="1"/>
        <v>232892.92583400002</v>
      </c>
    </row>
    <row r="93" spans="1:7" x14ac:dyDescent="0.25">
      <c r="A93">
        <v>89</v>
      </c>
      <c r="B93" s="4">
        <v>1217.0228569999999</v>
      </c>
      <c r="C93" s="4">
        <v>1183.444291</v>
      </c>
      <c r="G93" s="4">
        <f t="shared" si="1"/>
        <v>214841.80974599998</v>
      </c>
    </row>
    <row r="94" spans="1:7" x14ac:dyDescent="0.25">
      <c r="A94">
        <v>90</v>
      </c>
      <c r="B94" s="4">
        <v>1005.283989</v>
      </c>
      <c r="C94" s="4">
        <v>965.45902699999999</v>
      </c>
      <c r="G94" s="4">
        <f t="shared" si="1"/>
        <v>178352.242948</v>
      </c>
    </row>
    <row r="95" spans="1:7" x14ac:dyDescent="0.25">
      <c r="A95">
        <v>91</v>
      </c>
      <c r="B95" s="4">
        <v>674.68485999999996</v>
      </c>
      <c r="C95" s="4">
        <v>617.34799999999996</v>
      </c>
      <c r="G95" s="4">
        <f t="shared" si="1"/>
        <v>118221.00668999998</v>
      </c>
    </row>
    <row r="96" spans="1:7" x14ac:dyDescent="0.25">
      <c r="A96">
        <v>92</v>
      </c>
      <c r="B96" s="4">
        <v>492.95518900000002</v>
      </c>
      <c r="C96" s="4">
        <v>436.19010200000002</v>
      </c>
      <c r="G96" s="4">
        <f t="shared" si="1"/>
        <v>85945.939417500005</v>
      </c>
    </row>
    <row r="97" spans="1:7" x14ac:dyDescent="0.25">
      <c r="A97">
        <v>93</v>
      </c>
      <c r="B97" s="4">
        <v>378.55717099999998</v>
      </c>
      <c r="C97" s="4">
        <v>327.40431000000001</v>
      </c>
      <c r="G97" s="4">
        <f t="shared" si="1"/>
        <v>66007.398473499998</v>
      </c>
    </row>
    <row r="98" spans="1:7" x14ac:dyDescent="0.25">
      <c r="A98">
        <v>94</v>
      </c>
      <c r="B98" s="4">
        <v>320.34603499999997</v>
      </c>
      <c r="C98" s="4">
        <v>277.88839899999999</v>
      </c>
      <c r="G98" s="4">
        <f t="shared" si="1"/>
        <v>56533.154012999999</v>
      </c>
    </row>
    <row r="99" spans="1:7" x14ac:dyDescent="0.25">
      <c r="A99">
        <v>95</v>
      </c>
      <c r="B99" s="4">
        <v>307.45674500000001</v>
      </c>
      <c r="C99" s="4">
        <v>276.16918900000002</v>
      </c>
      <c r="G99" s="4">
        <f t="shared" si="1"/>
        <v>55736.276697000001</v>
      </c>
    </row>
    <row r="100" spans="1:7" x14ac:dyDescent="0.25">
      <c r="A100">
        <v>96</v>
      </c>
      <c r="B100" s="4">
        <v>357.585847</v>
      </c>
      <c r="C100" s="4">
        <v>344.13258200000001</v>
      </c>
      <c r="G100" s="4">
        <f t="shared" si="1"/>
        <v>67715.828398500002</v>
      </c>
    </row>
    <row r="101" spans="1:7" x14ac:dyDescent="0.25">
      <c r="A101">
        <v>97</v>
      </c>
      <c r="B101" s="4">
        <v>363.46210600000001</v>
      </c>
      <c r="C101" s="4">
        <v>363.91283199999998</v>
      </c>
      <c r="G101" s="4">
        <f t="shared" si="1"/>
        <v>70919.056454999998</v>
      </c>
    </row>
    <row r="102" spans="1:7" x14ac:dyDescent="0.25">
      <c r="A102">
        <v>98</v>
      </c>
      <c r="B102" s="4">
        <v>342.81500799999998</v>
      </c>
      <c r="C102" s="4">
        <v>353.41941300000002</v>
      </c>
      <c r="G102" s="4">
        <f t="shared" si="1"/>
        <v>68579.090468499999</v>
      </c>
    </row>
    <row r="103" spans="1:7" x14ac:dyDescent="0.25">
      <c r="A103">
        <v>99</v>
      </c>
      <c r="B103" s="4">
        <v>295.26905599999998</v>
      </c>
      <c r="C103" s="4">
        <v>311.43702999999999</v>
      </c>
      <c r="G103" s="4">
        <f t="shared" si="1"/>
        <v>60367.255556999989</v>
      </c>
    </row>
    <row r="104" spans="1:7" x14ac:dyDescent="0.25">
      <c r="A104">
        <v>100</v>
      </c>
      <c r="B104" s="4">
        <v>225.86798200000001</v>
      </c>
      <c r="C104" s="4">
        <v>243.09814399999999</v>
      </c>
      <c r="G104" s="4">
        <f t="shared" si="1"/>
        <v>47131.095663</v>
      </c>
    </row>
    <row r="105" spans="1:7" x14ac:dyDescent="0.25">
      <c r="A105">
        <v>101</v>
      </c>
      <c r="B105" s="4">
        <v>128.16244</v>
      </c>
      <c r="C105" s="4">
        <v>141.97218799999999</v>
      </c>
      <c r="G105" s="4">
        <f t="shared" si="1"/>
        <v>27418.664742000001</v>
      </c>
    </row>
    <row r="106" spans="1:7" x14ac:dyDescent="0.25">
      <c r="A106">
        <v>102</v>
      </c>
      <c r="B106" s="4">
        <v>78.821770999999998</v>
      </c>
      <c r="C106" s="4">
        <v>89.531729999999996</v>
      </c>
      <c r="G106" s="4">
        <f t="shared" si="1"/>
        <v>17256.233852499998</v>
      </c>
    </row>
    <row r="107" spans="1:7" x14ac:dyDescent="0.25">
      <c r="A107">
        <v>103</v>
      </c>
      <c r="B107" s="4">
        <v>47.861614000000003</v>
      </c>
      <c r="C107" s="4">
        <v>55.811019999999999</v>
      </c>
      <c r="G107" s="4">
        <f t="shared" si="1"/>
        <v>10730.117619000001</v>
      </c>
    </row>
    <row r="108" spans="1:7" x14ac:dyDescent="0.25">
      <c r="A108">
        <v>104</v>
      </c>
      <c r="B108" s="4">
        <v>29.167954000000002</v>
      </c>
      <c r="C108" s="4">
        <v>34.932256000000002</v>
      </c>
      <c r="G108" s="4">
        <f t="shared" si="1"/>
        <v>6698.4719450000002</v>
      </c>
    </row>
    <row r="109" spans="1:7" x14ac:dyDescent="0.25">
      <c r="A109">
        <v>105</v>
      </c>
      <c r="B109" s="4">
        <v>17.895475000000001</v>
      </c>
      <c r="C109" s="4">
        <v>22.03304</v>
      </c>
      <c r="G109" s="4">
        <f t="shared" si="1"/>
        <v>4212.4583325000003</v>
      </c>
    </row>
    <row r="110" spans="1:7" x14ac:dyDescent="0.25">
      <c r="A110">
        <v>106</v>
      </c>
      <c r="B110" s="4">
        <v>11.171498</v>
      </c>
      <c r="C110" s="4">
        <v>14.161868999999999</v>
      </c>
      <c r="G110" s="4">
        <f t="shared" si="1"/>
        <v>2698.0035855000001</v>
      </c>
    </row>
    <row r="111" spans="1:7" x14ac:dyDescent="0.25">
      <c r="A111">
        <v>107</v>
      </c>
      <c r="B111" s="4">
        <v>7.2928980000000001</v>
      </c>
      <c r="C111" s="4">
        <v>9.5294349999999994</v>
      </c>
      <c r="G111" s="4">
        <f t="shared" si="1"/>
        <v>1808.4007975</v>
      </c>
    </row>
    <row r="112" spans="1:7" x14ac:dyDescent="0.25">
      <c r="A112">
        <v>108</v>
      </c>
      <c r="B112" s="4">
        <v>5.2574649999999998</v>
      </c>
      <c r="C112" s="4">
        <v>7.0593370000000002</v>
      </c>
      <c r="G112" s="4">
        <f t="shared" si="1"/>
        <v>1336.3730169999999</v>
      </c>
    </row>
    <row r="113" spans="1:7" x14ac:dyDescent="0.25">
      <c r="A113">
        <v>109</v>
      </c>
      <c r="B113" s="4">
        <v>4.3688840000000004</v>
      </c>
      <c r="C113" s="4">
        <v>5.969125</v>
      </c>
      <c r="G113" s="4">
        <f t="shared" si="1"/>
        <v>1132.0119855</v>
      </c>
    </row>
    <row r="115" spans="1:7" x14ac:dyDescent="0.25">
      <c r="A115" t="s">
        <v>119</v>
      </c>
      <c r="B115">
        <f>SUM(B4:B113)</f>
        <v>6183814.1522739995</v>
      </c>
      <c r="C115">
        <f>SUM(C4:C113)</f>
        <v>6293152.0130910007</v>
      </c>
      <c r="G115" s="11">
        <f>SUM(G4:G113) / (B115 + C115)</f>
        <v>23.431344095841261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2306-B10F-4126-935C-4C23D644929A}">
  <sheetPr codeName="Sheet4"/>
  <dimension ref="A3:G115"/>
  <sheetViews>
    <sheetView workbookViewId="0">
      <selection activeCell="L52" sqref="L52"/>
    </sheetView>
  </sheetViews>
  <sheetFormatPr defaultRowHeight="15" x14ac:dyDescent="0.25"/>
  <cols>
    <col min="7" max="7" width="18.85546875" customWidth="1"/>
  </cols>
  <sheetData>
    <row r="3" spans="1:7" ht="39.75" customHeight="1" x14ac:dyDescent="0.25">
      <c r="A3" s="6" t="s">
        <v>16</v>
      </c>
      <c r="B3" s="6" t="s">
        <v>0</v>
      </c>
      <c r="C3" s="6" t="s">
        <v>1</v>
      </c>
      <c r="G3" s="13" t="s">
        <v>123</v>
      </c>
    </row>
    <row r="4" spans="1:7" x14ac:dyDescent="0.25">
      <c r="A4">
        <v>0</v>
      </c>
      <c r="B4" s="4">
        <v>233223</v>
      </c>
      <c r="C4" s="4">
        <v>219777</v>
      </c>
      <c r="G4" s="4">
        <f>(B4+C4) * (0.5 + A4)</f>
        <v>226500</v>
      </c>
    </row>
    <row r="5" spans="1:7" x14ac:dyDescent="0.25">
      <c r="A5">
        <v>1</v>
      </c>
      <c r="B5" s="4">
        <v>201415</v>
      </c>
      <c r="C5" s="4">
        <v>193585</v>
      </c>
      <c r="G5" s="4">
        <f t="shared" ref="G5:G68" si="0">(B5+C5) * (0.5 + A5)</f>
        <v>592500</v>
      </c>
    </row>
    <row r="6" spans="1:7" x14ac:dyDescent="0.25">
      <c r="A6">
        <v>2</v>
      </c>
      <c r="B6" s="4">
        <v>189934</v>
      </c>
      <c r="C6" s="4">
        <v>185418</v>
      </c>
      <c r="G6" s="4">
        <f t="shared" si="0"/>
        <v>938380</v>
      </c>
    </row>
    <row r="7" spans="1:7" x14ac:dyDescent="0.25">
      <c r="A7">
        <v>3</v>
      </c>
      <c r="B7" s="4">
        <v>189977</v>
      </c>
      <c r="C7" s="4">
        <v>187240</v>
      </c>
      <c r="G7" s="4">
        <f t="shared" si="0"/>
        <v>1320259.5</v>
      </c>
    </row>
    <row r="8" spans="1:7" x14ac:dyDescent="0.25">
      <c r="A8">
        <v>4</v>
      </c>
      <c r="B8" s="4">
        <v>191481</v>
      </c>
      <c r="C8" s="4">
        <v>190397</v>
      </c>
      <c r="G8" s="4">
        <f t="shared" si="0"/>
        <v>1718451</v>
      </c>
    </row>
    <row r="9" spans="1:7" x14ac:dyDescent="0.25">
      <c r="A9">
        <v>5</v>
      </c>
      <c r="B9" s="4">
        <v>192191</v>
      </c>
      <c r="C9" s="4">
        <v>182763</v>
      </c>
      <c r="G9" s="4">
        <f t="shared" si="0"/>
        <v>2062247</v>
      </c>
    </row>
    <row r="10" spans="1:7" x14ac:dyDescent="0.25">
      <c r="A10">
        <v>6</v>
      </c>
      <c r="B10" s="4">
        <v>189853.22169999999</v>
      </c>
      <c r="C10" s="4">
        <v>180673.685192</v>
      </c>
      <c r="G10" s="4">
        <f t="shared" si="0"/>
        <v>2408424.8947979999</v>
      </c>
    </row>
    <row r="11" spans="1:7" x14ac:dyDescent="0.25">
      <c r="A11">
        <v>7</v>
      </c>
      <c r="B11" s="4">
        <v>185803.44218300001</v>
      </c>
      <c r="C11" s="4">
        <v>175537.181763</v>
      </c>
      <c r="G11" s="4">
        <f t="shared" si="0"/>
        <v>2710054.6795950001</v>
      </c>
    </row>
    <row r="12" spans="1:7" x14ac:dyDescent="0.25">
      <c r="A12">
        <v>8</v>
      </c>
      <c r="B12" s="4">
        <v>179878.61007600001</v>
      </c>
      <c r="C12" s="4">
        <v>168720.57441599999</v>
      </c>
      <c r="G12" s="4">
        <f t="shared" si="0"/>
        <v>2963093.0681820004</v>
      </c>
    </row>
    <row r="13" spans="1:7" x14ac:dyDescent="0.25">
      <c r="A13">
        <v>9</v>
      </c>
      <c r="B13" s="4">
        <v>172151.88931100001</v>
      </c>
      <c r="C13" s="4">
        <v>160161.59430299999</v>
      </c>
      <c r="G13" s="4">
        <f t="shared" si="0"/>
        <v>3156978.0943330005</v>
      </c>
    </row>
    <row r="14" spans="1:7" x14ac:dyDescent="0.25">
      <c r="A14">
        <v>10</v>
      </c>
      <c r="B14" s="4">
        <v>162796.83673000001</v>
      </c>
      <c r="C14" s="4">
        <v>150109.96432500001</v>
      </c>
      <c r="G14" s="4">
        <f t="shared" si="0"/>
        <v>3285521.4110775003</v>
      </c>
    </row>
    <row r="15" spans="1:7" x14ac:dyDescent="0.25">
      <c r="A15">
        <v>11</v>
      </c>
      <c r="B15" s="4">
        <v>150970.82108200001</v>
      </c>
      <c r="C15" s="4">
        <v>137158.939973</v>
      </c>
      <c r="G15" s="4">
        <f t="shared" si="0"/>
        <v>3313492.2521325001</v>
      </c>
    </row>
    <row r="16" spans="1:7" x14ac:dyDescent="0.25">
      <c r="A16">
        <v>12</v>
      </c>
      <c r="B16" s="4">
        <v>142182.52061400001</v>
      </c>
      <c r="C16" s="4">
        <v>130136.512389</v>
      </c>
      <c r="G16" s="4">
        <f t="shared" si="0"/>
        <v>3403987.9125375003</v>
      </c>
    </row>
    <row r="17" spans="1:7" x14ac:dyDescent="0.25">
      <c r="A17">
        <v>13</v>
      </c>
      <c r="B17" s="4">
        <v>135317.71759300001</v>
      </c>
      <c r="C17" s="4">
        <v>127204.51951100001</v>
      </c>
      <c r="G17" s="4">
        <f t="shared" si="0"/>
        <v>3544050.2009040001</v>
      </c>
    </row>
    <row r="18" spans="1:7" x14ac:dyDescent="0.25">
      <c r="A18">
        <v>14</v>
      </c>
      <c r="B18" s="4">
        <v>130386.164357</v>
      </c>
      <c r="C18" s="4">
        <v>128447.80229199999</v>
      </c>
      <c r="G18" s="4">
        <f t="shared" si="0"/>
        <v>3753092.5164105003</v>
      </c>
    </row>
    <row r="19" spans="1:7" x14ac:dyDescent="0.25">
      <c r="A19">
        <v>15</v>
      </c>
      <c r="B19" s="4">
        <v>127230.77635299999</v>
      </c>
      <c r="C19" s="4">
        <v>133647.22583499999</v>
      </c>
      <c r="G19" s="4">
        <f t="shared" si="0"/>
        <v>4043609.0339139998</v>
      </c>
    </row>
    <row r="20" spans="1:7" x14ac:dyDescent="0.25">
      <c r="A20">
        <v>16</v>
      </c>
      <c r="B20" s="4">
        <v>126591.61705099999</v>
      </c>
      <c r="C20" s="4">
        <v>145392.73318099999</v>
      </c>
      <c r="G20" s="4">
        <f t="shared" si="0"/>
        <v>4487741.7788279997</v>
      </c>
    </row>
    <row r="21" spans="1:7" x14ac:dyDescent="0.25">
      <c r="A21">
        <v>17</v>
      </c>
      <c r="B21" s="4">
        <v>123934.428118</v>
      </c>
      <c r="C21" s="4">
        <v>150130.57107000001</v>
      </c>
      <c r="G21" s="4">
        <f t="shared" si="0"/>
        <v>4796137.4857899994</v>
      </c>
    </row>
    <row r="22" spans="1:7" x14ac:dyDescent="0.25">
      <c r="A22">
        <v>18</v>
      </c>
      <c r="B22" s="4">
        <v>120078.583491</v>
      </c>
      <c r="C22" s="4">
        <v>149992.543592</v>
      </c>
      <c r="G22" s="4">
        <f t="shared" si="0"/>
        <v>4996315.8510355009</v>
      </c>
    </row>
    <row r="23" spans="1:7" x14ac:dyDescent="0.25">
      <c r="A23">
        <v>19</v>
      </c>
      <c r="B23" s="4">
        <v>114974.166843</v>
      </c>
      <c r="C23" s="4">
        <v>144728.62731400001</v>
      </c>
      <c r="G23" s="4">
        <f t="shared" si="0"/>
        <v>5064204.4860615004</v>
      </c>
    </row>
    <row r="24" spans="1:7" x14ac:dyDescent="0.25">
      <c r="A24">
        <v>20</v>
      </c>
      <c r="B24" s="4">
        <v>108806.204497</v>
      </c>
      <c r="C24" s="4">
        <v>134808.52484299999</v>
      </c>
      <c r="G24" s="4">
        <f t="shared" si="0"/>
        <v>4994101.9514699997</v>
      </c>
    </row>
    <row r="25" spans="1:7" x14ac:dyDescent="0.25">
      <c r="A25">
        <v>21</v>
      </c>
      <c r="B25" s="4">
        <v>100408.055322</v>
      </c>
      <c r="C25" s="4">
        <v>117906.64745400001</v>
      </c>
      <c r="G25" s="4">
        <f t="shared" si="0"/>
        <v>4693766.1096840007</v>
      </c>
    </row>
    <row r="26" spans="1:7" x14ac:dyDescent="0.25">
      <c r="A26">
        <v>22</v>
      </c>
      <c r="B26" s="4">
        <v>96943.393911000006</v>
      </c>
      <c r="C26" s="4">
        <v>109901.117318</v>
      </c>
      <c r="G26" s="4">
        <f t="shared" si="0"/>
        <v>4654001.5026524998</v>
      </c>
    </row>
    <row r="27" spans="1:7" x14ac:dyDescent="0.25">
      <c r="A27">
        <v>23</v>
      </c>
      <c r="B27" s="4">
        <v>96983.601095999999</v>
      </c>
      <c r="C27" s="4">
        <v>107454.259011</v>
      </c>
      <c r="G27" s="4">
        <f t="shared" si="0"/>
        <v>4804289.7125144992</v>
      </c>
    </row>
    <row r="28" spans="1:7" x14ac:dyDescent="0.25">
      <c r="A28">
        <v>24</v>
      </c>
      <c r="B28" s="4">
        <v>100680.426706</v>
      </c>
      <c r="C28" s="4">
        <v>110759.880495</v>
      </c>
      <c r="G28" s="4">
        <f t="shared" si="0"/>
        <v>5180287.5264245002</v>
      </c>
    </row>
    <row r="29" spans="1:7" x14ac:dyDescent="0.25">
      <c r="A29">
        <v>25</v>
      </c>
      <c r="B29" s="4">
        <v>107877.522964</v>
      </c>
      <c r="C29" s="4">
        <v>119557.09572300001</v>
      </c>
      <c r="G29" s="4">
        <f t="shared" si="0"/>
        <v>5799582.7765185004</v>
      </c>
    </row>
    <row r="30" spans="1:7" x14ac:dyDescent="0.25">
      <c r="A30">
        <v>26</v>
      </c>
      <c r="B30" s="4">
        <v>121622.406678</v>
      </c>
      <c r="C30" s="4">
        <v>138383.28240900001</v>
      </c>
      <c r="G30" s="4">
        <f t="shared" si="0"/>
        <v>6890150.7608054997</v>
      </c>
    </row>
    <row r="31" spans="1:7" x14ac:dyDescent="0.25">
      <c r="A31">
        <v>27</v>
      </c>
      <c r="B31" s="4">
        <v>126433.939229</v>
      </c>
      <c r="C31" s="4">
        <v>144767.14484600001</v>
      </c>
      <c r="G31" s="4">
        <f t="shared" si="0"/>
        <v>7458029.812062501</v>
      </c>
    </row>
    <row r="32" spans="1:7" x14ac:dyDescent="0.25">
      <c r="A32">
        <v>28</v>
      </c>
      <c r="B32" s="4">
        <v>124620.85107600001</v>
      </c>
      <c r="C32" s="4">
        <v>141996.95731999999</v>
      </c>
      <c r="G32" s="4">
        <f t="shared" si="0"/>
        <v>7598607.5392860007</v>
      </c>
    </row>
    <row r="33" spans="1:7" x14ac:dyDescent="0.25">
      <c r="A33">
        <v>29</v>
      </c>
      <c r="B33" s="4">
        <v>115993.873353</v>
      </c>
      <c r="C33" s="4">
        <v>129840.940088</v>
      </c>
      <c r="G33" s="4">
        <f t="shared" si="0"/>
        <v>7252126.9965094998</v>
      </c>
    </row>
    <row r="34" spans="1:7" x14ac:dyDescent="0.25">
      <c r="A34">
        <v>30</v>
      </c>
      <c r="B34" s="4">
        <v>101378.929665</v>
      </c>
      <c r="C34" s="4">
        <v>109577.67533699999</v>
      </c>
      <c r="G34" s="4">
        <f t="shared" si="0"/>
        <v>6434176.4525610004</v>
      </c>
    </row>
    <row r="35" spans="1:7" x14ac:dyDescent="0.25">
      <c r="A35">
        <v>31</v>
      </c>
      <c r="B35" s="4">
        <v>78293.921172000002</v>
      </c>
      <c r="C35" s="4">
        <v>78150.729697000002</v>
      </c>
      <c r="G35" s="4">
        <f t="shared" si="0"/>
        <v>4928006.5023734998</v>
      </c>
    </row>
    <row r="36" spans="1:7" x14ac:dyDescent="0.25">
      <c r="A36">
        <v>32</v>
      </c>
      <c r="B36" s="4">
        <v>66870.878748000003</v>
      </c>
      <c r="C36" s="4">
        <v>62945.733689000001</v>
      </c>
      <c r="G36" s="4">
        <f t="shared" si="0"/>
        <v>4219039.9042025004</v>
      </c>
    </row>
    <row r="37" spans="1:7" x14ac:dyDescent="0.25">
      <c r="A37">
        <v>33</v>
      </c>
      <c r="B37" s="4">
        <v>62019.321947999997</v>
      </c>
      <c r="C37" s="4">
        <v>56262.150917999999</v>
      </c>
      <c r="G37" s="4">
        <f t="shared" si="0"/>
        <v>3962429.3410109999</v>
      </c>
    </row>
    <row r="38" spans="1:7" x14ac:dyDescent="0.25">
      <c r="A38">
        <v>34</v>
      </c>
      <c r="B38" s="4">
        <v>63658.671900000001</v>
      </c>
      <c r="C38" s="4">
        <v>57730.709213000002</v>
      </c>
      <c r="G38" s="4">
        <f t="shared" si="0"/>
        <v>4187933.6483985004</v>
      </c>
    </row>
    <row r="39" spans="1:7" x14ac:dyDescent="0.25">
      <c r="A39">
        <v>35</v>
      </c>
      <c r="B39" s="4">
        <v>71520.206233000004</v>
      </c>
      <c r="C39" s="4">
        <v>67003.676483000003</v>
      </c>
      <c r="G39" s="4">
        <f t="shared" si="0"/>
        <v>4917597.836418001</v>
      </c>
    </row>
    <row r="40" spans="1:7" x14ac:dyDescent="0.25">
      <c r="A40">
        <v>36</v>
      </c>
      <c r="B40" s="4">
        <v>90490.455258000002</v>
      </c>
      <c r="C40" s="4">
        <v>90597.887896</v>
      </c>
      <c r="G40" s="4">
        <f t="shared" si="0"/>
        <v>6609724.5251209997</v>
      </c>
    </row>
    <row r="41" spans="1:7" x14ac:dyDescent="0.25">
      <c r="A41">
        <v>37</v>
      </c>
      <c r="B41" s="4">
        <v>98985.654559999995</v>
      </c>
      <c r="C41" s="4">
        <v>101809.05334499999</v>
      </c>
      <c r="G41" s="4">
        <f t="shared" si="0"/>
        <v>7529801.5464374991</v>
      </c>
    </row>
    <row r="42" spans="1:7" x14ac:dyDescent="0.25">
      <c r="A42">
        <v>38</v>
      </c>
      <c r="B42" s="4">
        <v>99818.165691000002</v>
      </c>
      <c r="C42" s="4">
        <v>103854.011554</v>
      </c>
      <c r="G42" s="4">
        <f t="shared" si="0"/>
        <v>7841378.8239324996</v>
      </c>
    </row>
    <row r="43" spans="1:7" x14ac:dyDescent="0.25">
      <c r="A43">
        <v>39</v>
      </c>
      <c r="B43" s="4">
        <v>92534.057245999997</v>
      </c>
      <c r="C43" s="4">
        <v>96068.193660999998</v>
      </c>
      <c r="G43" s="4">
        <f t="shared" si="0"/>
        <v>7449788.9108264996</v>
      </c>
    </row>
    <row r="44" spans="1:7" x14ac:dyDescent="0.25">
      <c r="A44">
        <v>40</v>
      </c>
      <c r="B44" s="4">
        <v>78094.667243999997</v>
      </c>
      <c r="C44" s="4">
        <v>79630.853543999998</v>
      </c>
      <c r="G44" s="4">
        <f t="shared" si="0"/>
        <v>6387883.591914</v>
      </c>
    </row>
    <row r="45" spans="1:7" x14ac:dyDescent="0.25">
      <c r="A45">
        <v>41</v>
      </c>
      <c r="B45" s="4">
        <v>54302.256128000001</v>
      </c>
      <c r="C45" s="4">
        <v>52064.004329000003</v>
      </c>
      <c r="G45" s="4">
        <f t="shared" si="0"/>
        <v>4414199.8089654995</v>
      </c>
    </row>
    <row r="46" spans="1:7" x14ac:dyDescent="0.25">
      <c r="A46">
        <v>42</v>
      </c>
      <c r="B46" s="4">
        <v>42487.023473000001</v>
      </c>
      <c r="C46" s="4">
        <v>39179.037229000001</v>
      </c>
      <c r="G46" s="4">
        <f t="shared" si="0"/>
        <v>3470807.579835</v>
      </c>
    </row>
    <row r="47" spans="1:7" x14ac:dyDescent="0.25">
      <c r="A47">
        <v>43</v>
      </c>
      <c r="B47" s="4">
        <v>36590.668890000001</v>
      </c>
      <c r="C47" s="4">
        <v>33197.206420000002</v>
      </c>
      <c r="G47" s="4">
        <f t="shared" si="0"/>
        <v>3035772.575985</v>
      </c>
    </row>
    <row r="48" spans="1:7" x14ac:dyDescent="0.25">
      <c r="A48">
        <v>44</v>
      </c>
      <c r="B48" s="4">
        <v>36190.363254999997</v>
      </c>
      <c r="C48" s="4">
        <v>33550.298563999997</v>
      </c>
      <c r="G48" s="4">
        <f t="shared" si="0"/>
        <v>3103459.4509454998</v>
      </c>
    </row>
    <row r="49" spans="1:7" x14ac:dyDescent="0.25">
      <c r="A49">
        <v>45</v>
      </c>
      <c r="B49" s="4">
        <v>40882.688255000001</v>
      </c>
      <c r="C49" s="4">
        <v>39868.453458000004</v>
      </c>
      <c r="G49" s="4">
        <f t="shared" si="0"/>
        <v>3674176.9479415002</v>
      </c>
    </row>
    <row r="50" spans="1:7" x14ac:dyDescent="0.25">
      <c r="A50">
        <v>46</v>
      </c>
      <c r="B50" s="4">
        <v>54510.386771999998</v>
      </c>
      <c r="C50" s="4">
        <v>57373.256565000003</v>
      </c>
      <c r="G50" s="4">
        <f t="shared" si="0"/>
        <v>5202589.4151705001</v>
      </c>
    </row>
    <row r="51" spans="1:7" x14ac:dyDescent="0.25">
      <c r="A51">
        <v>47</v>
      </c>
      <c r="B51" s="4">
        <v>60828.770919000002</v>
      </c>
      <c r="C51" s="4">
        <v>65900.869676999995</v>
      </c>
      <c r="G51" s="4">
        <f t="shared" si="0"/>
        <v>6019657.9283100003</v>
      </c>
    </row>
    <row r="52" spans="1:7" x14ac:dyDescent="0.25">
      <c r="A52">
        <v>48</v>
      </c>
      <c r="B52" s="4">
        <v>61885.868154999996</v>
      </c>
      <c r="C52" s="4">
        <v>67739.591021</v>
      </c>
      <c r="G52" s="4">
        <f t="shared" si="0"/>
        <v>6286834.7700359998</v>
      </c>
    </row>
    <row r="53" spans="1:7" x14ac:dyDescent="0.25">
      <c r="A53">
        <v>49</v>
      </c>
      <c r="B53" s="4">
        <v>57296.935395</v>
      </c>
      <c r="C53" s="4">
        <v>62341.210620999998</v>
      </c>
      <c r="G53" s="4">
        <f t="shared" si="0"/>
        <v>5922088.2277920004</v>
      </c>
    </row>
    <row r="54" spans="1:7" x14ac:dyDescent="0.25">
      <c r="A54">
        <v>50</v>
      </c>
      <c r="B54" s="4">
        <v>47737.038759000003</v>
      </c>
      <c r="C54" s="4">
        <v>50604.072116000003</v>
      </c>
      <c r="G54" s="4">
        <f t="shared" si="0"/>
        <v>4966226.0991875008</v>
      </c>
    </row>
    <row r="55" spans="1:7" x14ac:dyDescent="0.25">
      <c r="A55">
        <v>51</v>
      </c>
      <c r="B55" s="4">
        <v>31747.128594000002</v>
      </c>
      <c r="C55" s="4">
        <v>30852.890082000002</v>
      </c>
      <c r="G55" s="4">
        <f t="shared" si="0"/>
        <v>3223900.9618140003</v>
      </c>
    </row>
    <row r="56" spans="1:7" x14ac:dyDescent="0.25">
      <c r="A56">
        <v>52</v>
      </c>
      <c r="B56" s="4">
        <v>24192.629803</v>
      </c>
      <c r="C56" s="4">
        <v>22053.578691999999</v>
      </c>
      <c r="G56" s="4">
        <f t="shared" si="0"/>
        <v>2427925.9459874998</v>
      </c>
    </row>
    <row r="57" spans="1:7" x14ac:dyDescent="0.25">
      <c r="A57">
        <v>53</v>
      </c>
      <c r="B57" s="4">
        <v>20669.874688</v>
      </c>
      <c r="C57" s="4">
        <v>18077.861263999999</v>
      </c>
      <c r="G57" s="4">
        <f t="shared" si="0"/>
        <v>2073003.8734320002</v>
      </c>
    </row>
    <row r="58" spans="1:7" x14ac:dyDescent="0.25">
      <c r="A58">
        <v>54</v>
      </c>
      <c r="B58" s="4">
        <v>20871.704826000001</v>
      </c>
      <c r="C58" s="4">
        <v>18410.233086</v>
      </c>
      <c r="G58" s="4">
        <f t="shared" si="0"/>
        <v>2140865.6162040001</v>
      </c>
    </row>
    <row r="59" spans="1:7" x14ac:dyDescent="0.25">
      <c r="A59">
        <v>55</v>
      </c>
      <c r="B59" s="4">
        <v>24590.662089000001</v>
      </c>
      <c r="C59" s="4">
        <v>22818.436876</v>
      </c>
      <c r="G59" s="4">
        <f t="shared" si="0"/>
        <v>2631204.9925575</v>
      </c>
    </row>
    <row r="60" spans="1:7" x14ac:dyDescent="0.25">
      <c r="A60">
        <v>56</v>
      </c>
      <c r="B60" s="4">
        <v>34727.802004999998</v>
      </c>
      <c r="C60" s="4">
        <v>35218.050477999997</v>
      </c>
      <c r="G60" s="4">
        <f t="shared" si="0"/>
        <v>3951940.6652894998</v>
      </c>
    </row>
    <row r="61" spans="1:7" x14ac:dyDescent="0.25">
      <c r="A61">
        <v>57</v>
      </c>
      <c r="B61" s="4">
        <v>40074.094840999998</v>
      </c>
      <c r="C61" s="4">
        <v>41713.233390000001</v>
      </c>
      <c r="G61" s="4">
        <f t="shared" si="0"/>
        <v>4702771.3732824996</v>
      </c>
    </row>
    <row r="62" spans="1:7" x14ac:dyDescent="0.25">
      <c r="A62">
        <v>58</v>
      </c>
      <c r="B62" s="4">
        <v>41932.799822000001</v>
      </c>
      <c r="C62" s="4">
        <v>43757.461073999999</v>
      </c>
      <c r="G62" s="4">
        <f t="shared" si="0"/>
        <v>5012880.2624159995</v>
      </c>
    </row>
    <row r="63" spans="1:7" x14ac:dyDescent="0.25">
      <c r="A63">
        <v>59</v>
      </c>
      <c r="B63" s="4">
        <v>39938.113801</v>
      </c>
      <c r="C63" s="4">
        <v>40882.706444000003</v>
      </c>
      <c r="G63" s="4">
        <f t="shared" si="0"/>
        <v>4808838.8045775006</v>
      </c>
    </row>
    <row r="64" spans="1:7" x14ac:dyDescent="0.25">
      <c r="A64">
        <v>60</v>
      </c>
      <c r="B64" s="4">
        <v>34425.189531000004</v>
      </c>
      <c r="C64" s="4">
        <v>33609.548613999999</v>
      </c>
      <c r="G64" s="4">
        <f t="shared" si="0"/>
        <v>4116101.6577725005</v>
      </c>
    </row>
    <row r="65" spans="1:7" x14ac:dyDescent="0.25">
      <c r="A65">
        <v>61</v>
      </c>
      <c r="B65" s="4">
        <v>24538.547885</v>
      </c>
      <c r="C65" s="4">
        <v>20972.852368</v>
      </c>
      <c r="G65" s="4">
        <f t="shared" si="0"/>
        <v>2798951.1155595002</v>
      </c>
    </row>
    <row r="66" spans="1:7" x14ac:dyDescent="0.25">
      <c r="A66">
        <v>62</v>
      </c>
      <c r="B66" s="4">
        <v>19011.858893000001</v>
      </c>
      <c r="C66" s="4">
        <v>14649.963769</v>
      </c>
      <c r="G66" s="4">
        <f t="shared" si="0"/>
        <v>2103863.916375</v>
      </c>
    </row>
    <row r="67" spans="1:7" x14ac:dyDescent="0.25">
      <c r="A67">
        <v>63</v>
      </c>
      <c r="B67" s="4">
        <v>15501.054174000001</v>
      </c>
      <c r="C67" s="4">
        <v>10965.217237999999</v>
      </c>
      <c r="G67" s="4">
        <f t="shared" si="0"/>
        <v>1680608.2346620001</v>
      </c>
    </row>
    <row r="68" spans="1:7" x14ac:dyDescent="0.25">
      <c r="A68">
        <v>64</v>
      </c>
      <c r="B68" s="4">
        <v>13782.619606</v>
      </c>
      <c r="C68" s="4">
        <v>9448.2093550000009</v>
      </c>
      <c r="G68" s="4">
        <f t="shared" si="0"/>
        <v>1498388.4679844999</v>
      </c>
    </row>
    <row r="69" spans="1:7" x14ac:dyDescent="0.25">
      <c r="A69">
        <v>65</v>
      </c>
      <c r="B69" s="4">
        <v>13578.919441</v>
      </c>
      <c r="C69" s="4">
        <v>9700.7572710000004</v>
      </c>
      <c r="G69" s="4">
        <f t="shared" ref="G69:G113" si="1">(B69+C69) * (0.5 + A69)</f>
        <v>1524818.824636</v>
      </c>
    </row>
    <row r="70" spans="1:7" x14ac:dyDescent="0.25">
      <c r="A70">
        <v>66</v>
      </c>
      <c r="B70" s="4">
        <v>15561.851756</v>
      </c>
      <c r="C70" s="4">
        <v>12641.339871</v>
      </c>
      <c r="G70" s="4">
        <f t="shared" si="1"/>
        <v>1875512.2431955</v>
      </c>
    </row>
    <row r="71" spans="1:7" x14ac:dyDescent="0.25">
      <c r="A71">
        <v>67</v>
      </c>
      <c r="B71" s="4">
        <v>15909.230755</v>
      </c>
      <c r="C71" s="4">
        <v>13752.533964</v>
      </c>
      <c r="G71" s="4">
        <f t="shared" si="1"/>
        <v>2002169.1185325</v>
      </c>
    </row>
    <row r="72" spans="1:7" x14ac:dyDescent="0.25">
      <c r="A72">
        <v>68</v>
      </c>
      <c r="B72" s="4">
        <v>15244.811537</v>
      </c>
      <c r="C72" s="4">
        <v>13678.124947</v>
      </c>
      <c r="G72" s="4">
        <f t="shared" si="1"/>
        <v>1981221.1491539998</v>
      </c>
    </row>
    <row r="73" spans="1:7" x14ac:dyDescent="0.25">
      <c r="A73">
        <v>69</v>
      </c>
      <c r="B73" s="4">
        <v>13542.817402999999</v>
      </c>
      <c r="C73" s="4">
        <v>12343.416348999999</v>
      </c>
      <c r="G73" s="4">
        <f t="shared" si="1"/>
        <v>1799093.2457640001</v>
      </c>
    </row>
    <row r="74" spans="1:7" x14ac:dyDescent="0.25">
      <c r="A74">
        <v>70</v>
      </c>
      <c r="B74" s="4">
        <v>10970.288549999999</v>
      </c>
      <c r="C74" s="4">
        <v>9928.5848679999999</v>
      </c>
      <c r="G74" s="4">
        <f t="shared" si="1"/>
        <v>1473370.5759689999</v>
      </c>
    </row>
    <row r="75" spans="1:7" x14ac:dyDescent="0.25">
      <c r="A75">
        <v>71</v>
      </c>
      <c r="B75" s="4">
        <v>7238.4803279999996</v>
      </c>
      <c r="C75" s="4">
        <v>6141.7464620000001</v>
      </c>
      <c r="G75" s="4">
        <f t="shared" si="1"/>
        <v>956686.21548500005</v>
      </c>
    </row>
    <row r="76" spans="1:7" x14ac:dyDescent="0.25">
      <c r="A76">
        <v>72</v>
      </c>
      <c r="B76" s="4">
        <v>5280.2503980000001</v>
      </c>
      <c r="C76" s="4">
        <v>4298.0961989999996</v>
      </c>
      <c r="G76" s="4">
        <f t="shared" si="1"/>
        <v>694430.12828249997</v>
      </c>
    </row>
    <row r="77" spans="1:7" x14ac:dyDescent="0.25">
      <c r="A77">
        <v>73</v>
      </c>
      <c r="B77" s="4">
        <v>4150.8634860000002</v>
      </c>
      <c r="C77" s="4">
        <v>3298.23918</v>
      </c>
      <c r="G77" s="4">
        <f t="shared" si="1"/>
        <v>547509.04595100007</v>
      </c>
    </row>
    <row r="78" spans="1:7" x14ac:dyDescent="0.25">
      <c r="A78">
        <v>74</v>
      </c>
      <c r="B78" s="4">
        <v>3724.8159759999999</v>
      </c>
      <c r="C78" s="4">
        <v>3003.7328000000002</v>
      </c>
      <c r="G78" s="4">
        <f t="shared" si="1"/>
        <v>501276.88381199999</v>
      </c>
    </row>
    <row r="79" spans="1:7" x14ac:dyDescent="0.25">
      <c r="A79">
        <v>75</v>
      </c>
      <c r="B79" s="4">
        <v>3895.5898120000002</v>
      </c>
      <c r="C79" s="4">
        <v>3313.1853580000002</v>
      </c>
      <c r="G79" s="4">
        <f t="shared" si="1"/>
        <v>544262.52533500001</v>
      </c>
    </row>
    <row r="80" spans="1:7" x14ac:dyDescent="0.25">
      <c r="A80">
        <v>76</v>
      </c>
      <c r="B80" s="4">
        <v>5002.5620129999998</v>
      </c>
      <c r="C80" s="4">
        <v>4640.7005159999999</v>
      </c>
      <c r="G80" s="4">
        <f t="shared" si="1"/>
        <v>737709.58346849994</v>
      </c>
    </row>
    <row r="81" spans="1:7" x14ac:dyDescent="0.25">
      <c r="A81">
        <v>77</v>
      </c>
      <c r="B81" s="4">
        <v>5417.2605649999996</v>
      </c>
      <c r="C81" s="4">
        <v>5226.4474060000002</v>
      </c>
      <c r="G81" s="4">
        <f t="shared" si="1"/>
        <v>824887.36775249999</v>
      </c>
    </row>
    <row r="82" spans="1:7" x14ac:dyDescent="0.25">
      <c r="A82">
        <v>78</v>
      </c>
      <c r="B82" s="4">
        <v>5370.3514850000001</v>
      </c>
      <c r="C82" s="4">
        <v>5292.8957600000003</v>
      </c>
      <c r="G82" s="4">
        <f t="shared" si="1"/>
        <v>837064.90873250004</v>
      </c>
    </row>
    <row r="83" spans="1:7" x14ac:dyDescent="0.25">
      <c r="A83">
        <v>79</v>
      </c>
      <c r="B83" s="4">
        <v>4836.7394530000001</v>
      </c>
      <c r="C83" s="4">
        <v>4801.9636620000001</v>
      </c>
      <c r="G83" s="4">
        <f t="shared" si="1"/>
        <v>766276.8976425</v>
      </c>
    </row>
    <row r="84" spans="1:7" x14ac:dyDescent="0.25">
      <c r="A84">
        <v>80</v>
      </c>
      <c r="B84" s="4">
        <v>3886.0864839999999</v>
      </c>
      <c r="C84" s="4">
        <v>3828.9926559999999</v>
      </c>
      <c r="G84" s="4">
        <f t="shared" si="1"/>
        <v>621063.87077000004</v>
      </c>
    </row>
    <row r="85" spans="1:7" x14ac:dyDescent="0.25">
      <c r="A85">
        <v>81</v>
      </c>
      <c r="B85" s="4">
        <v>2412.27529</v>
      </c>
      <c r="C85" s="4">
        <v>2262.841308</v>
      </c>
      <c r="G85" s="4">
        <f t="shared" si="1"/>
        <v>381022.00273700006</v>
      </c>
    </row>
    <row r="86" spans="1:7" x14ac:dyDescent="0.25">
      <c r="A86">
        <v>82</v>
      </c>
      <c r="B86" s="4">
        <v>1658.5623430000001</v>
      </c>
      <c r="C86" s="4">
        <v>1500.6135380000001</v>
      </c>
      <c r="G86" s="4">
        <f t="shared" si="1"/>
        <v>260632.0101825</v>
      </c>
    </row>
    <row r="87" spans="1:7" x14ac:dyDescent="0.25">
      <c r="A87">
        <v>83</v>
      </c>
      <c r="B87" s="4">
        <v>1209.933466</v>
      </c>
      <c r="C87" s="4">
        <v>1060.958245</v>
      </c>
      <c r="G87" s="4">
        <f t="shared" si="1"/>
        <v>189619.45786850003</v>
      </c>
    </row>
    <row r="88" spans="1:7" x14ac:dyDescent="0.25">
      <c r="A88">
        <v>84</v>
      </c>
      <c r="B88" s="4">
        <v>1004.331465</v>
      </c>
      <c r="C88" s="4">
        <v>871.956727</v>
      </c>
      <c r="G88" s="4">
        <f t="shared" si="1"/>
        <v>158546.352224</v>
      </c>
    </row>
    <row r="89" spans="1:7" x14ac:dyDescent="0.25">
      <c r="A89">
        <v>85</v>
      </c>
      <c r="B89" s="4">
        <v>990.89743599999997</v>
      </c>
      <c r="C89" s="4">
        <v>878.63018199999999</v>
      </c>
      <c r="G89" s="4">
        <f t="shared" si="1"/>
        <v>159844.611339</v>
      </c>
    </row>
    <row r="90" spans="1:7" x14ac:dyDescent="0.25">
      <c r="A90">
        <v>86</v>
      </c>
      <c r="B90" s="4">
        <v>1250.905107</v>
      </c>
      <c r="C90" s="4">
        <v>1173.2803719999999</v>
      </c>
      <c r="G90" s="4">
        <f t="shared" si="1"/>
        <v>209692.04393349998</v>
      </c>
    </row>
    <row r="91" spans="1:7" x14ac:dyDescent="0.25">
      <c r="A91">
        <v>87</v>
      </c>
      <c r="B91" s="4">
        <v>1343.3254099999999</v>
      </c>
      <c r="C91" s="4">
        <v>1290.7204630000001</v>
      </c>
      <c r="G91" s="4">
        <f t="shared" si="1"/>
        <v>230479.01388750001</v>
      </c>
    </row>
    <row r="92" spans="1:7" x14ac:dyDescent="0.25">
      <c r="A92">
        <v>88</v>
      </c>
      <c r="B92" s="4">
        <v>1334.462636</v>
      </c>
      <c r="C92" s="4">
        <v>1297.0958479999999</v>
      </c>
      <c r="G92" s="4">
        <f t="shared" si="1"/>
        <v>232892.92583400002</v>
      </c>
    </row>
    <row r="93" spans="1:7" x14ac:dyDescent="0.25">
      <c r="A93">
        <v>89</v>
      </c>
      <c r="B93" s="4">
        <v>1217.0228569999999</v>
      </c>
      <c r="C93" s="4">
        <v>1183.444291</v>
      </c>
      <c r="G93" s="4">
        <f t="shared" si="1"/>
        <v>214841.80974599998</v>
      </c>
    </row>
    <row r="94" spans="1:7" x14ac:dyDescent="0.25">
      <c r="A94">
        <v>90</v>
      </c>
      <c r="B94" s="4">
        <v>1005.283989</v>
      </c>
      <c r="C94" s="4">
        <v>965.45902699999999</v>
      </c>
      <c r="G94" s="4">
        <f t="shared" si="1"/>
        <v>178352.242948</v>
      </c>
    </row>
    <row r="95" spans="1:7" x14ac:dyDescent="0.25">
      <c r="A95">
        <v>91</v>
      </c>
      <c r="B95" s="4">
        <v>674.68485999999996</v>
      </c>
      <c r="C95" s="4">
        <v>617.34799999999996</v>
      </c>
      <c r="G95" s="4">
        <f t="shared" si="1"/>
        <v>118221.00668999998</v>
      </c>
    </row>
    <row r="96" spans="1:7" x14ac:dyDescent="0.25">
      <c r="A96">
        <v>92</v>
      </c>
      <c r="B96" s="4">
        <v>492.95518900000002</v>
      </c>
      <c r="C96" s="4">
        <v>436.19010200000002</v>
      </c>
      <c r="G96" s="4">
        <f t="shared" si="1"/>
        <v>85945.939417500005</v>
      </c>
    </row>
    <row r="97" spans="1:7" x14ac:dyDescent="0.25">
      <c r="A97">
        <v>93</v>
      </c>
      <c r="B97" s="4">
        <v>378.55717099999998</v>
      </c>
      <c r="C97" s="4">
        <v>327.40431000000001</v>
      </c>
      <c r="G97" s="4">
        <f t="shared" si="1"/>
        <v>66007.398473499998</v>
      </c>
    </row>
    <row r="98" spans="1:7" x14ac:dyDescent="0.25">
      <c r="A98">
        <v>94</v>
      </c>
      <c r="B98" s="4">
        <v>320.34603499999997</v>
      </c>
      <c r="C98" s="4">
        <v>277.88839899999999</v>
      </c>
      <c r="G98" s="4">
        <f t="shared" si="1"/>
        <v>56533.154012999999</v>
      </c>
    </row>
    <row r="99" spans="1:7" x14ac:dyDescent="0.25">
      <c r="A99">
        <v>95</v>
      </c>
      <c r="B99" s="4">
        <v>307.45674500000001</v>
      </c>
      <c r="C99" s="4">
        <v>276.16918900000002</v>
      </c>
      <c r="G99" s="4">
        <f t="shared" si="1"/>
        <v>55736.276697000001</v>
      </c>
    </row>
    <row r="100" spans="1:7" x14ac:dyDescent="0.25">
      <c r="A100">
        <v>96</v>
      </c>
      <c r="B100" s="4">
        <v>357.585847</v>
      </c>
      <c r="C100" s="4">
        <v>344.13258200000001</v>
      </c>
      <c r="G100" s="4">
        <f t="shared" si="1"/>
        <v>67715.828398500002</v>
      </c>
    </row>
    <row r="101" spans="1:7" x14ac:dyDescent="0.25">
      <c r="A101">
        <v>97</v>
      </c>
      <c r="B101" s="4">
        <v>363.46210600000001</v>
      </c>
      <c r="C101" s="4">
        <v>363.91283199999998</v>
      </c>
      <c r="G101" s="4">
        <f t="shared" si="1"/>
        <v>70919.056454999998</v>
      </c>
    </row>
    <row r="102" spans="1:7" x14ac:dyDescent="0.25">
      <c r="A102">
        <v>98</v>
      </c>
      <c r="B102" s="4">
        <v>342.81500799999998</v>
      </c>
      <c r="C102" s="4">
        <v>353.41941300000002</v>
      </c>
      <c r="G102" s="4">
        <f t="shared" si="1"/>
        <v>68579.090468499999</v>
      </c>
    </row>
    <row r="103" spans="1:7" x14ac:dyDescent="0.25">
      <c r="A103">
        <v>99</v>
      </c>
      <c r="B103" s="4">
        <v>295.26905599999998</v>
      </c>
      <c r="C103" s="4">
        <v>311.43702999999999</v>
      </c>
      <c r="G103" s="4">
        <f t="shared" si="1"/>
        <v>60367.255556999989</v>
      </c>
    </row>
    <row r="104" spans="1:7" x14ac:dyDescent="0.25">
      <c r="A104">
        <v>100</v>
      </c>
      <c r="B104" s="4">
        <v>225.86798200000001</v>
      </c>
      <c r="C104" s="4">
        <v>243.09814399999999</v>
      </c>
      <c r="G104" s="4">
        <f t="shared" si="1"/>
        <v>47131.095663</v>
      </c>
    </row>
    <row r="105" spans="1:7" x14ac:dyDescent="0.25">
      <c r="A105">
        <v>101</v>
      </c>
      <c r="B105" s="4">
        <v>128.16244</v>
      </c>
      <c r="C105" s="4">
        <v>141.97218799999999</v>
      </c>
      <c r="G105" s="4">
        <f t="shared" si="1"/>
        <v>27418.664742000001</v>
      </c>
    </row>
    <row r="106" spans="1:7" x14ac:dyDescent="0.25">
      <c r="A106">
        <v>102</v>
      </c>
      <c r="B106" s="4">
        <v>78.821770999999998</v>
      </c>
      <c r="C106" s="4">
        <v>89.531729999999996</v>
      </c>
      <c r="G106" s="4">
        <f t="shared" si="1"/>
        <v>17256.233852499998</v>
      </c>
    </row>
    <row r="107" spans="1:7" x14ac:dyDescent="0.25">
      <c r="A107">
        <v>103</v>
      </c>
      <c r="B107" s="4">
        <v>47.861614000000003</v>
      </c>
      <c r="C107" s="4">
        <v>55.811019999999999</v>
      </c>
      <c r="G107" s="4">
        <f t="shared" si="1"/>
        <v>10730.117619000001</v>
      </c>
    </row>
    <row r="108" spans="1:7" x14ac:dyDescent="0.25">
      <c r="A108">
        <v>104</v>
      </c>
      <c r="B108" s="4">
        <v>29.167954000000002</v>
      </c>
      <c r="C108" s="4">
        <v>34.932256000000002</v>
      </c>
      <c r="G108" s="4">
        <f t="shared" si="1"/>
        <v>6698.4719450000002</v>
      </c>
    </row>
    <row r="109" spans="1:7" x14ac:dyDescent="0.25">
      <c r="A109">
        <v>105</v>
      </c>
      <c r="B109" s="4">
        <v>17.895475000000001</v>
      </c>
      <c r="C109" s="4">
        <v>22.03304</v>
      </c>
      <c r="G109" s="4">
        <f t="shared" si="1"/>
        <v>4212.4583325000003</v>
      </c>
    </row>
    <row r="110" spans="1:7" x14ac:dyDescent="0.25">
      <c r="A110">
        <v>106</v>
      </c>
      <c r="B110" s="4">
        <v>11.171498</v>
      </c>
      <c r="C110" s="4">
        <v>14.161868999999999</v>
      </c>
      <c r="G110" s="4">
        <f t="shared" si="1"/>
        <v>2698.0035855000001</v>
      </c>
    </row>
    <row r="111" spans="1:7" x14ac:dyDescent="0.25">
      <c r="A111">
        <v>107</v>
      </c>
      <c r="B111" s="4">
        <v>7.2928980000000001</v>
      </c>
      <c r="C111" s="4">
        <v>9.5294349999999994</v>
      </c>
      <c r="G111" s="4">
        <f t="shared" si="1"/>
        <v>1808.4007975</v>
      </c>
    </row>
    <row r="112" spans="1:7" x14ac:dyDescent="0.25">
      <c r="A112">
        <v>108</v>
      </c>
      <c r="B112" s="4">
        <v>5.2574649999999998</v>
      </c>
      <c r="C112" s="4">
        <v>7.0593370000000002</v>
      </c>
      <c r="G112" s="4">
        <f t="shared" si="1"/>
        <v>1336.3730169999999</v>
      </c>
    </row>
    <row r="113" spans="1:7" x14ac:dyDescent="0.25">
      <c r="A113">
        <v>109</v>
      </c>
      <c r="B113" s="4">
        <v>4.3688840000000004</v>
      </c>
      <c r="C113" s="4">
        <v>5.969125</v>
      </c>
      <c r="G113" s="4">
        <f t="shared" si="1"/>
        <v>1132.0119855</v>
      </c>
    </row>
    <row r="115" spans="1:7" x14ac:dyDescent="0.25">
      <c r="A115" t="s">
        <v>119</v>
      </c>
      <c r="B115">
        <f>SUM(B4:B113)</f>
        <v>6294249.9999970011</v>
      </c>
      <c r="C115">
        <f>SUM(C4:C113)</f>
        <v>6397785.0000010012</v>
      </c>
      <c r="G115" s="11">
        <f>SUM(G4:G113) / (B115 + C115)</f>
        <v>23.047409459692073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B9A9-7CC0-411B-961E-0E444C9F43AF}">
  <sheetPr codeName="Sheet5"/>
  <dimension ref="A2:L22"/>
  <sheetViews>
    <sheetView workbookViewId="0">
      <selection activeCell="D2" sqref="D2"/>
    </sheetView>
  </sheetViews>
  <sheetFormatPr defaultRowHeight="15" x14ac:dyDescent="0.25"/>
  <cols>
    <col min="2" max="2" width="13.140625" customWidth="1"/>
    <col min="3" max="3" width="15.5703125" customWidth="1"/>
    <col min="4" max="4" width="13" customWidth="1"/>
    <col min="8" max="8" width="12.85546875" customWidth="1"/>
    <col min="9" max="9" width="13.5703125" customWidth="1"/>
  </cols>
  <sheetData>
    <row r="2" spans="1:12" x14ac:dyDescent="0.25">
      <c r="H2" s="30" t="s">
        <v>147</v>
      </c>
      <c r="I2" s="30"/>
    </row>
    <row r="3" spans="1:12" x14ac:dyDescent="0.25">
      <c r="A3" s="6" t="s">
        <v>16</v>
      </c>
      <c r="B3" s="6" t="s">
        <v>0</v>
      </c>
      <c r="C3" s="6" t="s">
        <v>1</v>
      </c>
      <c r="D3" s="6" t="s">
        <v>2</v>
      </c>
      <c r="F3" s="2" t="s">
        <v>12</v>
      </c>
      <c r="H3" s="2" t="s">
        <v>0</v>
      </c>
      <c r="I3" s="2" t="s">
        <v>1</v>
      </c>
    </row>
    <row r="4" spans="1:12" x14ac:dyDescent="0.25">
      <c r="A4" s="2">
        <v>0</v>
      </c>
      <c r="B4" s="4">
        <v>362492</v>
      </c>
      <c r="C4" s="4">
        <v>349709</v>
      </c>
      <c r="D4" s="4">
        <v>712201</v>
      </c>
      <c r="F4" s="4">
        <f>B4+C4-D4</f>
        <v>0</v>
      </c>
      <c r="H4" s="4">
        <f>B4</f>
        <v>362492</v>
      </c>
      <c r="I4" s="4">
        <f>C4</f>
        <v>349709</v>
      </c>
    </row>
    <row r="5" spans="1:12" x14ac:dyDescent="0.25">
      <c r="A5" s="3" t="s">
        <v>3</v>
      </c>
      <c r="B5" s="4">
        <v>1755611</v>
      </c>
      <c r="C5" s="4">
        <v>1676903</v>
      </c>
      <c r="D5" s="4">
        <v>3432514</v>
      </c>
      <c r="F5" s="4">
        <f t="shared" ref="F5:F12" si="0">B5+C5-D5</f>
        <v>0</v>
      </c>
      <c r="H5" s="4">
        <f>B5/9</f>
        <v>195067.88888888888</v>
      </c>
      <c r="I5" s="4">
        <f>C5/9</f>
        <v>186322.55555555556</v>
      </c>
      <c r="K5">
        <f>H5/H4</f>
        <v>0.53813019015285546</v>
      </c>
      <c r="L5">
        <f>I5/I4</f>
        <v>0.53279313816789264</v>
      </c>
    </row>
    <row r="6" spans="1:12" x14ac:dyDescent="0.25">
      <c r="A6" s="3" t="s">
        <v>4</v>
      </c>
      <c r="B6" s="4">
        <v>1408696</v>
      </c>
      <c r="C6" s="4">
        <v>1500517</v>
      </c>
      <c r="D6" s="4">
        <v>2909213</v>
      </c>
      <c r="F6" s="4">
        <f t="shared" si="0"/>
        <v>0</v>
      </c>
      <c r="H6" s="4">
        <f t="shared" ref="H6:I11" si="1">B6/10</f>
        <v>140869.6</v>
      </c>
      <c r="I6" s="4">
        <f t="shared" si="1"/>
        <v>150051.70000000001</v>
      </c>
    </row>
    <row r="7" spans="1:12" x14ac:dyDescent="0.25">
      <c r="A7" s="3" t="s">
        <v>5</v>
      </c>
      <c r="B7" s="4">
        <v>1178701</v>
      </c>
      <c r="C7" s="4">
        <v>1324952</v>
      </c>
      <c r="D7" s="4">
        <v>2503653</v>
      </c>
      <c r="F7" s="4">
        <f t="shared" si="0"/>
        <v>0</v>
      </c>
      <c r="H7" s="4">
        <f t="shared" si="1"/>
        <v>117870.1</v>
      </c>
      <c r="I7" s="4">
        <f t="shared" si="1"/>
        <v>132495.20000000001</v>
      </c>
    </row>
    <row r="8" spans="1:12" x14ac:dyDescent="0.25">
      <c r="A8" s="3" t="s">
        <v>6</v>
      </c>
      <c r="B8" s="4">
        <v>876884</v>
      </c>
      <c r="C8" s="4">
        <v>873706</v>
      </c>
      <c r="D8" s="4">
        <v>1750590</v>
      </c>
      <c r="F8" s="4">
        <f t="shared" si="0"/>
        <v>0</v>
      </c>
      <c r="H8" s="4">
        <f t="shared" si="1"/>
        <v>87688.4</v>
      </c>
      <c r="I8" s="4">
        <f t="shared" si="1"/>
        <v>87370.6</v>
      </c>
    </row>
    <row r="9" spans="1:12" x14ac:dyDescent="0.25">
      <c r="A9" s="3" t="s">
        <v>7</v>
      </c>
      <c r="B9" s="4">
        <v>562647</v>
      </c>
      <c r="C9" s="4">
        <v>554022</v>
      </c>
      <c r="D9" s="4">
        <v>1116669</v>
      </c>
      <c r="F9" s="4">
        <f t="shared" si="0"/>
        <v>0</v>
      </c>
      <c r="H9" s="4">
        <f t="shared" si="1"/>
        <v>56264.7</v>
      </c>
      <c r="I9" s="4">
        <f t="shared" si="1"/>
        <v>55402.2</v>
      </c>
    </row>
    <row r="10" spans="1:12" x14ac:dyDescent="0.25">
      <c r="A10" s="3" t="s">
        <v>8</v>
      </c>
      <c r="B10" s="4">
        <v>345985</v>
      </c>
      <c r="C10" s="4">
        <v>343134</v>
      </c>
      <c r="D10" s="4">
        <v>689119</v>
      </c>
      <c r="F10" s="4">
        <f t="shared" si="0"/>
        <v>0</v>
      </c>
      <c r="H10" s="4">
        <f t="shared" si="1"/>
        <v>34598.5</v>
      </c>
      <c r="I10" s="4">
        <f t="shared" si="1"/>
        <v>34313.4</v>
      </c>
    </row>
    <row r="11" spans="1:12" x14ac:dyDescent="0.25">
      <c r="A11" s="3" t="s">
        <v>9</v>
      </c>
      <c r="B11" s="4">
        <v>170212</v>
      </c>
      <c r="C11" s="4">
        <v>145175</v>
      </c>
      <c r="D11" s="4">
        <v>315387</v>
      </c>
      <c r="F11" s="4">
        <f t="shared" si="0"/>
        <v>0</v>
      </c>
      <c r="H11" s="4">
        <f t="shared" si="1"/>
        <v>17021.2</v>
      </c>
      <c r="I11" s="4">
        <f t="shared" si="1"/>
        <v>14517.5</v>
      </c>
    </row>
    <row r="12" spans="1:12" x14ac:dyDescent="0.25">
      <c r="A12" s="3" t="s">
        <v>10</v>
      </c>
      <c r="B12" s="4">
        <v>79459</v>
      </c>
      <c r="C12" s="4">
        <v>74026</v>
      </c>
      <c r="D12" s="4">
        <v>153485</v>
      </c>
      <c r="F12" s="4">
        <f t="shared" si="0"/>
        <v>0</v>
      </c>
    </row>
    <row r="13" spans="1:12" x14ac:dyDescent="0.25">
      <c r="A13" s="1"/>
    </row>
    <row r="14" spans="1:12" x14ac:dyDescent="0.25">
      <c r="A14" s="1" t="s">
        <v>17</v>
      </c>
      <c r="B14" s="4">
        <f>SUM(B4:B12)</f>
        <v>6740687</v>
      </c>
      <c r="C14" s="4">
        <f>SUM(C4:C12)</f>
        <v>6842144</v>
      </c>
      <c r="D14" s="4">
        <f>SUM(D4:D12)</f>
        <v>13582831</v>
      </c>
    </row>
    <row r="15" spans="1:12" x14ac:dyDescent="0.25">
      <c r="A15" s="1"/>
    </row>
    <row r="16" spans="1:1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</sheetData>
  <mergeCells count="1">
    <mergeCell ref="H2:I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FEDE-1106-466F-9491-B7C4549B767C}">
  <sheetPr codeName="Sheet6"/>
  <dimension ref="A2:F119"/>
  <sheetViews>
    <sheetView topLeftCell="A68" workbookViewId="0">
      <selection activeCell="J52" sqref="J52"/>
    </sheetView>
  </sheetViews>
  <sheetFormatPr defaultRowHeight="15" x14ac:dyDescent="0.25"/>
  <cols>
    <col min="6" max="6" width="26" customWidth="1"/>
  </cols>
  <sheetData>
    <row r="2" spans="1:6" ht="21.75" customHeight="1" x14ac:dyDescent="0.25"/>
    <row r="3" spans="1:6" ht="32.25" customHeight="1" x14ac:dyDescent="0.25">
      <c r="A3" s="6" t="s">
        <v>16</v>
      </c>
      <c r="B3" s="6" t="s">
        <v>0</v>
      </c>
      <c r="C3" s="6" t="s">
        <v>1</v>
      </c>
      <c r="F3" s="13" t="s">
        <v>123</v>
      </c>
    </row>
    <row r="4" spans="1:6" x14ac:dyDescent="0.25">
      <c r="A4">
        <v>0</v>
      </c>
      <c r="B4" s="4">
        <v>362490.68634299998</v>
      </c>
      <c r="C4" s="4">
        <v>349707.73266799998</v>
      </c>
      <c r="F4" s="4">
        <f>(B4+C4) * (0.5 + A4)</f>
        <v>356099.20950549998</v>
      </c>
    </row>
    <row r="5" spans="1:6" x14ac:dyDescent="0.25">
      <c r="A5">
        <v>1</v>
      </c>
      <c r="B5" s="4">
        <v>293376.33229200001</v>
      </c>
      <c r="C5" s="4">
        <v>280443.35522099998</v>
      </c>
      <c r="F5" s="4">
        <f t="shared" ref="F5:F68" si="0">(B5+C5) * (0.5 + A5)</f>
        <v>860729.53126950003</v>
      </c>
    </row>
    <row r="6" spans="1:6" x14ac:dyDescent="0.25">
      <c r="A6">
        <v>2</v>
      </c>
      <c r="B6" s="4">
        <v>256667.84484800001</v>
      </c>
      <c r="C6" s="4">
        <v>244143.28192800001</v>
      </c>
      <c r="F6" s="4">
        <f t="shared" si="0"/>
        <v>1252027.81694</v>
      </c>
    </row>
    <row r="7" spans="1:6" x14ac:dyDescent="0.25">
      <c r="A7">
        <v>3</v>
      </c>
      <c r="B7" s="4">
        <v>224846.11173900001</v>
      </c>
      <c r="C7" s="4">
        <v>213057.304137</v>
      </c>
      <c r="F7" s="4">
        <f t="shared" si="0"/>
        <v>1532661.955566</v>
      </c>
    </row>
    <row r="8" spans="1:6" x14ac:dyDescent="0.25">
      <c r="A8">
        <v>4</v>
      </c>
      <c r="B8" s="4">
        <v>199137.36468299999</v>
      </c>
      <c r="C8" s="4">
        <v>188363.16622499999</v>
      </c>
      <c r="F8" s="4">
        <f t="shared" si="0"/>
        <v>1743752.3890859997</v>
      </c>
    </row>
    <row r="9" spans="1:6" x14ac:dyDescent="0.25">
      <c r="A9">
        <v>5</v>
      </c>
      <c r="B9" s="4">
        <v>178814.43098</v>
      </c>
      <c r="C9" s="4">
        <v>169290.518797</v>
      </c>
      <c r="F9" s="4">
        <f t="shared" si="0"/>
        <v>1914577.2237735</v>
      </c>
    </row>
    <row r="10" spans="1:6" x14ac:dyDescent="0.25">
      <c r="A10">
        <v>6</v>
      </c>
      <c r="B10" s="4">
        <v>163309.117964</v>
      </c>
      <c r="C10" s="4">
        <v>155251.632381</v>
      </c>
      <c r="F10" s="4">
        <f t="shared" si="0"/>
        <v>2070644.8772425</v>
      </c>
    </row>
    <row r="11" spans="1:6" x14ac:dyDescent="0.25">
      <c r="A11">
        <v>7</v>
      </c>
      <c r="B11" s="4">
        <v>152207.642918</v>
      </c>
      <c r="C11" s="4">
        <v>145833.090818</v>
      </c>
      <c r="F11" s="4">
        <f t="shared" si="0"/>
        <v>2235305.5030200002</v>
      </c>
    </row>
    <row r="12" spans="1:6" x14ac:dyDescent="0.25">
      <c r="A12">
        <v>8</v>
      </c>
      <c r="B12" s="4">
        <v>145216.29037599999</v>
      </c>
      <c r="C12" s="4">
        <v>140761.01751599999</v>
      </c>
      <c r="F12" s="4">
        <f t="shared" si="0"/>
        <v>2430807.1170819998</v>
      </c>
    </row>
    <row r="13" spans="1:6" x14ac:dyDescent="0.25">
      <c r="A13">
        <v>9</v>
      </c>
      <c r="B13" s="4">
        <v>142035.864199</v>
      </c>
      <c r="C13" s="4">
        <v>139759.632977</v>
      </c>
      <c r="F13" s="4">
        <f t="shared" si="0"/>
        <v>2677057.2231720001</v>
      </c>
    </row>
    <row r="14" spans="1:6" x14ac:dyDescent="0.25">
      <c r="A14">
        <v>10</v>
      </c>
      <c r="B14" s="4">
        <v>143650.85876599999</v>
      </c>
      <c r="C14" s="4">
        <v>144006.02971599999</v>
      </c>
      <c r="F14" s="4">
        <f t="shared" si="0"/>
        <v>3020397.3290609997</v>
      </c>
    </row>
    <row r="15" spans="1:6" x14ac:dyDescent="0.25">
      <c r="A15">
        <v>11</v>
      </c>
      <c r="B15" s="4">
        <v>143934.28624399999</v>
      </c>
      <c r="C15" s="4">
        <v>146672.55347000001</v>
      </c>
      <c r="F15" s="4">
        <f t="shared" si="0"/>
        <v>3341978.656711</v>
      </c>
    </row>
    <row r="16" spans="1:6" x14ac:dyDescent="0.25">
      <c r="A16">
        <v>12</v>
      </c>
      <c r="B16" s="4">
        <v>143952.45323799999</v>
      </c>
      <c r="C16" s="4">
        <v>148936.05990200001</v>
      </c>
      <c r="F16" s="4">
        <f t="shared" si="0"/>
        <v>3661106.4142499999</v>
      </c>
    </row>
    <row r="17" spans="1:6" x14ac:dyDescent="0.25">
      <c r="A17">
        <v>13</v>
      </c>
      <c r="B17" s="4">
        <v>143594.29219400001</v>
      </c>
      <c r="C17" s="4">
        <v>150665.163157</v>
      </c>
      <c r="F17" s="4">
        <f t="shared" si="0"/>
        <v>3972502.6472385</v>
      </c>
    </row>
    <row r="18" spans="1:6" x14ac:dyDescent="0.25">
      <c r="A18">
        <v>14</v>
      </c>
      <c r="B18" s="4">
        <v>142866.86251000001</v>
      </c>
      <c r="C18" s="4">
        <v>151860.55505900001</v>
      </c>
      <c r="F18" s="4">
        <f t="shared" si="0"/>
        <v>4273547.5547505002</v>
      </c>
    </row>
    <row r="19" spans="1:6" x14ac:dyDescent="0.25">
      <c r="A19">
        <v>15</v>
      </c>
      <c r="B19" s="4">
        <v>141772.347718</v>
      </c>
      <c r="C19" s="4">
        <v>152518.354162</v>
      </c>
      <c r="F19" s="4">
        <f t="shared" si="0"/>
        <v>4561505.8791399999</v>
      </c>
    </row>
    <row r="20" spans="1:6" x14ac:dyDescent="0.25">
      <c r="A20">
        <v>16</v>
      </c>
      <c r="B20" s="4">
        <v>140313.43857</v>
      </c>
      <c r="C20" s="4">
        <v>152636.08783199999</v>
      </c>
      <c r="F20" s="4">
        <f t="shared" si="0"/>
        <v>4833667.185633</v>
      </c>
    </row>
    <row r="21" spans="1:6" x14ac:dyDescent="0.25">
      <c r="A21">
        <v>17</v>
      </c>
      <c r="B21" s="4">
        <v>138493.879109</v>
      </c>
      <c r="C21" s="4">
        <v>152213.35030600001</v>
      </c>
      <c r="F21" s="4">
        <f t="shared" si="0"/>
        <v>5087376.5147625003</v>
      </c>
    </row>
    <row r="22" spans="1:6" x14ac:dyDescent="0.25">
      <c r="A22">
        <v>18</v>
      </c>
      <c r="B22" s="4">
        <v>136317.86293599999</v>
      </c>
      <c r="C22" s="4">
        <v>151251.434331</v>
      </c>
      <c r="F22" s="4">
        <f t="shared" si="0"/>
        <v>5320031.9994394993</v>
      </c>
    </row>
    <row r="23" spans="1:6" x14ac:dyDescent="0.25">
      <c r="A23">
        <v>19</v>
      </c>
      <c r="B23" s="4">
        <v>133799.718715</v>
      </c>
      <c r="C23" s="4">
        <v>149757.412063</v>
      </c>
      <c r="F23" s="4">
        <f t="shared" si="0"/>
        <v>5529364.050171</v>
      </c>
    </row>
    <row r="24" spans="1:6" x14ac:dyDescent="0.25">
      <c r="A24">
        <v>20</v>
      </c>
      <c r="B24" s="4">
        <v>130861.82105899999</v>
      </c>
      <c r="C24" s="4">
        <v>147701.29585200001</v>
      </c>
      <c r="F24" s="4">
        <f t="shared" si="0"/>
        <v>5710543.8966755001</v>
      </c>
    </row>
    <row r="25" spans="1:6" x14ac:dyDescent="0.25">
      <c r="A25">
        <v>21</v>
      </c>
      <c r="B25" s="4">
        <v>127995.420564</v>
      </c>
      <c r="C25" s="4">
        <v>145293.174467</v>
      </c>
      <c r="F25" s="4">
        <f t="shared" si="0"/>
        <v>5875704.7931664996</v>
      </c>
    </row>
    <row r="26" spans="1:6" x14ac:dyDescent="0.25">
      <c r="A26">
        <v>22</v>
      </c>
      <c r="B26" s="4">
        <v>125115.07411</v>
      </c>
      <c r="C26" s="4">
        <v>142503.64629199999</v>
      </c>
      <c r="F26" s="4">
        <f t="shared" si="0"/>
        <v>6021421.2090450004</v>
      </c>
    </row>
    <row r="27" spans="1:6" x14ac:dyDescent="0.25">
      <c r="A27">
        <v>23</v>
      </c>
      <c r="B27" s="4">
        <v>122229.80628600001</v>
      </c>
      <c r="C27" s="4">
        <v>139343.67662899999</v>
      </c>
      <c r="F27" s="4">
        <f t="shared" si="0"/>
        <v>6146976.8485025</v>
      </c>
    </row>
    <row r="28" spans="1:6" x14ac:dyDescent="0.25">
      <c r="A28">
        <v>24</v>
      </c>
      <c r="B28" s="4">
        <v>119339.250551</v>
      </c>
      <c r="C28" s="4">
        <v>135821.27983700001</v>
      </c>
      <c r="F28" s="4">
        <f t="shared" si="0"/>
        <v>6251432.9945060005</v>
      </c>
    </row>
    <row r="29" spans="1:6" x14ac:dyDescent="0.25">
      <c r="A29">
        <v>25</v>
      </c>
      <c r="B29" s="4">
        <v>116443.507318</v>
      </c>
      <c r="C29" s="4">
        <v>131945.60446900001</v>
      </c>
      <c r="F29" s="4">
        <f t="shared" si="0"/>
        <v>6333922.3505685003</v>
      </c>
    </row>
    <row r="30" spans="1:6" x14ac:dyDescent="0.25">
      <c r="A30">
        <v>26</v>
      </c>
      <c r="B30" s="4">
        <v>113542.710836</v>
      </c>
      <c r="C30" s="4">
        <v>127726.75391100001</v>
      </c>
      <c r="F30" s="4">
        <f t="shared" si="0"/>
        <v>6393640.8157955008</v>
      </c>
    </row>
    <row r="31" spans="1:6" x14ac:dyDescent="0.25">
      <c r="A31">
        <v>27</v>
      </c>
      <c r="B31" s="4">
        <v>110636.99037</v>
      </c>
      <c r="C31" s="4">
        <v>123175.656735</v>
      </c>
      <c r="F31" s="4">
        <f t="shared" si="0"/>
        <v>6429847.795387499</v>
      </c>
    </row>
    <row r="32" spans="1:6" x14ac:dyDescent="0.25">
      <c r="A32">
        <v>28</v>
      </c>
      <c r="B32" s="4">
        <v>107726.566362</v>
      </c>
      <c r="C32" s="4">
        <v>118303.315307</v>
      </c>
      <c r="F32" s="4">
        <f t="shared" si="0"/>
        <v>6441851.6275664996</v>
      </c>
    </row>
    <row r="33" spans="1:6" x14ac:dyDescent="0.25">
      <c r="A33">
        <v>29</v>
      </c>
      <c r="B33" s="4">
        <v>104809.852545</v>
      </c>
      <c r="C33" s="4">
        <v>113137.59650100001</v>
      </c>
      <c r="F33" s="4">
        <f t="shared" si="0"/>
        <v>6429449.7468570005</v>
      </c>
    </row>
    <row r="34" spans="1:6" x14ac:dyDescent="0.25">
      <c r="A34">
        <v>30</v>
      </c>
      <c r="B34" s="4">
        <v>101903.47406199999</v>
      </c>
      <c r="C34" s="4">
        <v>107545.51033400001</v>
      </c>
      <c r="F34" s="4">
        <f t="shared" si="0"/>
        <v>6388194.0240779994</v>
      </c>
    </row>
    <row r="35" spans="1:6" x14ac:dyDescent="0.25">
      <c r="A35">
        <v>31</v>
      </c>
      <c r="B35" s="4">
        <v>98912.591004999995</v>
      </c>
      <c r="C35" s="4">
        <v>102385.095978</v>
      </c>
      <c r="F35" s="4">
        <f t="shared" si="0"/>
        <v>6340877.1399644995</v>
      </c>
    </row>
    <row r="36" spans="1:6" x14ac:dyDescent="0.25">
      <c r="A36">
        <v>32</v>
      </c>
      <c r="B36" s="4">
        <v>95856.114881999994</v>
      </c>
      <c r="C36" s="4">
        <v>97489.884602000006</v>
      </c>
      <c r="F36" s="4">
        <f t="shared" si="0"/>
        <v>6283744.9832300004</v>
      </c>
    </row>
    <row r="37" spans="1:6" x14ac:dyDescent="0.25">
      <c r="A37">
        <v>33</v>
      </c>
      <c r="B37" s="4">
        <v>92734.367490999997</v>
      </c>
      <c r="C37" s="4">
        <v>92862.336878000002</v>
      </c>
      <c r="F37" s="4">
        <f t="shared" si="0"/>
        <v>6217489.5963614993</v>
      </c>
    </row>
    <row r="38" spans="1:6" x14ac:dyDescent="0.25">
      <c r="A38">
        <v>34</v>
      </c>
      <c r="B38" s="4">
        <v>89549.568486000004</v>
      </c>
      <c r="C38" s="4">
        <v>88488.913308000003</v>
      </c>
      <c r="F38" s="4">
        <f t="shared" si="0"/>
        <v>6142327.6218930008</v>
      </c>
    </row>
    <row r="39" spans="1:6" x14ac:dyDescent="0.25">
      <c r="A39">
        <v>35</v>
      </c>
      <c r="B39" s="4">
        <v>86303.887029999998</v>
      </c>
      <c r="C39" s="4">
        <v>84357.602375000002</v>
      </c>
      <c r="F39" s="4">
        <f t="shared" si="0"/>
        <v>6058482.8738775002</v>
      </c>
    </row>
    <row r="40" spans="1:6" x14ac:dyDescent="0.25">
      <c r="A40">
        <v>36</v>
      </c>
      <c r="B40" s="4">
        <v>82999.53529</v>
      </c>
      <c r="C40" s="4">
        <v>80457.117631999994</v>
      </c>
      <c r="F40" s="4">
        <f t="shared" si="0"/>
        <v>5966167.8316529989</v>
      </c>
    </row>
    <row r="41" spans="1:6" x14ac:dyDescent="0.25">
      <c r="A41">
        <v>37</v>
      </c>
      <c r="B41" s="4">
        <v>79638.741829999999</v>
      </c>
      <c r="C41" s="4">
        <v>76776.786017000006</v>
      </c>
      <c r="F41" s="4">
        <f t="shared" si="0"/>
        <v>5865582.2942624995</v>
      </c>
    </row>
    <row r="42" spans="1:6" x14ac:dyDescent="0.25">
      <c r="A42">
        <v>38</v>
      </c>
      <c r="B42" s="4">
        <v>76223.445089000001</v>
      </c>
      <c r="C42" s="4">
        <v>73306.583901000005</v>
      </c>
      <c r="F42" s="4">
        <f t="shared" si="0"/>
        <v>5756906.116115001</v>
      </c>
    </row>
    <row r="43" spans="1:6" x14ac:dyDescent="0.25">
      <c r="A43">
        <v>39</v>
      </c>
      <c r="B43" s="4">
        <v>72762.274833999996</v>
      </c>
      <c r="C43" s="4">
        <v>70036.168974</v>
      </c>
      <c r="F43" s="4">
        <f t="shared" si="0"/>
        <v>5640538.5304160006</v>
      </c>
    </row>
    <row r="44" spans="1:6" x14ac:dyDescent="0.25">
      <c r="A44">
        <v>40</v>
      </c>
      <c r="B44" s="4">
        <v>69196.775120999999</v>
      </c>
      <c r="C44" s="4">
        <v>66964.760410000003</v>
      </c>
      <c r="F44" s="4">
        <f t="shared" si="0"/>
        <v>5514542.1890054997</v>
      </c>
    </row>
    <row r="45" spans="1:6" x14ac:dyDescent="0.25">
      <c r="A45">
        <v>41</v>
      </c>
      <c r="B45" s="4">
        <v>65879.750505999997</v>
      </c>
      <c r="C45" s="4">
        <v>64036.881703999999</v>
      </c>
      <c r="F45" s="4">
        <f t="shared" si="0"/>
        <v>5391540.2367150001</v>
      </c>
    </row>
    <row r="46" spans="1:6" x14ac:dyDescent="0.25">
      <c r="A46">
        <v>42</v>
      </c>
      <c r="B46" s="4">
        <v>62738.754665</v>
      </c>
      <c r="C46" s="4">
        <v>61254.392017999999</v>
      </c>
      <c r="F46" s="4">
        <f t="shared" si="0"/>
        <v>5269708.7340275003</v>
      </c>
    </row>
    <row r="47" spans="1:6" x14ac:dyDescent="0.25">
      <c r="A47">
        <v>43</v>
      </c>
      <c r="B47" s="4">
        <v>59771.684042000001</v>
      </c>
      <c r="C47" s="4">
        <v>58610.128688999997</v>
      </c>
      <c r="F47" s="4">
        <f t="shared" si="0"/>
        <v>5149608.8537985003</v>
      </c>
    </row>
    <row r="48" spans="1:6" x14ac:dyDescent="0.25">
      <c r="A48">
        <v>44</v>
      </c>
      <c r="B48" s="4">
        <v>56969.966621</v>
      </c>
      <c r="C48" s="4">
        <v>56098.171226999999</v>
      </c>
      <c r="F48" s="4">
        <f t="shared" si="0"/>
        <v>5031532.1342359995</v>
      </c>
    </row>
    <row r="49" spans="1:6" x14ac:dyDescent="0.25">
      <c r="A49">
        <v>45</v>
      </c>
      <c r="B49" s="4">
        <v>54325.834146000001</v>
      </c>
      <c r="C49" s="4">
        <v>53712.852355000003</v>
      </c>
      <c r="F49" s="4">
        <f t="shared" si="0"/>
        <v>4915760.2357954998</v>
      </c>
    </row>
    <row r="50" spans="1:6" x14ac:dyDescent="0.25">
      <c r="A50">
        <v>46</v>
      </c>
      <c r="B50" s="4">
        <v>51831.976800999997</v>
      </c>
      <c r="C50" s="4">
        <v>51448.781155999997</v>
      </c>
      <c r="F50" s="4">
        <f t="shared" si="0"/>
        <v>4802555.2450004993</v>
      </c>
    </row>
    <row r="51" spans="1:6" x14ac:dyDescent="0.25">
      <c r="A51">
        <v>47</v>
      </c>
      <c r="B51" s="4">
        <v>49481.503230000002</v>
      </c>
      <c r="C51" s="4">
        <v>49300.859450000004</v>
      </c>
      <c r="F51" s="4">
        <f t="shared" si="0"/>
        <v>4692162.2273000004</v>
      </c>
    </row>
    <row r="52" spans="1:6" x14ac:dyDescent="0.25">
      <c r="A52">
        <v>48</v>
      </c>
      <c r="B52" s="4">
        <v>47268.068851999997</v>
      </c>
      <c r="C52" s="4">
        <v>47264.476724</v>
      </c>
      <c r="F52" s="4">
        <f t="shared" si="0"/>
        <v>4584828.4604360005</v>
      </c>
    </row>
    <row r="53" spans="1:6" x14ac:dyDescent="0.25">
      <c r="A53">
        <v>49</v>
      </c>
      <c r="B53" s="4">
        <v>45182.686017</v>
      </c>
      <c r="C53" s="4">
        <v>45330.696266999999</v>
      </c>
      <c r="F53" s="4">
        <f t="shared" si="0"/>
        <v>4480412.4230579995</v>
      </c>
    </row>
    <row r="54" spans="1:6" x14ac:dyDescent="0.25">
      <c r="A54">
        <v>50</v>
      </c>
      <c r="B54" s="4">
        <v>43247.216828999997</v>
      </c>
      <c r="C54" s="4">
        <v>43537.002263000002</v>
      </c>
      <c r="F54" s="4">
        <f t="shared" si="0"/>
        <v>4382603.064146</v>
      </c>
    </row>
    <row r="55" spans="1:6" x14ac:dyDescent="0.25">
      <c r="A55">
        <v>51</v>
      </c>
      <c r="B55" s="4">
        <v>41297.058779999999</v>
      </c>
      <c r="C55" s="4">
        <v>41638.188101</v>
      </c>
      <c r="F55" s="4">
        <f t="shared" si="0"/>
        <v>4271165.2143714996</v>
      </c>
    </row>
    <row r="56" spans="1:6" x14ac:dyDescent="0.25">
      <c r="A56">
        <v>52</v>
      </c>
      <c r="B56" s="4">
        <v>39360.345169</v>
      </c>
      <c r="C56" s="4">
        <v>39680.400708000001</v>
      </c>
      <c r="F56" s="4">
        <f t="shared" si="0"/>
        <v>4149639.1585425003</v>
      </c>
    </row>
    <row r="57" spans="1:6" x14ac:dyDescent="0.25">
      <c r="A57">
        <v>53</v>
      </c>
      <c r="B57" s="4">
        <v>37433.595945000001</v>
      </c>
      <c r="C57" s="4">
        <v>37662.107510000002</v>
      </c>
      <c r="F57" s="4">
        <f t="shared" si="0"/>
        <v>4017620.1348425006</v>
      </c>
    </row>
    <row r="58" spans="1:6" x14ac:dyDescent="0.25">
      <c r="A58">
        <v>54</v>
      </c>
      <c r="B58" s="4">
        <v>35516.480115999999</v>
      </c>
      <c r="C58" s="4">
        <v>35586.622611999999</v>
      </c>
      <c r="F58" s="4">
        <f t="shared" si="0"/>
        <v>3875119.0986759998</v>
      </c>
    </row>
    <row r="59" spans="1:6" x14ac:dyDescent="0.25">
      <c r="A59">
        <v>55</v>
      </c>
      <c r="B59" s="4">
        <v>33608.512054999999</v>
      </c>
      <c r="C59" s="4">
        <v>33457.108808999998</v>
      </c>
      <c r="F59" s="4">
        <f t="shared" si="0"/>
        <v>3722141.9579519997</v>
      </c>
    </row>
    <row r="60" spans="1:6" x14ac:dyDescent="0.25">
      <c r="A60">
        <v>56</v>
      </c>
      <c r="B60" s="4">
        <v>31709.199503</v>
      </c>
      <c r="C60" s="4">
        <v>31276.802095999999</v>
      </c>
      <c r="F60" s="4">
        <f t="shared" si="0"/>
        <v>3558709.0903434996</v>
      </c>
    </row>
    <row r="61" spans="1:6" x14ac:dyDescent="0.25">
      <c r="A61">
        <v>57</v>
      </c>
      <c r="B61" s="4">
        <v>29818.047525999998</v>
      </c>
      <c r="C61" s="4">
        <v>29048.993923999999</v>
      </c>
      <c r="F61" s="4">
        <f t="shared" si="0"/>
        <v>3384854.8833749997</v>
      </c>
    </row>
    <row r="62" spans="1:6" x14ac:dyDescent="0.25">
      <c r="A62">
        <v>58</v>
      </c>
      <c r="B62" s="4">
        <v>27934.450091999999</v>
      </c>
      <c r="C62" s="4">
        <v>26776.700038999999</v>
      </c>
      <c r="F62" s="4">
        <f t="shared" si="0"/>
        <v>3200602.2826634999</v>
      </c>
    </row>
    <row r="63" spans="1:6" x14ac:dyDescent="0.25">
      <c r="A63">
        <v>59</v>
      </c>
      <c r="B63" s="4">
        <v>26060.093985</v>
      </c>
      <c r="C63" s="4">
        <v>24470.073939000002</v>
      </c>
      <c r="F63" s="4">
        <f t="shared" si="0"/>
        <v>3006544.9914780003</v>
      </c>
    </row>
    <row r="64" spans="1:6" x14ac:dyDescent="0.25">
      <c r="A64">
        <v>60</v>
      </c>
      <c r="B64" s="4">
        <v>24173.533825999999</v>
      </c>
      <c r="C64" s="4">
        <v>22067.874524999999</v>
      </c>
      <c r="F64" s="4">
        <f t="shared" si="0"/>
        <v>2797605.2052354999</v>
      </c>
    </row>
    <row r="65" spans="1:6" x14ac:dyDescent="0.25">
      <c r="A65">
        <v>61</v>
      </c>
      <c r="B65" s="4">
        <v>22395.265661000001</v>
      </c>
      <c r="C65" s="4">
        <v>19947.821038999999</v>
      </c>
      <c r="F65" s="4">
        <f t="shared" si="0"/>
        <v>2604099.8320499999</v>
      </c>
    </row>
    <row r="66" spans="1:6" x14ac:dyDescent="0.25">
      <c r="A66">
        <v>62</v>
      </c>
      <c r="B66" s="4">
        <v>20696.546868000001</v>
      </c>
      <c r="C66" s="4">
        <v>18018.703555</v>
      </c>
      <c r="F66" s="4">
        <f t="shared" si="0"/>
        <v>2419703.1514375005</v>
      </c>
    </row>
    <row r="67" spans="1:6" x14ac:dyDescent="0.25">
      <c r="A67">
        <v>63</v>
      </c>
      <c r="B67" s="4">
        <v>19073.495696999998</v>
      </c>
      <c r="C67" s="4">
        <v>16268.700435999999</v>
      </c>
      <c r="F67" s="4">
        <f t="shared" si="0"/>
        <v>2244229.4544454999</v>
      </c>
    </row>
    <row r="68" spans="1:6" x14ac:dyDescent="0.25">
      <c r="A68">
        <v>64</v>
      </c>
      <c r="B68" s="4">
        <v>17520.060151999998</v>
      </c>
      <c r="C68" s="4">
        <v>14680.051242</v>
      </c>
      <c r="F68" s="4">
        <f t="shared" si="0"/>
        <v>2076907.1849129999</v>
      </c>
    </row>
    <row r="69" spans="1:6" x14ac:dyDescent="0.25">
      <c r="A69">
        <v>65</v>
      </c>
      <c r="B69" s="4">
        <v>16030.563787999999</v>
      </c>
      <c r="C69" s="4">
        <v>13236.980432</v>
      </c>
      <c r="F69" s="4">
        <f t="shared" ref="F69:F113" si="1">(B69+C69) * (0.5 + A69)</f>
        <v>1917024.14641</v>
      </c>
    </row>
    <row r="70" spans="1:6" x14ac:dyDescent="0.25">
      <c r="A70">
        <v>66</v>
      </c>
      <c r="B70" s="4">
        <v>14599.576945000001</v>
      </c>
      <c r="C70" s="4">
        <v>11925.186046999999</v>
      </c>
      <c r="F70" s="4">
        <f t="shared" si="1"/>
        <v>1763896.738968</v>
      </c>
    </row>
    <row r="71" spans="1:6" x14ac:dyDescent="0.25">
      <c r="A71">
        <v>67</v>
      </c>
      <c r="B71" s="4">
        <v>13221.867883000001</v>
      </c>
      <c r="C71" s="4">
        <v>10731.656105</v>
      </c>
      <c r="F71" s="4">
        <f t="shared" si="1"/>
        <v>1616862.86919</v>
      </c>
    </row>
    <row r="72" spans="1:6" x14ac:dyDescent="0.25">
      <c r="A72">
        <v>68</v>
      </c>
      <c r="B72" s="4">
        <v>11892.246015999999</v>
      </c>
      <c r="C72" s="4">
        <v>9644.5283629999994</v>
      </c>
      <c r="F72" s="4">
        <f t="shared" si="1"/>
        <v>1475269.0449615</v>
      </c>
    </row>
    <row r="73" spans="1:6" x14ac:dyDescent="0.25">
      <c r="A73">
        <v>69</v>
      </c>
      <c r="B73" s="4">
        <v>10608.843163</v>
      </c>
      <c r="C73" s="4">
        <v>8653.4982550000004</v>
      </c>
      <c r="F73" s="4">
        <f t="shared" si="1"/>
        <v>1338732.7285509999</v>
      </c>
    </row>
    <row r="74" spans="1:6" x14ac:dyDescent="0.25">
      <c r="A74">
        <v>70</v>
      </c>
      <c r="B74" s="4">
        <v>9338.101208</v>
      </c>
      <c r="C74" s="4">
        <v>7744.123697</v>
      </c>
      <c r="F74" s="4">
        <f t="shared" si="1"/>
        <v>1204296.8558024999</v>
      </c>
    </row>
    <row r="75" spans="1:6" x14ac:dyDescent="0.25">
      <c r="A75">
        <v>71</v>
      </c>
      <c r="B75" s="4">
        <v>8242.5354169999991</v>
      </c>
      <c r="C75" s="4">
        <v>6934.0979189999998</v>
      </c>
      <c r="F75" s="4">
        <f t="shared" si="1"/>
        <v>1085129.2835239999</v>
      </c>
    </row>
    <row r="76" spans="1:6" x14ac:dyDescent="0.25">
      <c r="A76">
        <v>72</v>
      </c>
      <c r="B76" s="4">
        <v>7273.0569020000003</v>
      </c>
      <c r="C76" s="4">
        <v>6208.4626930000004</v>
      </c>
      <c r="F76" s="4">
        <f t="shared" si="1"/>
        <v>977410.17063750012</v>
      </c>
    </row>
    <row r="77" spans="1:6" x14ac:dyDescent="0.25">
      <c r="A77">
        <v>73</v>
      </c>
      <c r="B77" s="4">
        <v>6417.7912409999999</v>
      </c>
      <c r="C77" s="4">
        <v>5558.8605470000002</v>
      </c>
      <c r="F77" s="4">
        <f t="shared" si="1"/>
        <v>880283.906418</v>
      </c>
    </row>
    <row r="78" spans="1:6" x14ac:dyDescent="0.25">
      <c r="A78">
        <v>74</v>
      </c>
      <c r="B78" s="4">
        <v>5663.1460020000004</v>
      </c>
      <c r="C78" s="4">
        <v>4977.3102419999996</v>
      </c>
      <c r="F78" s="4">
        <f t="shared" si="1"/>
        <v>792713.99017800007</v>
      </c>
    </row>
    <row r="79" spans="1:6" x14ac:dyDescent="0.25">
      <c r="A79">
        <v>75</v>
      </c>
      <c r="B79" s="4">
        <v>4997.2812459999996</v>
      </c>
      <c r="C79" s="4">
        <v>4456.6912629999997</v>
      </c>
      <c r="F79" s="4">
        <f t="shared" si="1"/>
        <v>713774.92442949989</v>
      </c>
    </row>
    <row r="80" spans="1:6" x14ac:dyDescent="0.25">
      <c r="A80">
        <v>76</v>
      </c>
      <c r="B80" s="4">
        <v>4409.7620559999996</v>
      </c>
      <c r="C80" s="4">
        <v>3990.631065</v>
      </c>
      <c r="F80" s="4">
        <f t="shared" si="1"/>
        <v>642630.07375649991</v>
      </c>
    </row>
    <row r="81" spans="1:6" x14ac:dyDescent="0.25">
      <c r="A81">
        <v>77</v>
      </c>
      <c r="B81" s="4">
        <v>3891.3772170000002</v>
      </c>
      <c r="C81" s="4">
        <v>3573.4242509999999</v>
      </c>
      <c r="F81" s="4">
        <f t="shared" si="1"/>
        <v>578522.11376999994</v>
      </c>
    </row>
    <row r="82" spans="1:6" x14ac:dyDescent="0.25">
      <c r="A82">
        <v>78</v>
      </c>
      <c r="B82" s="4">
        <v>3433.9999509999998</v>
      </c>
      <c r="C82" s="4">
        <v>3199.9635499999999</v>
      </c>
      <c r="F82" s="4">
        <f t="shared" si="1"/>
        <v>520766.13482850004</v>
      </c>
    </row>
    <row r="83" spans="1:6" x14ac:dyDescent="0.25">
      <c r="A83">
        <v>79</v>
      </c>
      <c r="B83" s="4">
        <v>3030.4598390000001</v>
      </c>
      <c r="C83" s="4">
        <v>2865.6771840000001</v>
      </c>
      <c r="F83" s="4">
        <f t="shared" si="1"/>
        <v>468742.89332850004</v>
      </c>
    </row>
    <row r="84" spans="1:6" x14ac:dyDescent="0.25">
      <c r="A84">
        <v>80</v>
      </c>
      <c r="B84" s="4">
        <v>2674.4304590000002</v>
      </c>
      <c r="C84" s="4">
        <v>2566.4729170000001</v>
      </c>
      <c r="F84" s="4">
        <f t="shared" si="1"/>
        <v>421892.72176799999</v>
      </c>
    </row>
    <row r="85" spans="1:6" x14ac:dyDescent="0.25">
      <c r="A85">
        <v>81</v>
      </c>
      <c r="B85" s="4">
        <v>2360.330207</v>
      </c>
      <c r="C85" s="4">
        <v>2298.6879530000001</v>
      </c>
      <c r="F85" s="4">
        <f t="shared" si="1"/>
        <v>379709.98003999999</v>
      </c>
    </row>
    <row r="86" spans="1:6" x14ac:dyDescent="0.25">
      <c r="A86">
        <v>82</v>
      </c>
      <c r="B86" s="4">
        <v>2083.2347949999998</v>
      </c>
      <c r="C86" s="4">
        <v>2059.0441040000001</v>
      </c>
      <c r="F86" s="4">
        <f t="shared" si="1"/>
        <v>341738.00916750001</v>
      </c>
    </row>
    <row r="87" spans="1:6" x14ac:dyDescent="0.25">
      <c r="A87">
        <v>83</v>
      </c>
      <c r="B87" s="4">
        <v>1838.8000520000001</v>
      </c>
      <c r="C87" s="4">
        <v>1844.607659</v>
      </c>
      <c r="F87" s="4">
        <f t="shared" si="1"/>
        <v>307564.54386849998</v>
      </c>
    </row>
    <row r="88" spans="1:6" x14ac:dyDescent="0.25">
      <c r="A88">
        <v>84</v>
      </c>
      <c r="B88" s="4">
        <v>1623.1938190000001</v>
      </c>
      <c r="C88" s="4">
        <v>1652.753471</v>
      </c>
      <c r="F88" s="4">
        <f t="shared" si="1"/>
        <v>276817.54600500001</v>
      </c>
    </row>
    <row r="89" spans="1:6" x14ac:dyDescent="0.25">
      <c r="A89">
        <v>85</v>
      </c>
      <c r="B89" s="4">
        <v>1433.035875</v>
      </c>
      <c r="C89" s="4">
        <v>1481.132822</v>
      </c>
      <c r="F89" s="4">
        <f t="shared" si="1"/>
        <v>249161.42359350002</v>
      </c>
    </row>
    <row r="90" spans="1:6" x14ac:dyDescent="0.25">
      <c r="A90">
        <v>86</v>
      </c>
      <c r="B90" s="4">
        <v>1265.344947</v>
      </c>
      <c r="C90" s="4">
        <v>1327.6446719999999</v>
      </c>
      <c r="F90" s="4">
        <f t="shared" si="1"/>
        <v>224293.6020435</v>
      </c>
    </row>
    <row r="91" spans="1:6" x14ac:dyDescent="0.25">
      <c r="A91">
        <v>87</v>
      </c>
      <c r="B91" s="4">
        <v>1117.491968</v>
      </c>
      <c r="C91" s="4">
        <v>1190.4099450000001</v>
      </c>
      <c r="F91" s="4">
        <f t="shared" si="1"/>
        <v>201941.41738750003</v>
      </c>
    </row>
    <row r="92" spans="1:6" x14ac:dyDescent="0.25">
      <c r="A92">
        <v>88</v>
      </c>
      <c r="B92" s="4">
        <v>987.15886899999998</v>
      </c>
      <c r="C92" s="4">
        <v>1067.748517</v>
      </c>
      <c r="F92" s="4">
        <f t="shared" si="1"/>
        <v>181859.30366099998</v>
      </c>
    </row>
    <row r="93" spans="1:6" x14ac:dyDescent="0.25">
      <c r="A93">
        <v>89</v>
      </c>
      <c r="B93" s="4">
        <v>872.302235</v>
      </c>
      <c r="C93" s="4">
        <v>958.15866300000005</v>
      </c>
      <c r="F93" s="4">
        <f t="shared" si="1"/>
        <v>163826.250371</v>
      </c>
    </row>
    <row r="94" spans="1:6" x14ac:dyDescent="0.25">
      <c r="A94">
        <v>90</v>
      </c>
      <c r="B94" s="4">
        <v>771.12127099999998</v>
      </c>
      <c r="C94" s="4">
        <v>860.29866300000003</v>
      </c>
      <c r="F94" s="4">
        <f t="shared" si="1"/>
        <v>147643.50402699999</v>
      </c>
    </row>
    <row r="95" spans="1:6" x14ac:dyDescent="0.25">
      <c r="A95">
        <v>91</v>
      </c>
      <c r="B95" s="4">
        <v>682.02957500000002</v>
      </c>
      <c r="C95" s="4">
        <v>772.97038799999996</v>
      </c>
      <c r="F95" s="4">
        <f t="shared" si="1"/>
        <v>133132.49661450001</v>
      </c>
    </row>
    <row r="96" spans="1:6" x14ac:dyDescent="0.25">
      <c r="A96">
        <v>92</v>
      </c>
      <c r="B96" s="4">
        <v>603.630268</v>
      </c>
      <c r="C96" s="4">
        <v>695.10462800000005</v>
      </c>
      <c r="F96" s="4">
        <f t="shared" si="1"/>
        <v>120132.97787999999</v>
      </c>
    </row>
    <row r="97" spans="1:6" x14ac:dyDescent="0.25">
      <c r="A97">
        <v>93</v>
      </c>
      <c r="B97" s="4">
        <v>534.69409499999995</v>
      </c>
      <c r="C97" s="4">
        <v>625.74800800000003</v>
      </c>
      <c r="F97" s="4">
        <f t="shared" si="1"/>
        <v>108501.33663049998</v>
      </c>
    </row>
    <row r="98" spans="1:6" x14ac:dyDescent="0.25">
      <c r="A98">
        <v>94</v>
      </c>
      <c r="B98" s="4">
        <v>474.14015699999999</v>
      </c>
      <c r="C98" s="4">
        <v>564.05131900000003</v>
      </c>
      <c r="F98" s="4">
        <f t="shared" si="1"/>
        <v>98109.094482</v>
      </c>
    </row>
    <row r="99" spans="1:6" x14ac:dyDescent="0.25">
      <c r="A99">
        <v>95</v>
      </c>
      <c r="B99" s="4">
        <v>421.01896699999998</v>
      </c>
      <c r="C99" s="4">
        <v>509.25912099999999</v>
      </c>
      <c r="F99" s="4">
        <f t="shared" si="1"/>
        <v>88841.557404000006</v>
      </c>
    </row>
    <row r="100" spans="1:6" x14ac:dyDescent="0.25">
      <c r="A100">
        <v>96</v>
      </c>
      <c r="B100" s="4">
        <v>374.49756400000001</v>
      </c>
      <c r="C100" s="4">
        <v>460.70050099999997</v>
      </c>
      <c r="F100" s="4">
        <f t="shared" si="1"/>
        <v>80596.613272500006</v>
      </c>
    </row>
    <row r="101" spans="1:6" x14ac:dyDescent="0.25">
      <c r="A101">
        <v>97</v>
      </c>
      <c r="B101" s="4">
        <v>333.84645899999998</v>
      </c>
      <c r="C101" s="4">
        <v>417.78085700000003</v>
      </c>
      <c r="F101" s="4">
        <f t="shared" si="1"/>
        <v>73283.663310000004</v>
      </c>
    </row>
    <row r="102" spans="1:6" x14ac:dyDescent="0.25">
      <c r="A102">
        <v>98</v>
      </c>
      <c r="B102" s="4">
        <v>298.42819900000001</v>
      </c>
      <c r="C102" s="4">
        <v>379.97462300000001</v>
      </c>
      <c r="F102" s="4">
        <f t="shared" si="1"/>
        <v>66822.677966999996</v>
      </c>
    </row>
    <row r="103" spans="1:6" x14ac:dyDescent="0.25">
      <c r="A103">
        <v>99</v>
      </c>
      <c r="B103" s="4">
        <v>267.68737099999998</v>
      </c>
      <c r="C103" s="4">
        <v>346.81883800000003</v>
      </c>
      <c r="F103" s="4">
        <f t="shared" si="1"/>
        <v>61143.367795500002</v>
      </c>
    </row>
    <row r="104" spans="1:6" x14ac:dyDescent="0.25">
      <c r="A104">
        <v>100</v>
      </c>
      <c r="B104" s="4">
        <v>241.14190300000001</v>
      </c>
      <c r="C104" s="4">
        <v>317.90747499999998</v>
      </c>
      <c r="F104" s="4">
        <f t="shared" si="1"/>
        <v>56184.46248899999</v>
      </c>
    </row>
    <row r="105" spans="1:6" x14ac:dyDescent="0.25">
      <c r="A105">
        <v>101</v>
      </c>
      <c r="B105" s="4">
        <v>218.37550300000001</v>
      </c>
      <c r="C105" s="4">
        <v>292.88647700000001</v>
      </c>
      <c r="F105" s="4">
        <f t="shared" si="1"/>
        <v>51893.090969999997</v>
      </c>
    </row>
    <row r="106" spans="1:6" x14ac:dyDescent="0.25">
      <c r="A106">
        <v>102</v>
      </c>
      <c r="B106" s="4">
        <v>199.03113500000001</v>
      </c>
      <c r="C106" s="4">
        <v>271.44942400000002</v>
      </c>
      <c r="F106" s="4">
        <f t="shared" si="1"/>
        <v>48224.2572975</v>
      </c>
    </row>
    <row r="107" spans="1:6" x14ac:dyDescent="0.25">
      <c r="A107">
        <v>103</v>
      </c>
      <c r="B107" s="4">
        <v>182.80542</v>
      </c>
      <c r="C107" s="4">
        <v>253.333776</v>
      </c>
      <c r="F107" s="4">
        <f t="shared" si="1"/>
        <v>45140.406786</v>
      </c>
    </row>
    <row r="108" spans="1:6" x14ac:dyDescent="0.25">
      <c r="A108">
        <v>104</v>
      </c>
      <c r="B108" s="4">
        <v>169.443883</v>
      </c>
      <c r="C108" s="4">
        <v>238.31766400000001</v>
      </c>
      <c r="F108" s="4">
        <f t="shared" si="1"/>
        <v>42611.0816615</v>
      </c>
    </row>
    <row r="109" spans="1:6" x14ac:dyDescent="0.25">
      <c r="A109">
        <v>105</v>
      </c>
      <c r="B109" s="4">
        <v>158.737067</v>
      </c>
      <c r="C109" s="4">
        <v>226.21729500000001</v>
      </c>
      <c r="F109" s="4">
        <f t="shared" si="1"/>
        <v>40612.685190999997</v>
      </c>
    </row>
    <row r="110" spans="1:6" x14ac:dyDescent="0.25">
      <c r="A110">
        <v>106</v>
      </c>
      <c r="B110" s="4">
        <v>150.51591999999999</v>
      </c>
      <c r="C110" s="4">
        <v>216.88318000000001</v>
      </c>
      <c r="F110" s="4">
        <f t="shared" si="1"/>
        <v>39128.004150000001</v>
      </c>
    </row>
    <row r="111" spans="1:6" x14ac:dyDescent="0.25">
      <c r="A111">
        <v>107</v>
      </c>
      <c r="B111" s="4">
        <v>144.659378</v>
      </c>
      <c r="C111" s="4">
        <v>210.20998299999999</v>
      </c>
      <c r="F111" s="4">
        <f t="shared" si="1"/>
        <v>38148.456307500004</v>
      </c>
    </row>
    <row r="112" spans="1:6" x14ac:dyDescent="0.25">
      <c r="A112">
        <v>108</v>
      </c>
      <c r="B112" s="4">
        <v>141.05502799999999</v>
      </c>
      <c r="C112" s="4">
        <v>206.09261000000001</v>
      </c>
      <c r="F112" s="4">
        <f t="shared" si="1"/>
        <v>37665.518723000001</v>
      </c>
    </row>
    <row r="113" spans="1:6" x14ac:dyDescent="0.25">
      <c r="A113">
        <v>109</v>
      </c>
      <c r="B113" s="4">
        <v>139.30653000000001</v>
      </c>
      <c r="C113" s="4">
        <v>204.09203600000001</v>
      </c>
      <c r="F113" s="4">
        <f t="shared" si="1"/>
        <v>37602.142977000003</v>
      </c>
    </row>
    <row r="115" spans="1:6" x14ac:dyDescent="0.25">
      <c r="A115" t="s">
        <v>119</v>
      </c>
      <c r="B115">
        <f>SUM(B4:B113)</f>
        <v>6740685.6863400014</v>
      </c>
      <c r="C115">
        <f>SUM(C4:C113)</f>
        <v>6842142.7326650005</v>
      </c>
      <c r="F115" s="14">
        <f>SUM(F4:F113)/(B115+C115)</f>
        <v>22.311606119984724</v>
      </c>
    </row>
    <row r="117" spans="1:6" x14ac:dyDescent="0.25">
      <c r="B117" s="4"/>
      <c r="C117" s="4"/>
    </row>
    <row r="119" spans="1:6" x14ac:dyDescent="0.25">
      <c r="B119" s="4"/>
      <c r="C119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DA50-C1E5-4EC1-8A12-CB61E6926FFF}">
  <sheetPr codeName="Sheet7"/>
  <dimension ref="A1:M129"/>
  <sheetViews>
    <sheetView topLeftCell="A64" workbookViewId="0">
      <selection activeCell="N75" sqref="N75"/>
    </sheetView>
  </sheetViews>
  <sheetFormatPr defaultRowHeight="15" x14ac:dyDescent="0.25"/>
  <cols>
    <col min="2" max="2" width="17" customWidth="1"/>
    <col min="3" max="3" width="12.7109375" customWidth="1"/>
    <col min="4" max="4" width="7.140625" customWidth="1"/>
    <col min="5" max="5" width="8.28515625" customWidth="1"/>
    <col min="6" max="6" width="11.28515625" customWidth="1"/>
    <col min="7" max="7" width="16.5703125" customWidth="1"/>
    <col min="8" max="8" width="10.28515625" bestFit="1" customWidth="1"/>
    <col min="9" max="9" width="10.140625" bestFit="1" customWidth="1"/>
  </cols>
  <sheetData>
    <row r="1" spans="1:13" x14ac:dyDescent="0.25">
      <c r="B1" s="31" t="s">
        <v>77</v>
      </c>
      <c r="C1" s="31"/>
      <c r="D1" s="6"/>
      <c r="E1" s="6"/>
      <c r="H1" s="31" t="s">
        <v>78</v>
      </c>
      <c r="I1" s="31"/>
    </row>
    <row r="3" spans="1:13" x14ac:dyDescent="0.25">
      <c r="A3" s="6" t="s">
        <v>16</v>
      </c>
      <c r="B3" s="6" t="s">
        <v>0</v>
      </c>
      <c r="C3" s="6" t="s">
        <v>1</v>
      </c>
      <c r="D3" s="6"/>
      <c r="E3" s="31" t="s">
        <v>12</v>
      </c>
      <c r="F3" s="31"/>
      <c r="H3" s="6" t="s">
        <v>0</v>
      </c>
      <c r="I3" s="6" t="s">
        <v>1</v>
      </c>
      <c r="K3" s="31" t="s">
        <v>12</v>
      </c>
      <c r="L3" s="31"/>
    </row>
    <row r="4" spans="1:13" x14ac:dyDescent="0.25">
      <c r="A4" s="3">
        <v>0</v>
      </c>
      <c r="B4" s="4">
        <v>1696639</v>
      </c>
      <c r="C4" s="7">
        <v>1691019</v>
      </c>
      <c r="D4" s="7"/>
      <c r="E4" s="7"/>
      <c r="F4" s="4"/>
      <c r="G4" s="4"/>
      <c r="H4" s="7">
        <v>102946</v>
      </c>
      <c r="I4" s="7">
        <v>101930</v>
      </c>
      <c r="J4" s="4"/>
      <c r="K4" s="4"/>
      <c r="L4" s="4"/>
      <c r="M4" s="4"/>
    </row>
    <row r="5" spans="1:13" x14ac:dyDescent="0.25">
      <c r="A5" s="3" t="s">
        <v>22</v>
      </c>
      <c r="B5" s="4">
        <v>1355265</v>
      </c>
      <c r="C5" s="7">
        <v>1373391</v>
      </c>
      <c r="D5" s="7"/>
      <c r="E5" s="7"/>
      <c r="F5" s="4"/>
      <c r="G5" s="4"/>
      <c r="H5" s="7">
        <v>75319</v>
      </c>
      <c r="I5" s="7">
        <v>76657</v>
      </c>
      <c r="J5" s="4"/>
      <c r="K5" s="4"/>
      <c r="L5" s="4"/>
      <c r="M5" s="4"/>
    </row>
    <row r="6" spans="1:13" x14ac:dyDescent="0.25">
      <c r="A6" s="3" t="s">
        <v>23</v>
      </c>
      <c r="B6" s="4">
        <v>1372943</v>
      </c>
      <c r="C6" s="7">
        <v>1381997</v>
      </c>
      <c r="D6" s="7"/>
      <c r="E6" s="7"/>
      <c r="F6" s="4"/>
      <c r="G6" s="4"/>
      <c r="H6" s="7">
        <v>77487</v>
      </c>
      <c r="I6" s="7">
        <v>78860</v>
      </c>
      <c r="J6" s="4"/>
      <c r="K6" s="4"/>
      <c r="L6" s="4"/>
      <c r="M6" s="4"/>
    </row>
    <row r="7" spans="1:13" x14ac:dyDescent="0.25">
      <c r="A7" s="3" t="s">
        <v>24</v>
      </c>
      <c r="B7" s="4">
        <v>1347969</v>
      </c>
      <c r="C7" s="7">
        <v>1365241</v>
      </c>
      <c r="D7" s="7"/>
      <c r="E7" s="7"/>
      <c r="F7" s="4"/>
      <c r="G7" s="4"/>
      <c r="H7" s="7">
        <v>80165</v>
      </c>
      <c r="I7" s="7">
        <v>82876</v>
      </c>
      <c r="J7" s="4"/>
      <c r="K7" s="4"/>
      <c r="L7" s="4"/>
      <c r="M7" s="4"/>
    </row>
    <row r="8" spans="1:13" x14ac:dyDescent="0.25">
      <c r="A8" s="3" t="s">
        <v>25</v>
      </c>
      <c r="B8" s="4">
        <v>1257445</v>
      </c>
      <c r="C8" s="7">
        <v>1287984</v>
      </c>
      <c r="D8" s="7"/>
      <c r="E8" s="7"/>
      <c r="F8" s="4"/>
      <c r="G8" s="4"/>
      <c r="H8" s="7">
        <v>73849</v>
      </c>
      <c r="I8" s="7">
        <v>75892</v>
      </c>
      <c r="J8" s="4"/>
      <c r="K8" s="4"/>
      <c r="L8" s="4"/>
      <c r="M8" s="4"/>
    </row>
    <row r="9" spans="1:13" x14ac:dyDescent="0.25">
      <c r="A9" s="3" t="s">
        <v>26</v>
      </c>
      <c r="B9" s="4">
        <v>1185013</v>
      </c>
      <c r="C9" s="7">
        <v>1200875</v>
      </c>
      <c r="D9" s="7"/>
      <c r="E9" s="7"/>
      <c r="F9" s="4"/>
      <c r="G9" s="4"/>
      <c r="H9" s="7">
        <v>68517</v>
      </c>
      <c r="I9" s="7">
        <v>68509</v>
      </c>
      <c r="J9" s="4"/>
      <c r="K9" s="4"/>
      <c r="L9" s="4"/>
      <c r="M9" s="4"/>
    </row>
    <row r="10" spans="1:13" x14ac:dyDescent="0.25">
      <c r="A10" s="3" t="s">
        <v>27</v>
      </c>
      <c r="B10" s="4">
        <v>1163049</v>
      </c>
      <c r="C10" s="7">
        <v>1177832</v>
      </c>
      <c r="D10" s="7"/>
      <c r="E10" s="7"/>
      <c r="F10" s="4"/>
      <c r="G10" s="4"/>
      <c r="H10" s="7">
        <v>69146</v>
      </c>
      <c r="I10" s="7">
        <v>70049</v>
      </c>
      <c r="J10" s="4"/>
      <c r="K10" s="4"/>
      <c r="L10" s="4"/>
      <c r="M10" s="4"/>
    </row>
    <row r="11" spans="1:13" x14ac:dyDescent="0.25">
      <c r="A11" s="3" t="s">
        <v>28</v>
      </c>
      <c r="B11" s="4">
        <v>1111074</v>
      </c>
      <c r="C11" s="7">
        <v>1153694</v>
      </c>
      <c r="D11" s="7"/>
      <c r="E11" s="7"/>
      <c r="F11" s="4"/>
      <c r="G11" s="4"/>
      <c r="H11" s="7">
        <v>68118</v>
      </c>
      <c r="I11" s="7">
        <v>69314</v>
      </c>
      <c r="J11" s="4"/>
      <c r="K11" s="4"/>
      <c r="L11" s="4"/>
      <c r="M11" s="4"/>
    </row>
    <row r="12" spans="1:13" x14ac:dyDescent="0.25">
      <c r="A12" s="3" t="s">
        <v>29</v>
      </c>
      <c r="B12" s="4">
        <v>1148195</v>
      </c>
      <c r="C12" s="7">
        <v>1167479</v>
      </c>
      <c r="D12" s="7"/>
      <c r="E12" s="7"/>
      <c r="F12" s="4"/>
      <c r="G12" s="4"/>
      <c r="H12" s="7">
        <v>67383</v>
      </c>
      <c r="I12" s="7">
        <v>67548</v>
      </c>
      <c r="J12" s="4"/>
      <c r="K12" s="4"/>
      <c r="L12" s="4"/>
      <c r="M12" s="4"/>
    </row>
    <row r="13" spans="1:13" x14ac:dyDescent="0.25">
      <c r="A13" s="3" t="s">
        <v>30</v>
      </c>
      <c r="B13" s="4">
        <v>1035579</v>
      </c>
      <c r="C13" s="7">
        <v>1034521</v>
      </c>
      <c r="D13" s="7"/>
      <c r="E13" s="7"/>
      <c r="F13" s="4"/>
      <c r="G13" s="4"/>
      <c r="H13" s="7">
        <v>60055</v>
      </c>
      <c r="I13" s="7">
        <v>59476</v>
      </c>
      <c r="J13" s="4"/>
      <c r="K13" s="4"/>
      <c r="L13" s="4"/>
      <c r="M13" s="4"/>
    </row>
    <row r="14" spans="1:13" x14ac:dyDescent="0.25">
      <c r="A14" s="3" t="s">
        <v>3</v>
      </c>
      <c r="B14" s="4">
        <v>10976532</v>
      </c>
      <c r="C14" s="7">
        <v>11143014</v>
      </c>
      <c r="D14" s="7"/>
      <c r="E14" s="7">
        <f>SUM(B5:B13)-B14</f>
        <v>0</v>
      </c>
      <c r="F14" s="7">
        <f>SUM(C5:C13)-C14</f>
        <v>0</v>
      </c>
      <c r="G14" s="7"/>
      <c r="H14" s="7">
        <v>640039</v>
      </c>
      <c r="I14" s="7">
        <v>649181</v>
      </c>
      <c r="J14" s="4"/>
      <c r="K14" s="7">
        <f>SUM(H5:H13)-H14</f>
        <v>0</v>
      </c>
      <c r="L14" s="7">
        <f>SUM(I5:I13)-I14</f>
        <v>0</v>
      </c>
      <c r="M14" s="4"/>
    </row>
    <row r="15" spans="1:13" x14ac:dyDescent="0.25">
      <c r="A15" s="3" t="s">
        <v>31</v>
      </c>
      <c r="B15" s="4">
        <v>1139461</v>
      </c>
      <c r="C15" s="7">
        <v>1151719</v>
      </c>
      <c r="D15" s="7"/>
      <c r="E15" s="7"/>
      <c r="F15" s="4"/>
      <c r="G15" s="4"/>
      <c r="H15" s="7">
        <v>64617</v>
      </c>
      <c r="I15" s="7">
        <v>63636</v>
      </c>
      <c r="J15" s="4"/>
      <c r="K15" s="4"/>
      <c r="L15" s="4"/>
      <c r="M15" s="4"/>
    </row>
    <row r="16" spans="1:13" x14ac:dyDescent="0.25">
      <c r="A16" s="3" t="s">
        <v>32</v>
      </c>
      <c r="B16" s="4">
        <v>925573</v>
      </c>
      <c r="C16" s="7">
        <v>914121</v>
      </c>
      <c r="D16" s="7"/>
      <c r="E16" s="7"/>
      <c r="F16" s="4"/>
      <c r="G16" s="4"/>
      <c r="H16" s="7">
        <v>56360</v>
      </c>
      <c r="I16" s="7">
        <v>55103</v>
      </c>
      <c r="J16" s="4"/>
      <c r="K16" s="4"/>
      <c r="L16" s="4"/>
      <c r="M16" s="4"/>
    </row>
    <row r="17" spans="1:13" x14ac:dyDescent="0.25">
      <c r="A17" s="3" t="s">
        <v>33</v>
      </c>
      <c r="B17" s="4">
        <v>1208197</v>
      </c>
      <c r="C17" s="7">
        <v>1214158</v>
      </c>
      <c r="D17" s="7"/>
      <c r="E17" s="7"/>
      <c r="F17" s="4"/>
      <c r="G17" s="4"/>
      <c r="H17" s="7">
        <v>68110</v>
      </c>
      <c r="I17" s="7">
        <v>66909</v>
      </c>
      <c r="J17" s="4"/>
      <c r="K17" s="4"/>
      <c r="L17" s="4"/>
      <c r="M17" s="4"/>
    </row>
    <row r="18" spans="1:13" x14ac:dyDescent="0.25">
      <c r="A18" s="3" t="s">
        <v>34</v>
      </c>
      <c r="B18" s="4">
        <v>993623</v>
      </c>
      <c r="C18" s="7">
        <v>1001076</v>
      </c>
      <c r="D18" s="7"/>
      <c r="E18" s="7"/>
      <c r="F18" s="4"/>
      <c r="G18" s="4"/>
      <c r="H18" s="7">
        <v>59084</v>
      </c>
      <c r="I18" s="7">
        <v>57823</v>
      </c>
      <c r="J18" s="4"/>
      <c r="K18" s="4"/>
      <c r="L18" s="4"/>
      <c r="M18" s="4"/>
    </row>
    <row r="19" spans="1:13" x14ac:dyDescent="0.25">
      <c r="A19" s="3" t="s">
        <v>35</v>
      </c>
      <c r="B19" s="4">
        <v>965771</v>
      </c>
      <c r="C19" s="7">
        <v>991005</v>
      </c>
      <c r="D19" s="7"/>
      <c r="E19" s="7"/>
      <c r="F19" s="4"/>
      <c r="G19" s="4"/>
      <c r="H19" s="7">
        <v>58175</v>
      </c>
      <c r="I19" s="7">
        <v>58043</v>
      </c>
      <c r="J19" s="4"/>
      <c r="K19" s="4"/>
      <c r="L19" s="4"/>
      <c r="M19" s="4"/>
    </row>
    <row r="20" spans="1:13" x14ac:dyDescent="0.25">
      <c r="A20" s="3" t="s">
        <v>36</v>
      </c>
      <c r="B20" s="4">
        <v>936067</v>
      </c>
      <c r="C20" s="7">
        <v>965617</v>
      </c>
      <c r="D20" s="7"/>
      <c r="E20" s="7"/>
      <c r="F20" s="4"/>
      <c r="G20" s="4"/>
      <c r="H20" s="7">
        <v>56770</v>
      </c>
      <c r="I20" s="7">
        <v>56425</v>
      </c>
      <c r="J20" s="4"/>
      <c r="K20" s="4"/>
      <c r="L20" s="4"/>
      <c r="M20" s="4"/>
    </row>
    <row r="21" spans="1:13" x14ac:dyDescent="0.25">
      <c r="A21" s="3" t="s">
        <v>37</v>
      </c>
      <c r="B21" s="4">
        <v>929092</v>
      </c>
      <c r="C21" s="7">
        <v>1036199</v>
      </c>
      <c r="D21" s="7"/>
      <c r="E21" s="7"/>
      <c r="F21" s="4"/>
      <c r="G21" s="4"/>
      <c r="H21" s="7">
        <v>55520</v>
      </c>
      <c r="I21" s="7">
        <v>58672</v>
      </c>
      <c r="J21" s="4"/>
      <c r="K21" s="4"/>
      <c r="L21" s="4"/>
      <c r="M21" s="4"/>
    </row>
    <row r="22" spans="1:13" x14ac:dyDescent="0.25">
      <c r="A22" s="3" t="s">
        <v>38</v>
      </c>
      <c r="B22" s="4">
        <v>923880</v>
      </c>
      <c r="C22" s="7">
        <v>1039885</v>
      </c>
      <c r="D22" s="7"/>
      <c r="E22" s="7"/>
      <c r="F22" s="4"/>
      <c r="G22" s="4"/>
      <c r="H22" s="7">
        <v>54749</v>
      </c>
      <c r="I22" s="7">
        <v>58575</v>
      </c>
      <c r="J22" s="4"/>
      <c r="K22" s="4"/>
      <c r="L22" s="4"/>
      <c r="M22" s="4"/>
    </row>
    <row r="23" spans="1:13" x14ac:dyDescent="0.25">
      <c r="A23" s="3" t="s">
        <v>39</v>
      </c>
      <c r="B23" s="4">
        <v>942665</v>
      </c>
      <c r="C23" s="7">
        <v>1034438</v>
      </c>
      <c r="D23" s="7"/>
      <c r="E23" s="7"/>
      <c r="F23" s="4"/>
      <c r="G23" s="4"/>
      <c r="H23" s="7">
        <v>56058</v>
      </c>
      <c r="I23" s="7">
        <v>54912</v>
      </c>
      <c r="J23" s="4"/>
      <c r="K23" s="4"/>
      <c r="L23" s="4"/>
      <c r="M23" s="4"/>
    </row>
    <row r="24" spans="1:13" x14ac:dyDescent="0.25">
      <c r="A24" s="3" t="s">
        <v>40</v>
      </c>
      <c r="B24" s="4">
        <v>798772</v>
      </c>
      <c r="C24" s="7">
        <v>848781</v>
      </c>
      <c r="D24" s="7"/>
      <c r="E24" s="7"/>
      <c r="F24" s="4"/>
      <c r="G24" s="4"/>
      <c r="H24" s="7">
        <v>49429</v>
      </c>
      <c r="I24" s="7">
        <v>48707</v>
      </c>
      <c r="J24" s="4"/>
      <c r="K24" s="4"/>
      <c r="L24" s="4"/>
      <c r="M24" s="4"/>
    </row>
    <row r="25" spans="1:13" x14ac:dyDescent="0.25">
      <c r="A25" s="3" t="s">
        <v>4</v>
      </c>
      <c r="B25" s="4">
        <v>9763101</v>
      </c>
      <c r="C25" s="7">
        <v>10196999</v>
      </c>
      <c r="D25" s="7"/>
      <c r="E25" s="7">
        <f>SUM(B15:B24)-B25</f>
        <v>0</v>
      </c>
      <c r="F25" s="7">
        <f>SUM(C15:C24)-C25</f>
        <v>0</v>
      </c>
      <c r="G25" s="7"/>
      <c r="H25" s="7">
        <v>578872</v>
      </c>
      <c r="I25" s="7">
        <v>578805</v>
      </c>
      <c r="J25" s="4"/>
      <c r="K25" s="7">
        <f>SUM(H15:H24)-H25</f>
        <v>0</v>
      </c>
      <c r="L25" s="7">
        <f>SUM(I15:I24)-I25</f>
        <v>0</v>
      </c>
      <c r="M25" s="4"/>
    </row>
    <row r="26" spans="1:13" x14ac:dyDescent="0.25">
      <c r="A26" s="3" t="s">
        <v>41</v>
      </c>
      <c r="B26" s="4">
        <v>824970</v>
      </c>
      <c r="C26" s="7">
        <v>1132162</v>
      </c>
      <c r="D26" s="7"/>
      <c r="E26" s="7"/>
      <c r="F26" s="4"/>
      <c r="G26" s="4"/>
      <c r="H26" s="7">
        <v>54194</v>
      </c>
      <c r="I26" s="7">
        <v>59880</v>
      </c>
      <c r="J26" s="4"/>
      <c r="K26" s="4"/>
      <c r="L26" s="4"/>
      <c r="M26" s="4"/>
    </row>
    <row r="27" spans="1:13" x14ac:dyDescent="0.25">
      <c r="A27" s="3" t="s">
        <v>42</v>
      </c>
      <c r="B27" s="4">
        <v>753475</v>
      </c>
      <c r="C27" s="7">
        <v>598088</v>
      </c>
      <c r="D27" s="7"/>
      <c r="E27" s="7"/>
      <c r="F27" s="4"/>
      <c r="G27" s="4"/>
      <c r="H27" s="7">
        <v>46704</v>
      </c>
      <c r="I27" s="7">
        <v>38721</v>
      </c>
      <c r="J27" s="4"/>
      <c r="K27" s="4"/>
      <c r="L27" s="4"/>
      <c r="M27" s="4"/>
    </row>
    <row r="28" spans="1:13" x14ac:dyDescent="0.25">
      <c r="A28" s="3" t="s">
        <v>43</v>
      </c>
      <c r="B28" s="4">
        <v>806863</v>
      </c>
      <c r="C28" s="7">
        <v>836333</v>
      </c>
      <c r="D28" s="7"/>
      <c r="E28" s="7"/>
      <c r="F28" s="4"/>
      <c r="G28" s="4"/>
      <c r="H28" s="7">
        <v>56824</v>
      </c>
      <c r="I28" s="7">
        <v>49195</v>
      </c>
      <c r="J28" s="4"/>
      <c r="K28" s="4"/>
      <c r="L28" s="4"/>
      <c r="M28" s="4"/>
    </row>
    <row r="29" spans="1:13" x14ac:dyDescent="0.25">
      <c r="A29" s="3" t="s">
        <v>44</v>
      </c>
      <c r="B29" s="4">
        <v>742533</v>
      </c>
      <c r="C29" s="7">
        <v>780534</v>
      </c>
      <c r="D29" s="7"/>
      <c r="E29" s="7"/>
      <c r="F29" s="4"/>
      <c r="G29" s="4"/>
      <c r="H29" s="7">
        <v>49281</v>
      </c>
      <c r="I29" s="7">
        <v>45296</v>
      </c>
      <c r="J29" s="4"/>
      <c r="K29" s="4"/>
      <c r="L29" s="4"/>
      <c r="M29" s="4"/>
    </row>
    <row r="30" spans="1:13" x14ac:dyDescent="0.25">
      <c r="A30" s="3" t="s">
        <v>45</v>
      </c>
      <c r="B30" s="4">
        <v>645241</v>
      </c>
      <c r="C30" s="7">
        <v>680194</v>
      </c>
      <c r="D30" s="7"/>
      <c r="E30" s="7"/>
      <c r="F30" s="4"/>
      <c r="G30" s="4"/>
      <c r="H30" s="7">
        <v>45491</v>
      </c>
      <c r="I30" s="7">
        <v>40022</v>
      </c>
      <c r="J30" s="4"/>
      <c r="K30" s="4"/>
      <c r="L30" s="4"/>
      <c r="M30" s="4"/>
    </row>
    <row r="31" spans="1:13" x14ac:dyDescent="0.25">
      <c r="A31" s="3" t="s">
        <v>46</v>
      </c>
      <c r="B31" s="4">
        <v>741966</v>
      </c>
      <c r="C31" s="7">
        <v>1018833</v>
      </c>
      <c r="D31" s="7"/>
      <c r="E31" s="7"/>
      <c r="F31" s="4"/>
      <c r="G31" s="4"/>
      <c r="H31" s="7">
        <v>53148</v>
      </c>
      <c r="I31" s="7">
        <v>54036</v>
      </c>
      <c r="J31" s="4"/>
      <c r="K31" s="4"/>
      <c r="L31" s="4"/>
      <c r="M31" s="4"/>
    </row>
    <row r="32" spans="1:13" x14ac:dyDescent="0.25">
      <c r="A32" s="3" t="s">
        <v>47</v>
      </c>
      <c r="B32" s="4">
        <v>703248</v>
      </c>
      <c r="C32" s="7">
        <v>686783</v>
      </c>
      <c r="D32" s="7"/>
      <c r="E32" s="7"/>
      <c r="F32" s="4"/>
      <c r="G32" s="4"/>
      <c r="H32" s="7">
        <v>45214</v>
      </c>
      <c r="I32" s="7">
        <v>40690</v>
      </c>
      <c r="J32" s="4"/>
      <c r="K32" s="4"/>
      <c r="L32" s="4"/>
      <c r="M32" s="4"/>
    </row>
    <row r="33" spans="1:13" x14ac:dyDescent="0.25">
      <c r="A33" s="3" t="s">
        <v>48</v>
      </c>
      <c r="B33" s="4">
        <v>737207</v>
      </c>
      <c r="C33" s="7">
        <v>716992</v>
      </c>
      <c r="D33" s="7"/>
      <c r="E33" s="7"/>
      <c r="F33" s="4"/>
      <c r="G33" s="4"/>
      <c r="H33" s="7">
        <v>48727</v>
      </c>
      <c r="I33" s="7">
        <v>43812</v>
      </c>
      <c r="J33" s="4"/>
      <c r="K33" s="4"/>
      <c r="L33" s="4"/>
      <c r="M33" s="4"/>
    </row>
    <row r="34" spans="1:13" x14ac:dyDescent="0.25">
      <c r="A34" s="3" t="s">
        <v>49</v>
      </c>
      <c r="B34" s="4">
        <v>737482</v>
      </c>
      <c r="C34" s="7">
        <v>766016</v>
      </c>
      <c r="D34" s="7"/>
      <c r="E34" s="7"/>
      <c r="F34" s="4"/>
      <c r="G34" s="4"/>
      <c r="H34" s="7">
        <v>47532</v>
      </c>
      <c r="I34" s="7">
        <v>41722</v>
      </c>
      <c r="J34" s="4"/>
      <c r="K34" s="4"/>
      <c r="L34" s="4"/>
      <c r="M34" s="4"/>
    </row>
    <row r="35" spans="1:13" x14ac:dyDescent="0.25">
      <c r="A35" s="3" t="s">
        <v>50</v>
      </c>
      <c r="B35" s="4">
        <v>473199</v>
      </c>
      <c r="C35" s="7">
        <v>413701</v>
      </c>
      <c r="D35" s="7"/>
      <c r="E35" s="7"/>
      <c r="F35" s="4"/>
      <c r="G35" s="4"/>
      <c r="H35" s="7">
        <v>31802</v>
      </c>
      <c r="I35" s="7">
        <v>25588</v>
      </c>
      <c r="J35" s="4"/>
      <c r="K35" s="4"/>
      <c r="L35" s="4"/>
      <c r="M35" s="4"/>
    </row>
    <row r="36" spans="1:13" x14ac:dyDescent="0.25">
      <c r="A36" s="3" t="s">
        <v>5</v>
      </c>
      <c r="B36" s="4">
        <v>7166184</v>
      </c>
      <c r="C36" s="7">
        <v>7629636</v>
      </c>
      <c r="D36" s="7"/>
      <c r="E36" s="7">
        <f>SUM(B26:B35)-B36</f>
        <v>0</v>
      </c>
      <c r="F36" s="7">
        <f>SUM(C26:C35)-C36</f>
        <v>0</v>
      </c>
      <c r="G36" s="7"/>
      <c r="H36" s="7">
        <v>478917</v>
      </c>
      <c r="I36" s="7">
        <v>438962</v>
      </c>
      <c r="J36" s="4"/>
      <c r="K36" s="7">
        <f>SUM(H26:H35)-H36</f>
        <v>0</v>
      </c>
      <c r="L36" s="7">
        <f>SUM(I26:I35)-I36</f>
        <v>0</v>
      </c>
      <c r="M36" s="4"/>
    </row>
    <row r="37" spans="1:13" x14ac:dyDescent="0.25">
      <c r="A37" s="3" t="s">
        <v>51</v>
      </c>
      <c r="B37" s="4">
        <v>993418</v>
      </c>
      <c r="C37" s="7">
        <v>1310719</v>
      </c>
      <c r="D37" s="7"/>
      <c r="E37" s="7"/>
      <c r="F37" s="4"/>
      <c r="G37" s="4"/>
      <c r="H37" s="7">
        <v>62276</v>
      </c>
      <c r="I37" s="7">
        <v>66080</v>
      </c>
      <c r="J37" s="4"/>
      <c r="K37" s="4"/>
      <c r="L37" s="4"/>
      <c r="M37" s="4"/>
    </row>
    <row r="38" spans="1:13" x14ac:dyDescent="0.25">
      <c r="A38" s="3" t="s">
        <v>52</v>
      </c>
      <c r="B38" s="4">
        <v>375701</v>
      </c>
      <c r="C38" s="7">
        <v>319260</v>
      </c>
      <c r="D38" s="7"/>
      <c r="E38" s="7"/>
      <c r="F38" s="4"/>
      <c r="G38" s="4"/>
      <c r="H38" s="7">
        <v>26016</v>
      </c>
      <c r="I38" s="7">
        <v>20566</v>
      </c>
      <c r="J38" s="4"/>
      <c r="K38" s="4"/>
      <c r="L38" s="4"/>
      <c r="M38" s="4"/>
    </row>
    <row r="39" spans="1:13" x14ac:dyDescent="0.25">
      <c r="A39" s="3" t="s">
        <v>53</v>
      </c>
      <c r="B39" s="4">
        <v>565468</v>
      </c>
      <c r="C39" s="7">
        <v>549253</v>
      </c>
      <c r="D39" s="7"/>
      <c r="E39" s="7"/>
      <c r="F39" s="4"/>
      <c r="G39" s="4"/>
      <c r="H39" s="7">
        <v>37293</v>
      </c>
      <c r="I39" s="7">
        <v>32042</v>
      </c>
      <c r="J39" s="4"/>
      <c r="K39" s="4"/>
      <c r="L39" s="4"/>
      <c r="M39" s="4"/>
    </row>
    <row r="40" spans="1:13" x14ac:dyDescent="0.25">
      <c r="A40" s="3" t="s">
        <v>54</v>
      </c>
      <c r="B40" s="4">
        <v>537927</v>
      </c>
      <c r="C40" s="7">
        <v>497069</v>
      </c>
      <c r="D40" s="7"/>
      <c r="E40" s="7"/>
      <c r="F40" s="4"/>
      <c r="G40" s="4"/>
      <c r="H40" s="7">
        <v>35986</v>
      </c>
      <c r="I40" s="7">
        <v>30630</v>
      </c>
      <c r="J40" s="4"/>
      <c r="K40" s="4"/>
      <c r="L40" s="4"/>
      <c r="M40" s="4"/>
    </row>
    <row r="41" spans="1:13" x14ac:dyDescent="0.25">
      <c r="A41" s="3" t="s">
        <v>55</v>
      </c>
      <c r="B41" s="4">
        <v>403960</v>
      </c>
      <c r="C41" s="7">
        <v>412742</v>
      </c>
      <c r="D41" s="7"/>
      <c r="E41" s="7"/>
      <c r="F41" s="4"/>
      <c r="G41" s="4"/>
      <c r="H41" s="7">
        <v>28000</v>
      </c>
      <c r="I41" s="7">
        <v>25044</v>
      </c>
      <c r="J41" s="4"/>
      <c r="K41" s="4"/>
      <c r="L41" s="4"/>
      <c r="M41" s="4"/>
    </row>
    <row r="42" spans="1:13" x14ac:dyDescent="0.25">
      <c r="A42" s="3" t="s">
        <v>56</v>
      </c>
      <c r="B42" s="4">
        <v>762283</v>
      </c>
      <c r="C42" s="7">
        <v>903607</v>
      </c>
      <c r="D42" s="7"/>
      <c r="E42" s="7"/>
      <c r="F42" s="4"/>
      <c r="G42" s="4"/>
      <c r="H42" s="7">
        <v>51137</v>
      </c>
      <c r="I42" s="7">
        <v>48731</v>
      </c>
      <c r="J42" s="4"/>
      <c r="K42" s="4"/>
      <c r="L42" s="4"/>
      <c r="M42" s="4"/>
    </row>
    <row r="43" spans="1:13" x14ac:dyDescent="0.25">
      <c r="A43" s="3" t="s">
        <v>57</v>
      </c>
      <c r="B43" s="4">
        <v>532233</v>
      </c>
      <c r="C43" s="7">
        <v>511406</v>
      </c>
      <c r="D43" s="7"/>
      <c r="E43" s="7"/>
      <c r="F43" s="4"/>
      <c r="G43" s="4"/>
      <c r="H43" s="7">
        <v>38465</v>
      </c>
      <c r="I43" s="7">
        <v>32346</v>
      </c>
      <c r="J43" s="4"/>
      <c r="K43" s="4"/>
      <c r="L43" s="4"/>
      <c r="M43" s="4"/>
    </row>
    <row r="44" spans="1:13" x14ac:dyDescent="0.25">
      <c r="A44" s="3" t="s">
        <v>58</v>
      </c>
      <c r="B44" s="4">
        <v>544070</v>
      </c>
      <c r="C44" s="7">
        <v>507837</v>
      </c>
      <c r="D44" s="7"/>
      <c r="E44" s="7"/>
      <c r="F44" s="4"/>
      <c r="G44" s="4"/>
      <c r="H44" s="7">
        <v>40616</v>
      </c>
      <c r="I44" s="7">
        <v>34775</v>
      </c>
      <c r="J44" s="4"/>
      <c r="K44" s="4"/>
      <c r="L44" s="4"/>
      <c r="M44" s="4"/>
    </row>
    <row r="45" spans="1:13" x14ac:dyDescent="0.25">
      <c r="A45" s="3" t="s">
        <v>59</v>
      </c>
      <c r="B45" s="4">
        <v>590814</v>
      </c>
      <c r="C45" s="7">
        <v>571083</v>
      </c>
      <c r="D45" s="7"/>
      <c r="E45" s="7"/>
      <c r="F45" s="4"/>
      <c r="G45" s="4"/>
      <c r="H45" s="7">
        <v>41719</v>
      </c>
      <c r="I45" s="7">
        <v>34483</v>
      </c>
      <c r="J45" s="4"/>
      <c r="K45" s="4"/>
      <c r="L45" s="4"/>
      <c r="M45" s="4"/>
    </row>
    <row r="46" spans="1:13" x14ac:dyDescent="0.25">
      <c r="A46" s="3" t="s">
        <v>60</v>
      </c>
      <c r="B46" s="4">
        <v>371801</v>
      </c>
      <c r="C46" s="7">
        <v>319225</v>
      </c>
      <c r="D46" s="7"/>
      <c r="E46" s="7"/>
      <c r="F46" s="4"/>
      <c r="G46" s="4"/>
      <c r="H46" s="7">
        <v>27984</v>
      </c>
      <c r="I46" s="7">
        <v>21403</v>
      </c>
      <c r="J46" s="4"/>
      <c r="K46" s="4"/>
      <c r="L46" s="4"/>
      <c r="M46" s="4"/>
    </row>
    <row r="47" spans="1:13" x14ac:dyDescent="0.25">
      <c r="A47" s="3" t="s">
        <v>6</v>
      </c>
      <c r="B47" s="4">
        <v>5677675</v>
      </c>
      <c r="C47" s="7">
        <v>5902201</v>
      </c>
      <c r="D47" s="7"/>
      <c r="E47" s="7">
        <f>SUM(B37:B46)-B47</f>
        <v>0</v>
      </c>
      <c r="F47" s="7">
        <f>SUM(C37:C46)-C47</f>
        <v>0</v>
      </c>
      <c r="G47" s="7"/>
      <c r="H47" s="7">
        <v>389492</v>
      </c>
      <c r="I47" s="7">
        <v>346100</v>
      </c>
      <c r="J47" s="4"/>
      <c r="K47" s="7">
        <f>SUM(H37:H46)-H47</f>
        <v>0</v>
      </c>
      <c r="L47" s="7">
        <f>SUM(I37:I46)-I47</f>
        <v>0</v>
      </c>
      <c r="M47" s="4"/>
    </row>
    <row r="48" spans="1:13" x14ac:dyDescent="0.25">
      <c r="A48" s="3" t="s">
        <v>61</v>
      </c>
      <c r="B48" s="4">
        <v>845897</v>
      </c>
      <c r="C48" s="7">
        <v>1137285</v>
      </c>
      <c r="D48" s="7"/>
      <c r="E48" s="7"/>
      <c r="F48" s="4"/>
      <c r="G48" s="4"/>
      <c r="H48" s="7">
        <v>59608</v>
      </c>
      <c r="I48" s="7">
        <v>61859</v>
      </c>
      <c r="J48" s="4"/>
      <c r="K48" s="4"/>
      <c r="L48" s="4"/>
      <c r="M48" s="4"/>
    </row>
    <row r="49" spans="1:13" x14ac:dyDescent="0.25">
      <c r="A49" s="3" t="s">
        <v>62</v>
      </c>
      <c r="B49" s="4">
        <v>285755</v>
      </c>
      <c r="C49" s="7">
        <v>239131</v>
      </c>
      <c r="D49" s="7"/>
      <c r="E49" s="7"/>
      <c r="F49" s="4"/>
      <c r="G49" s="4"/>
      <c r="H49" s="7">
        <v>22314</v>
      </c>
      <c r="I49" s="7">
        <v>17053</v>
      </c>
      <c r="J49" s="4"/>
      <c r="K49" s="4"/>
      <c r="L49" s="4"/>
      <c r="M49" s="4"/>
    </row>
    <row r="50" spans="1:13" x14ac:dyDescent="0.25">
      <c r="A50" s="3" t="s">
        <v>63</v>
      </c>
      <c r="B50" s="4">
        <v>470392</v>
      </c>
      <c r="C50" s="7">
        <v>426651</v>
      </c>
      <c r="D50" s="7"/>
      <c r="E50" s="7"/>
      <c r="F50" s="4"/>
      <c r="G50" s="4"/>
      <c r="H50" s="7">
        <v>33497</v>
      </c>
      <c r="I50" s="7">
        <v>25975</v>
      </c>
      <c r="J50" s="4"/>
      <c r="K50" s="4"/>
      <c r="L50" s="4"/>
      <c r="M50" s="4"/>
    </row>
    <row r="51" spans="1:13" x14ac:dyDescent="0.25">
      <c r="A51" s="3" t="s">
        <v>64</v>
      </c>
      <c r="B51" s="4">
        <v>396143</v>
      </c>
      <c r="C51" s="7">
        <v>362891</v>
      </c>
      <c r="D51" s="7"/>
      <c r="E51" s="7"/>
      <c r="F51" s="4"/>
      <c r="G51" s="4"/>
      <c r="H51" s="7">
        <v>27567</v>
      </c>
      <c r="I51" s="7">
        <v>22906</v>
      </c>
      <c r="J51" s="4"/>
      <c r="K51" s="4"/>
      <c r="L51" s="4"/>
      <c r="M51" s="4"/>
    </row>
    <row r="52" spans="1:13" x14ac:dyDescent="0.25">
      <c r="A52" s="3" t="s">
        <v>65</v>
      </c>
      <c r="B52" s="4">
        <v>317679</v>
      </c>
      <c r="C52" s="7">
        <v>307635</v>
      </c>
      <c r="D52" s="7"/>
      <c r="E52" s="7"/>
      <c r="F52" s="4"/>
      <c r="G52" s="4"/>
      <c r="H52" s="7">
        <v>23966</v>
      </c>
      <c r="I52" s="7">
        <v>20598</v>
      </c>
      <c r="J52" s="4"/>
      <c r="K52" s="4"/>
      <c r="L52" s="4"/>
      <c r="M52" s="4"/>
    </row>
    <row r="53" spans="1:13" x14ac:dyDescent="0.25">
      <c r="A53" s="3" t="s">
        <v>66</v>
      </c>
      <c r="B53" s="4">
        <v>670439</v>
      </c>
      <c r="C53" s="7">
        <v>754688</v>
      </c>
      <c r="D53" s="7"/>
      <c r="E53" s="7"/>
      <c r="F53" s="4"/>
      <c r="G53" s="4"/>
      <c r="H53" s="7">
        <v>45170</v>
      </c>
      <c r="I53" s="7">
        <v>41672</v>
      </c>
      <c r="J53" s="4"/>
      <c r="K53" s="4"/>
      <c r="L53" s="4"/>
      <c r="M53" s="4"/>
    </row>
    <row r="54" spans="1:13" x14ac:dyDescent="0.25">
      <c r="A54" s="3" t="s">
        <v>67</v>
      </c>
      <c r="B54" s="4">
        <v>357420</v>
      </c>
      <c r="C54" s="7">
        <v>318900</v>
      </c>
      <c r="D54" s="7"/>
      <c r="E54" s="7"/>
      <c r="F54" s="4"/>
      <c r="G54" s="4"/>
      <c r="H54" s="7">
        <v>26260</v>
      </c>
      <c r="I54" s="7">
        <v>21153</v>
      </c>
      <c r="J54" s="4"/>
      <c r="K54" s="4"/>
      <c r="L54" s="4"/>
      <c r="M54" s="4"/>
    </row>
    <row r="55" spans="1:13" x14ac:dyDescent="0.25">
      <c r="A55" s="3" t="s">
        <v>68</v>
      </c>
      <c r="B55" s="4">
        <v>334129</v>
      </c>
      <c r="C55" s="7">
        <v>313291</v>
      </c>
      <c r="D55" s="7"/>
      <c r="E55" s="7"/>
      <c r="F55" s="4"/>
      <c r="G55" s="4"/>
      <c r="H55" s="7">
        <v>26483</v>
      </c>
      <c r="I55" s="7">
        <v>22061</v>
      </c>
      <c r="J55" s="4"/>
      <c r="K55" s="4"/>
      <c r="L55" s="4"/>
      <c r="M55" s="4"/>
    </row>
    <row r="56" spans="1:13" x14ac:dyDescent="0.25">
      <c r="A56" s="3" t="s">
        <v>69</v>
      </c>
      <c r="B56" s="4">
        <v>410605</v>
      </c>
      <c r="C56" s="7">
        <v>395746</v>
      </c>
      <c r="D56" s="7"/>
      <c r="E56" s="7"/>
      <c r="F56" s="4"/>
      <c r="G56" s="4"/>
      <c r="H56" s="7">
        <v>30247</v>
      </c>
      <c r="I56" s="7">
        <v>23987</v>
      </c>
      <c r="J56" s="4"/>
      <c r="K56" s="4"/>
      <c r="L56" s="4"/>
      <c r="M56" s="4"/>
    </row>
    <row r="57" spans="1:13" x14ac:dyDescent="0.25">
      <c r="A57" s="3" t="s">
        <v>70</v>
      </c>
      <c r="B57" s="4">
        <v>225880</v>
      </c>
      <c r="C57" s="7">
        <v>209479</v>
      </c>
      <c r="D57" s="7"/>
      <c r="E57" s="7"/>
      <c r="F57" s="4"/>
      <c r="G57" s="4"/>
      <c r="H57" s="7">
        <v>18906</v>
      </c>
      <c r="I57" s="7">
        <v>14380</v>
      </c>
      <c r="J57" s="4"/>
      <c r="K57" s="4"/>
      <c r="L57" s="4"/>
      <c r="M57" s="4"/>
    </row>
    <row r="58" spans="1:13" x14ac:dyDescent="0.25">
      <c r="A58" s="3" t="s">
        <v>7</v>
      </c>
      <c r="B58" s="4">
        <v>4314339</v>
      </c>
      <c r="C58" s="7">
        <v>4465697</v>
      </c>
      <c r="D58" s="7"/>
      <c r="E58" s="7">
        <f>SUM(B48:B57)-B58</f>
        <v>0</v>
      </c>
      <c r="F58" s="7">
        <f>SUM(C48:C57)-C58</f>
        <v>0</v>
      </c>
      <c r="G58" s="7"/>
      <c r="H58" s="7">
        <v>314018</v>
      </c>
      <c r="I58" s="7">
        <v>271644</v>
      </c>
      <c r="J58" s="4"/>
      <c r="K58" s="7">
        <f>SUM(H48:H57)-H58</f>
        <v>0</v>
      </c>
      <c r="L58" s="7">
        <f>SUM(I48:I57)-I58</f>
        <v>0</v>
      </c>
      <c r="M58" s="4"/>
    </row>
    <row r="59" spans="1:13" x14ac:dyDescent="0.25">
      <c r="A59" s="3" t="s">
        <v>71</v>
      </c>
      <c r="B59" s="4">
        <v>763548</v>
      </c>
      <c r="C59" s="7">
        <v>1027884</v>
      </c>
      <c r="D59" s="7"/>
      <c r="E59" s="7"/>
      <c r="F59" s="4"/>
      <c r="G59" s="4"/>
      <c r="H59" s="7">
        <v>49287</v>
      </c>
      <c r="I59" s="7">
        <v>54440</v>
      </c>
      <c r="J59" s="4"/>
      <c r="K59" s="4"/>
      <c r="L59" s="4"/>
      <c r="M59" s="4"/>
    </row>
    <row r="60" spans="1:13" x14ac:dyDescent="0.25">
      <c r="A60" s="3" t="s">
        <v>72</v>
      </c>
      <c r="B60" s="4">
        <v>168768</v>
      </c>
      <c r="C60" s="7">
        <v>159547</v>
      </c>
      <c r="D60" s="7"/>
      <c r="E60" s="7"/>
      <c r="F60" s="4"/>
      <c r="G60" s="4"/>
      <c r="H60" s="7">
        <v>14610</v>
      </c>
      <c r="I60" s="7">
        <v>11350</v>
      </c>
      <c r="J60" s="4"/>
      <c r="K60" s="4"/>
      <c r="L60" s="4"/>
      <c r="M60" s="4"/>
    </row>
    <row r="61" spans="1:13" x14ac:dyDescent="0.25">
      <c r="A61" s="3" t="s">
        <v>73</v>
      </c>
      <c r="B61" s="4">
        <v>291755</v>
      </c>
      <c r="C61" s="7">
        <v>278743</v>
      </c>
      <c r="D61" s="7"/>
      <c r="E61" s="7"/>
      <c r="F61" s="4"/>
      <c r="G61" s="4"/>
      <c r="H61" s="7">
        <v>21433</v>
      </c>
      <c r="I61" s="7">
        <v>16915</v>
      </c>
      <c r="J61" s="4"/>
      <c r="K61" s="4"/>
      <c r="L61" s="4"/>
      <c r="M61" s="4"/>
    </row>
    <row r="62" spans="1:13" x14ac:dyDescent="0.25">
      <c r="A62" s="3" t="s">
        <v>74</v>
      </c>
      <c r="B62" s="4">
        <v>241194</v>
      </c>
      <c r="C62" s="7">
        <v>238729</v>
      </c>
      <c r="D62" s="7"/>
      <c r="E62" s="7"/>
      <c r="F62" s="4"/>
      <c r="G62" s="4"/>
      <c r="H62" s="7">
        <v>18166</v>
      </c>
      <c r="I62" s="7">
        <v>14971</v>
      </c>
      <c r="J62" s="4"/>
      <c r="K62" s="4"/>
      <c r="L62" s="4"/>
      <c r="M62" s="4"/>
    </row>
    <row r="63" spans="1:13" x14ac:dyDescent="0.25">
      <c r="A63" s="3" t="s">
        <v>75</v>
      </c>
      <c r="B63" s="4">
        <v>194666</v>
      </c>
      <c r="C63" s="7">
        <v>208179</v>
      </c>
      <c r="D63" s="7"/>
      <c r="E63" s="7"/>
      <c r="F63" s="4"/>
      <c r="G63" s="4"/>
      <c r="H63" s="7">
        <v>16076</v>
      </c>
      <c r="I63" s="7">
        <v>14005</v>
      </c>
      <c r="J63" s="4"/>
      <c r="K63" s="4"/>
      <c r="L63" s="4"/>
      <c r="M63" s="4"/>
    </row>
    <row r="64" spans="1:13" x14ac:dyDescent="0.25">
      <c r="A64" s="3" t="s">
        <v>76</v>
      </c>
      <c r="B64" s="4">
        <v>509066</v>
      </c>
      <c r="C64" s="7">
        <v>554892</v>
      </c>
      <c r="D64" s="7"/>
      <c r="E64" s="7"/>
      <c r="F64" s="4"/>
      <c r="G64" s="4"/>
      <c r="H64" s="7">
        <v>33384</v>
      </c>
      <c r="I64" s="7">
        <v>30244</v>
      </c>
      <c r="J64" s="4"/>
      <c r="K64" s="4"/>
      <c r="L64" s="4"/>
      <c r="M64" s="4"/>
    </row>
    <row r="65" spans="1:13" x14ac:dyDescent="0.25">
      <c r="A65" s="2">
        <v>56</v>
      </c>
      <c r="B65" s="7">
        <v>267596</v>
      </c>
      <c r="C65" s="7">
        <v>242422</v>
      </c>
      <c r="D65" s="7"/>
      <c r="E65" s="7"/>
      <c r="F65" s="4"/>
      <c r="G65" s="4"/>
      <c r="H65" s="7">
        <v>21184</v>
      </c>
      <c r="I65" s="7">
        <v>16155</v>
      </c>
      <c r="J65" s="4"/>
      <c r="K65" s="4"/>
      <c r="L65" s="4"/>
      <c r="M65" s="4"/>
    </row>
    <row r="66" spans="1:13" x14ac:dyDescent="0.25">
      <c r="A66" s="2">
        <v>57</v>
      </c>
      <c r="B66" s="7">
        <v>214375</v>
      </c>
      <c r="C66" s="7">
        <v>194253</v>
      </c>
      <c r="D66" s="7"/>
      <c r="E66" s="7"/>
      <c r="F66" s="4"/>
      <c r="G66" s="4"/>
      <c r="H66" s="7">
        <v>18168</v>
      </c>
      <c r="I66" s="7">
        <v>14057</v>
      </c>
      <c r="J66" s="4"/>
      <c r="K66" s="4"/>
      <c r="L66" s="4"/>
      <c r="M66" s="4"/>
    </row>
    <row r="67" spans="1:13" x14ac:dyDescent="0.25">
      <c r="A67" s="2">
        <v>58</v>
      </c>
      <c r="B67" s="7">
        <v>234447</v>
      </c>
      <c r="C67" s="7">
        <v>220324</v>
      </c>
      <c r="D67" s="7"/>
      <c r="E67" s="7"/>
      <c r="F67" s="4"/>
      <c r="G67" s="4"/>
      <c r="H67" s="7">
        <v>17834</v>
      </c>
      <c r="I67" s="7">
        <v>13588</v>
      </c>
      <c r="J67" s="4"/>
      <c r="K67" s="4"/>
      <c r="L67" s="4"/>
      <c r="M67" s="4"/>
    </row>
    <row r="68" spans="1:13" x14ac:dyDescent="0.25">
      <c r="A68" s="2">
        <v>59</v>
      </c>
      <c r="B68" s="7">
        <v>129351</v>
      </c>
      <c r="C68" s="7">
        <v>116298</v>
      </c>
      <c r="D68" s="7"/>
      <c r="E68" s="7"/>
      <c r="F68" s="4"/>
      <c r="G68" s="4"/>
      <c r="H68" s="7">
        <v>11339</v>
      </c>
      <c r="I68" s="7">
        <v>9008</v>
      </c>
      <c r="J68" s="4"/>
      <c r="K68" s="4"/>
      <c r="L68" s="4"/>
      <c r="M68" s="4"/>
    </row>
    <row r="69" spans="1:13" x14ac:dyDescent="0.25">
      <c r="A69" s="2" t="s">
        <v>8</v>
      </c>
      <c r="B69" s="7">
        <v>3014766</v>
      </c>
      <c r="C69" s="7">
        <v>3241271</v>
      </c>
      <c r="D69" s="7"/>
      <c r="E69" s="7">
        <f>SUM(B59:B68)-B69</f>
        <v>0</v>
      </c>
      <c r="F69" s="7">
        <f>SUM(C59:C68)-C69</f>
        <v>0</v>
      </c>
      <c r="G69" s="7"/>
      <c r="H69" s="7">
        <v>221481</v>
      </c>
      <c r="I69" s="7">
        <v>194733</v>
      </c>
      <c r="J69" s="4"/>
      <c r="K69" s="7">
        <f>SUM(H59:H68)-H69</f>
        <v>0</v>
      </c>
      <c r="L69" s="7">
        <f>SUM(I59:I68)-I69</f>
        <v>0</v>
      </c>
      <c r="M69" s="4"/>
    </row>
    <row r="70" spans="1:13" x14ac:dyDescent="0.25">
      <c r="A70" s="2">
        <v>60</v>
      </c>
      <c r="B70" s="7">
        <v>643708</v>
      </c>
      <c r="C70" s="7">
        <v>861175</v>
      </c>
      <c r="D70" s="7"/>
      <c r="E70" s="7"/>
      <c r="F70" s="4"/>
      <c r="G70" s="4"/>
      <c r="H70" s="7">
        <v>42342</v>
      </c>
      <c r="I70" s="7">
        <v>46600</v>
      </c>
      <c r="J70" s="4"/>
      <c r="K70" s="4"/>
      <c r="L70" s="4"/>
      <c r="M70" s="4"/>
    </row>
    <row r="71" spans="1:13" x14ac:dyDescent="0.25">
      <c r="A71" s="2">
        <v>61</v>
      </c>
      <c r="B71" s="7">
        <v>108105</v>
      </c>
      <c r="C71" s="7">
        <v>95028</v>
      </c>
      <c r="D71" s="7"/>
      <c r="E71" s="7"/>
      <c r="F71" s="4"/>
      <c r="G71" s="4"/>
      <c r="H71" s="7">
        <v>10146</v>
      </c>
      <c r="I71" s="7">
        <v>7387</v>
      </c>
      <c r="J71" s="4"/>
      <c r="K71" s="4"/>
      <c r="L71" s="4"/>
      <c r="M71" s="4"/>
    </row>
    <row r="72" spans="1:13" x14ac:dyDescent="0.25">
      <c r="A72" s="2">
        <v>62</v>
      </c>
      <c r="B72" s="7">
        <v>182621</v>
      </c>
      <c r="C72" s="7">
        <v>166253</v>
      </c>
      <c r="D72" s="7"/>
      <c r="E72" s="7"/>
      <c r="F72" s="4"/>
      <c r="G72" s="4"/>
      <c r="H72" s="7">
        <v>14685</v>
      </c>
      <c r="I72" s="7">
        <v>10800</v>
      </c>
      <c r="J72" s="4"/>
      <c r="K72" s="4"/>
      <c r="L72" s="4"/>
      <c r="M72" s="4"/>
    </row>
    <row r="73" spans="1:13" x14ac:dyDescent="0.25">
      <c r="A73" s="2">
        <v>63</v>
      </c>
      <c r="B73" s="7">
        <v>163747</v>
      </c>
      <c r="C73" s="7">
        <v>149351</v>
      </c>
      <c r="D73" s="7"/>
      <c r="E73" s="7"/>
      <c r="F73" s="4"/>
      <c r="G73" s="4"/>
      <c r="H73" s="7">
        <v>13235</v>
      </c>
      <c r="I73" s="7">
        <v>9620</v>
      </c>
      <c r="J73" s="4"/>
      <c r="K73" s="4"/>
      <c r="L73" s="4"/>
      <c r="M73" s="4"/>
    </row>
    <row r="74" spans="1:13" x14ac:dyDescent="0.25">
      <c r="A74" s="2">
        <v>64</v>
      </c>
      <c r="B74" s="7">
        <v>113167</v>
      </c>
      <c r="C74" s="7">
        <v>110139</v>
      </c>
      <c r="D74" s="7"/>
      <c r="E74" s="7"/>
      <c r="F74" s="4"/>
      <c r="G74" s="4"/>
      <c r="H74" s="7">
        <v>9512</v>
      </c>
      <c r="I74" s="7">
        <v>7586</v>
      </c>
      <c r="J74" s="4"/>
      <c r="K74" s="4"/>
      <c r="L74" s="4"/>
      <c r="M74" s="4"/>
    </row>
    <row r="75" spans="1:13" x14ac:dyDescent="0.25">
      <c r="A75" s="2">
        <v>65</v>
      </c>
      <c r="B75" s="7">
        <v>336633</v>
      </c>
      <c r="C75" s="7">
        <v>372005</v>
      </c>
      <c r="D75" s="7"/>
      <c r="E75" s="7"/>
      <c r="F75" s="4"/>
      <c r="G75" s="4"/>
      <c r="H75" s="7">
        <v>20693</v>
      </c>
      <c r="I75" s="7">
        <v>18903</v>
      </c>
      <c r="J75" s="4"/>
      <c r="K75" s="4"/>
      <c r="L75" s="4"/>
      <c r="M75" s="4"/>
    </row>
    <row r="76" spans="1:13" x14ac:dyDescent="0.25">
      <c r="A76" s="2">
        <v>66</v>
      </c>
      <c r="B76" s="7">
        <v>129285</v>
      </c>
      <c r="C76" s="7">
        <v>105776</v>
      </c>
      <c r="D76" s="7"/>
      <c r="E76" s="7"/>
      <c r="F76" s="4"/>
      <c r="G76" s="4"/>
      <c r="H76" s="7">
        <v>11172</v>
      </c>
      <c r="I76" s="7">
        <v>7661</v>
      </c>
      <c r="J76" s="4"/>
      <c r="K76" s="4"/>
      <c r="L76" s="4"/>
      <c r="M76" s="4"/>
    </row>
    <row r="77" spans="1:13" x14ac:dyDescent="0.25">
      <c r="A77" s="2">
        <v>67</v>
      </c>
      <c r="B77" s="7">
        <v>136905</v>
      </c>
      <c r="C77" s="7">
        <v>118578</v>
      </c>
      <c r="D77" s="7"/>
      <c r="E77" s="7"/>
      <c r="F77" s="4"/>
      <c r="G77" s="4"/>
      <c r="H77" s="7">
        <v>11835</v>
      </c>
      <c r="I77" s="7">
        <v>8445</v>
      </c>
      <c r="J77" s="4"/>
      <c r="K77" s="4"/>
      <c r="L77" s="4"/>
      <c r="M77" s="4"/>
    </row>
    <row r="78" spans="1:13" x14ac:dyDescent="0.25">
      <c r="A78" s="2">
        <v>68</v>
      </c>
      <c r="B78" s="7">
        <v>106248</v>
      </c>
      <c r="C78" s="7">
        <v>102565</v>
      </c>
      <c r="D78" s="7"/>
      <c r="E78" s="7"/>
      <c r="F78" s="4"/>
      <c r="G78" s="4"/>
      <c r="H78" s="7">
        <v>7866</v>
      </c>
      <c r="I78" s="7">
        <v>6172</v>
      </c>
      <c r="J78" s="4"/>
      <c r="K78" s="4"/>
      <c r="L78" s="4"/>
      <c r="M78" s="4"/>
    </row>
    <row r="79" spans="1:13" x14ac:dyDescent="0.25">
      <c r="A79" s="2">
        <v>69</v>
      </c>
      <c r="B79" s="7">
        <v>56265</v>
      </c>
      <c r="C79" s="7">
        <v>56526</v>
      </c>
      <c r="D79" s="7"/>
      <c r="E79" s="7"/>
      <c r="F79" s="4"/>
      <c r="G79" s="4"/>
      <c r="H79" s="7">
        <v>4840</v>
      </c>
      <c r="I79" s="7">
        <v>3982</v>
      </c>
      <c r="J79" s="4"/>
      <c r="K79" s="4"/>
      <c r="L79" s="4"/>
      <c r="M79" s="4"/>
    </row>
    <row r="80" spans="1:13" x14ac:dyDescent="0.25">
      <c r="A80" s="2" t="s">
        <v>9</v>
      </c>
      <c r="B80" s="7">
        <v>1976684</v>
      </c>
      <c r="C80" s="7">
        <v>2137396</v>
      </c>
      <c r="D80" s="7"/>
      <c r="E80" s="7">
        <f>SUM(B70:B79)-B80</f>
        <v>0</v>
      </c>
      <c r="F80" s="7">
        <f>SUM(C70:C79)-C80</f>
        <v>0</v>
      </c>
      <c r="G80" s="7"/>
      <c r="H80" s="7">
        <v>146326</v>
      </c>
      <c r="I80" s="7">
        <v>127156</v>
      </c>
      <c r="J80" s="4"/>
      <c r="K80" s="7">
        <f>SUM(H70:H79)-H80</f>
        <v>0</v>
      </c>
      <c r="L80" s="7">
        <f>SUM(I70:I79)-I80</f>
        <v>0</v>
      </c>
      <c r="M80" s="4"/>
    </row>
    <row r="81" spans="1:13" x14ac:dyDescent="0.25">
      <c r="A81" s="2">
        <v>70</v>
      </c>
      <c r="B81" s="7">
        <v>355633</v>
      </c>
      <c r="C81" s="7">
        <v>492944</v>
      </c>
      <c r="D81" s="7"/>
      <c r="E81" s="7"/>
      <c r="F81" s="4"/>
      <c r="G81" s="4"/>
      <c r="H81" s="7">
        <v>23627</v>
      </c>
      <c r="I81" s="7">
        <v>29384</v>
      </c>
      <c r="J81" s="4"/>
      <c r="K81" s="4"/>
      <c r="L81" s="4"/>
      <c r="M81" s="4"/>
    </row>
    <row r="82" spans="1:13" x14ac:dyDescent="0.25">
      <c r="A82" s="2">
        <v>71</v>
      </c>
      <c r="B82" s="7">
        <v>43447</v>
      </c>
      <c r="C82" s="7">
        <v>40219</v>
      </c>
      <c r="D82" s="7"/>
      <c r="E82" s="7"/>
      <c r="F82" s="4"/>
      <c r="G82" s="4"/>
      <c r="H82" s="7">
        <v>3915</v>
      </c>
      <c r="I82" s="7">
        <v>3073</v>
      </c>
      <c r="J82" s="4"/>
      <c r="K82" s="4"/>
      <c r="L82" s="4"/>
      <c r="M82" s="4"/>
    </row>
    <row r="83" spans="1:13" x14ac:dyDescent="0.25">
      <c r="A83" s="2">
        <v>72</v>
      </c>
      <c r="B83" s="7">
        <v>74715</v>
      </c>
      <c r="C83" s="7">
        <v>67526</v>
      </c>
      <c r="D83" s="7"/>
      <c r="E83" s="7"/>
      <c r="F83" s="4"/>
      <c r="G83" s="4"/>
      <c r="H83" s="7">
        <v>5915</v>
      </c>
      <c r="I83" s="7">
        <v>4328</v>
      </c>
      <c r="J83" s="4"/>
      <c r="K83" s="4"/>
      <c r="L83" s="4"/>
      <c r="M83" s="4"/>
    </row>
    <row r="84" spans="1:13" x14ac:dyDescent="0.25">
      <c r="A84" s="2">
        <v>73</v>
      </c>
      <c r="B84" s="7">
        <v>58130</v>
      </c>
      <c r="C84" s="7">
        <v>52418</v>
      </c>
      <c r="D84" s="7"/>
      <c r="E84" s="7"/>
      <c r="F84" s="4"/>
      <c r="G84" s="4"/>
      <c r="H84" s="7">
        <v>4771</v>
      </c>
      <c r="I84" s="7">
        <v>3556</v>
      </c>
      <c r="J84" s="4"/>
      <c r="K84" s="4"/>
      <c r="L84" s="4"/>
      <c r="M84" s="4"/>
    </row>
    <row r="85" spans="1:13" x14ac:dyDescent="0.25">
      <c r="A85" s="2">
        <v>74</v>
      </c>
      <c r="B85" s="7">
        <v>42652</v>
      </c>
      <c r="C85" s="7">
        <v>38230</v>
      </c>
      <c r="D85" s="7"/>
      <c r="E85" s="7"/>
      <c r="F85" s="4"/>
      <c r="G85" s="4"/>
      <c r="H85" s="7">
        <v>3688</v>
      </c>
      <c r="I85" s="7">
        <v>2941</v>
      </c>
      <c r="J85" s="4"/>
      <c r="K85" s="4"/>
      <c r="L85" s="4"/>
      <c r="M85" s="4"/>
    </row>
    <row r="86" spans="1:13" x14ac:dyDescent="0.25">
      <c r="A86" s="2">
        <v>75</v>
      </c>
      <c r="B86" s="7">
        <v>149460</v>
      </c>
      <c r="C86" s="7">
        <v>151133</v>
      </c>
      <c r="D86" s="7"/>
      <c r="E86" s="7"/>
      <c r="F86" s="4"/>
      <c r="G86" s="4"/>
      <c r="H86" s="7">
        <v>9322</v>
      </c>
      <c r="I86" s="7">
        <v>8289</v>
      </c>
      <c r="J86" s="4"/>
      <c r="K86" s="4"/>
      <c r="L86" s="4"/>
      <c r="M86" s="4"/>
    </row>
    <row r="87" spans="1:13" x14ac:dyDescent="0.25">
      <c r="A87" s="2">
        <v>76</v>
      </c>
      <c r="B87" s="7">
        <v>45629</v>
      </c>
      <c r="C87" s="7">
        <v>36698</v>
      </c>
      <c r="D87" s="7"/>
      <c r="E87" s="7"/>
      <c r="F87" s="4"/>
      <c r="G87" s="4"/>
      <c r="H87" s="7">
        <v>4045</v>
      </c>
      <c r="I87" s="7">
        <v>2747</v>
      </c>
      <c r="J87" s="4"/>
      <c r="K87" s="4"/>
      <c r="L87" s="4"/>
      <c r="M87" s="4"/>
    </row>
    <row r="88" spans="1:13" x14ac:dyDescent="0.25">
      <c r="A88" s="2">
        <v>77</v>
      </c>
      <c r="B88" s="7">
        <v>37136</v>
      </c>
      <c r="C88" s="7">
        <v>29059</v>
      </c>
      <c r="D88" s="7"/>
      <c r="E88" s="7"/>
      <c r="F88" s="4"/>
      <c r="G88" s="4"/>
      <c r="H88" s="7">
        <v>3689</v>
      </c>
      <c r="I88" s="7">
        <v>2404</v>
      </c>
      <c r="J88" s="4"/>
      <c r="K88" s="4"/>
      <c r="L88" s="4"/>
      <c r="M88" s="4"/>
    </row>
    <row r="89" spans="1:13" x14ac:dyDescent="0.25">
      <c r="A89" s="2">
        <v>78</v>
      </c>
      <c r="B89" s="7">
        <v>42429</v>
      </c>
      <c r="C89" s="7">
        <v>36768</v>
      </c>
      <c r="D89" s="7"/>
      <c r="E89" s="7"/>
      <c r="F89" s="4"/>
      <c r="G89" s="4"/>
      <c r="H89" s="7">
        <v>3638</v>
      </c>
      <c r="I89" s="7">
        <v>2611</v>
      </c>
      <c r="J89" s="4"/>
      <c r="K89" s="4"/>
      <c r="L89" s="4"/>
      <c r="M89" s="4"/>
    </row>
    <row r="90" spans="1:13" x14ac:dyDescent="0.25">
      <c r="A90" s="2">
        <v>79</v>
      </c>
      <c r="B90" s="7">
        <v>17313</v>
      </c>
      <c r="C90" s="7">
        <v>15690</v>
      </c>
      <c r="D90" s="7"/>
      <c r="E90" s="7"/>
      <c r="F90" s="4"/>
      <c r="G90" s="4"/>
      <c r="H90" s="7">
        <v>1737</v>
      </c>
      <c r="I90" s="7">
        <v>1260</v>
      </c>
      <c r="J90" s="4"/>
      <c r="K90" s="4"/>
      <c r="L90" s="4"/>
      <c r="M90" s="4"/>
    </row>
    <row r="91" spans="1:13" x14ac:dyDescent="0.25">
      <c r="A91" s="2" t="s">
        <v>79</v>
      </c>
      <c r="B91" s="7">
        <v>866544</v>
      </c>
      <c r="C91" s="7">
        <v>960685</v>
      </c>
      <c r="D91" s="7"/>
      <c r="E91" s="7">
        <f>SUM(B81:B90)-B91</f>
        <v>0</v>
      </c>
      <c r="F91" s="7">
        <f>SUM(C81:C90)-C91</f>
        <v>0</v>
      </c>
      <c r="G91" s="7"/>
      <c r="H91" s="7">
        <v>64347</v>
      </c>
      <c r="I91" s="7">
        <v>60593</v>
      </c>
      <c r="J91" s="4"/>
      <c r="K91" s="7">
        <f>SUM(H81:H90)-H91</f>
        <v>0</v>
      </c>
      <c r="L91" s="7">
        <f>SUM(I81:I90)-I91</f>
        <v>0</v>
      </c>
      <c r="M91" s="4"/>
    </row>
    <row r="92" spans="1:13" x14ac:dyDescent="0.25">
      <c r="A92" s="2">
        <v>80</v>
      </c>
      <c r="B92" s="7">
        <v>131060</v>
      </c>
      <c r="C92" s="7">
        <v>163226</v>
      </c>
      <c r="D92" s="7"/>
      <c r="E92" s="7"/>
      <c r="F92" s="4"/>
      <c r="G92" s="4"/>
      <c r="H92" s="7">
        <v>10307</v>
      </c>
      <c r="I92" s="7">
        <v>11875</v>
      </c>
      <c r="J92" s="4"/>
      <c r="K92" s="4"/>
      <c r="L92" s="4"/>
      <c r="M92" s="4"/>
    </row>
    <row r="93" spans="1:13" x14ac:dyDescent="0.25">
      <c r="A93" s="2">
        <v>81</v>
      </c>
      <c r="B93" s="7">
        <v>10969</v>
      </c>
      <c r="C93" s="7">
        <v>9583</v>
      </c>
      <c r="D93" s="7"/>
      <c r="E93" s="7"/>
      <c r="F93" s="4"/>
      <c r="G93" s="4"/>
      <c r="H93" s="7">
        <v>1208</v>
      </c>
      <c r="I93" s="7">
        <v>875</v>
      </c>
      <c r="J93" s="4"/>
      <c r="K93" s="4"/>
      <c r="L93" s="4"/>
      <c r="M93" s="4"/>
    </row>
    <row r="94" spans="1:13" x14ac:dyDescent="0.25">
      <c r="A94" s="2">
        <v>82</v>
      </c>
      <c r="B94" s="7">
        <v>16538</v>
      </c>
      <c r="C94" s="7">
        <v>14100</v>
      </c>
      <c r="D94" s="7"/>
      <c r="E94" s="7"/>
      <c r="F94" s="4"/>
      <c r="G94" s="4"/>
      <c r="H94" s="7">
        <v>1515</v>
      </c>
      <c r="I94" s="7">
        <v>1147</v>
      </c>
      <c r="J94" s="4"/>
      <c r="K94" s="4"/>
      <c r="L94" s="4"/>
      <c r="M94" s="4"/>
    </row>
    <row r="95" spans="1:13" x14ac:dyDescent="0.25">
      <c r="A95" s="2">
        <v>83</v>
      </c>
      <c r="B95" s="7">
        <v>11952</v>
      </c>
      <c r="C95" s="7">
        <v>10103</v>
      </c>
      <c r="D95" s="7"/>
      <c r="E95" s="7"/>
      <c r="F95" s="4"/>
      <c r="G95" s="4"/>
      <c r="H95" s="7">
        <v>1194</v>
      </c>
      <c r="I95" s="7">
        <v>872</v>
      </c>
      <c r="J95" s="4"/>
      <c r="K95" s="4"/>
      <c r="L95" s="4"/>
      <c r="M95" s="4"/>
    </row>
    <row r="96" spans="1:13" x14ac:dyDescent="0.25">
      <c r="A96" s="2">
        <v>84</v>
      </c>
      <c r="B96" s="7">
        <v>10947</v>
      </c>
      <c r="C96" s="7">
        <v>8651</v>
      </c>
      <c r="D96" s="7"/>
      <c r="E96" s="7"/>
      <c r="F96" s="4"/>
      <c r="G96" s="4"/>
      <c r="H96" s="7">
        <v>1047</v>
      </c>
      <c r="I96" s="7">
        <v>661</v>
      </c>
      <c r="J96" s="4"/>
      <c r="K96" s="4"/>
      <c r="L96" s="4"/>
      <c r="M96" s="4"/>
    </row>
    <row r="97" spans="1:13" x14ac:dyDescent="0.25">
      <c r="A97" s="2">
        <v>85</v>
      </c>
      <c r="B97" s="7">
        <v>33818</v>
      </c>
      <c r="C97" s="7">
        <v>32819</v>
      </c>
      <c r="D97" s="7"/>
      <c r="E97" s="7"/>
      <c r="F97" s="4"/>
      <c r="G97" s="4"/>
      <c r="H97" s="7">
        <v>2628</v>
      </c>
      <c r="I97" s="7">
        <v>2066</v>
      </c>
      <c r="J97" s="4"/>
      <c r="K97" s="4"/>
      <c r="L97" s="4"/>
      <c r="M97" s="4"/>
    </row>
    <row r="98" spans="1:13" x14ac:dyDescent="0.25">
      <c r="A98" s="2">
        <v>86</v>
      </c>
      <c r="B98" s="7">
        <v>8708</v>
      </c>
      <c r="C98" s="7">
        <v>6685</v>
      </c>
      <c r="D98" s="7"/>
      <c r="E98" s="7"/>
      <c r="F98" s="4"/>
      <c r="G98" s="4"/>
      <c r="H98" s="7">
        <v>949</v>
      </c>
      <c r="I98" s="7">
        <v>579</v>
      </c>
      <c r="J98" s="4"/>
      <c r="K98" s="4"/>
      <c r="L98" s="4"/>
      <c r="M98" s="4"/>
    </row>
    <row r="99" spans="1:13" x14ac:dyDescent="0.25">
      <c r="A99" s="2">
        <v>87</v>
      </c>
      <c r="B99" s="7">
        <v>7036</v>
      </c>
      <c r="C99" s="7">
        <v>5869</v>
      </c>
      <c r="D99" s="7"/>
      <c r="E99" s="7"/>
      <c r="F99" s="4"/>
      <c r="G99" s="4"/>
      <c r="H99" s="7">
        <v>833</v>
      </c>
      <c r="I99" s="7">
        <v>519</v>
      </c>
      <c r="J99" s="4"/>
      <c r="K99" s="4"/>
      <c r="L99" s="4"/>
      <c r="M99" s="4"/>
    </row>
    <row r="100" spans="1:13" x14ac:dyDescent="0.25">
      <c r="A100" s="2">
        <v>88</v>
      </c>
      <c r="B100" s="7">
        <v>5592</v>
      </c>
      <c r="C100" s="7">
        <v>4856</v>
      </c>
      <c r="D100" s="7"/>
      <c r="E100" s="7"/>
      <c r="F100" s="4"/>
      <c r="G100" s="4"/>
      <c r="H100" s="7">
        <v>721</v>
      </c>
      <c r="I100" s="7">
        <v>486</v>
      </c>
      <c r="J100" s="4"/>
      <c r="K100" s="4"/>
      <c r="L100" s="4"/>
      <c r="M100" s="4"/>
    </row>
    <row r="101" spans="1:13" x14ac:dyDescent="0.25">
      <c r="A101" s="2">
        <v>89</v>
      </c>
      <c r="B101" s="7">
        <v>3253</v>
      </c>
      <c r="C101" s="7">
        <v>3295</v>
      </c>
      <c r="D101" s="7"/>
      <c r="E101" s="7"/>
      <c r="F101" s="4"/>
      <c r="G101" s="4"/>
      <c r="H101" s="7">
        <v>482</v>
      </c>
      <c r="I101" s="7">
        <v>355</v>
      </c>
      <c r="J101" s="4"/>
      <c r="K101" s="4"/>
      <c r="L101" s="4"/>
      <c r="M101" s="4"/>
    </row>
    <row r="102" spans="1:13" x14ac:dyDescent="0.25">
      <c r="A102" s="2" t="s">
        <v>80</v>
      </c>
      <c r="B102" s="7">
        <v>239873</v>
      </c>
      <c r="C102" s="7">
        <v>259187</v>
      </c>
      <c r="D102" s="7"/>
      <c r="E102" s="7">
        <f>SUM(B92:B101)-B102</f>
        <v>0</v>
      </c>
      <c r="F102" s="7">
        <f>SUM(C92:C101)-C102</f>
        <v>0</v>
      </c>
      <c r="G102" s="7"/>
      <c r="H102" s="7">
        <v>20884</v>
      </c>
      <c r="I102" s="7">
        <v>19435</v>
      </c>
      <c r="J102" s="4"/>
      <c r="K102" s="7">
        <f>SUM(H92:H101)-H102</f>
        <v>0</v>
      </c>
      <c r="L102" s="7">
        <f>SUM(I92:I101)-I102</f>
        <v>0</v>
      </c>
      <c r="M102" s="4"/>
    </row>
    <row r="103" spans="1:13" x14ac:dyDescent="0.25">
      <c r="A103" s="2">
        <v>90</v>
      </c>
      <c r="B103" s="7">
        <v>22012</v>
      </c>
      <c r="C103" s="7">
        <v>29902</v>
      </c>
      <c r="D103" s="7"/>
      <c r="E103" s="7"/>
      <c r="F103" s="4"/>
      <c r="G103" s="4"/>
      <c r="H103" s="7">
        <v>2464</v>
      </c>
      <c r="I103" s="7">
        <v>2723</v>
      </c>
      <c r="J103" s="4"/>
      <c r="K103" s="4"/>
      <c r="L103" s="4"/>
      <c r="M103" s="4"/>
    </row>
    <row r="104" spans="1:13" x14ac:dyDescent="0.25">
      <c r="A104" s="2">
        <v>91</v>
      </c>
      <c r="B104" s="7">
        <v>1301</v>
      </c>
      <c r="C104" s="7">
        <v>1367</v>
      </c>
      <c r="D104" s="7"/>
      <c r="E104" s="7"/>
      <c r="F104" s="4"/>
      <c r="G104" s="4"/>
      <c r="H104" s="7">
        <v>259</v>
      </c>
      <c r="I104" s="7">
        <v>162</v>
      </c>
      <c r="J104" s="4"/>
      <c r="K104" s="4"/>
      <c r="L104" s="4"/>
      <c r="M104" s="4"/>
    </row>
    <row r="105" spans="1:13" x14ac:dyDescent="0.25">
      <c r="A105" s="2">
        <v>92</v>
      </c>
      <c r="B105" s="7">
        <v>1675</v>
      </c>
      <c r="C105" s="7">
        <v>1816</v>
      </c>
      <c r="D105" s="7"/>
      <c r="E105" s="7"/>
      <c r="F105" s="4"/>
      <c r="G105" s="4"/>
      <c r="H105" s="7">
        <v>266</v>
      </c>
      <c r="I105" s="7">
        <v>181</v>
      </c>
      <c r="J105" s="4"/>
      <c r="K105" s="4"/>
      <c r="L105" s="4"/>
      <c r="M105" s="4"/>
    </row>
    <row r="106" spans="1:13" x14ac:dyDescent="0.25">
      <c r="A106" s="2">
        <v>93</v>
      </c>
      <c r="B106" s="7">
        <v>1425</v>
      </c>
      <c r="C106" s="7">
        <v>1386</v>
      </c>
      <c r="D106" s="7"/>
      <c r="E106" s="7"/>
      <c r="F106" s="4"/>
      <c r="G106" s="4"/>
      <c r="H106" s="7">
        <v>245</v>
      </c>
      <c r="I106" s="7">
        <v>141</v>
      </c>
      <c r="J106" s="4"/>
      <c r="K106" s="4"/>
      <c r="L106" s="4"/>
      <c r="M106" s="4"/>
    </row>
    <row r="107" spans="1:13" x14ac:dyDescent="0.25">
      <c r="A107" s="2">
        <v>94</v>
      </c>
      <c r="B107" s="7">
        <v>1192</v>
      </c>
      <c r="C107" s="7">
        <v>1041</v>
      </c>
      <c r="D107" s="7"/>
      <c r="E107" s="7"/>
      <c r="F107" s="4"/>
      <c r="G107" s="4"/>
      <c r="H107" s="7">
        <v>199</v>
      </c>
      <c r="I107" s="7">
        <v>101</v>
      </c>
      <c r="J107" s="4"/>
      <c r="K107" s="4"/>
      <c r="L107" s="4"/>
      <c r="M107" s="4"/>
    </row>
    <row r="108" spans="1:13" x14ac:dyDescent="0.25">
      <c r="A108" s="2">
        <v>95</v>
      </c>
      <c r="B108" s="7">
        <v>4720</v>
      </c>
      <c r="C108" s="7">
        <v>5317</v>
      </c>
      <c r="D108" s="7"/>
      <c r="E108" s="7"/>
      <c r="F108" s="4"/>
      <c r="G108" s="4"/>
      <c r="H108" s="7">
        <v>524</v>
      </c>
      <c r="I108" s="7">
        <v>428</v>
      </c>
      <c r="J108" s="4"/>
      <c r="K108" s="4"/>
      <c r="L108" s="4"/>
      <c r="M108" s="4"/>
    </row>
    <row r="109" spans="1:13" x14ac:dyDescent="0.25">
      <c r="A109" s="2">
        <v>96</v>
      </c>
      <c r="B109" s="7">
        <v>1839</v>
      </c>
      <c r="C109" s="7">
        <v>1646</v>
      </c>
      <c r="D109" s="7"/>
      <c r="E109" s="7"/>
      <c r="F109" s="4"/>
      <c r="G109" s="4"/>
      <c r="H109" s="7">
        <v>315</v>
      </c>
      <c r="I109" s="7">
        <v>181</v>
      </c>
      <c r="J109" s="4"/>
      <c r="K109" s="4"/>
      <c r="L109" s="4"/>
      <c r="M109" s="4"/>
    </row>
    <row r="110" spans="1:13" x14ac:dyDescent="0.25">
      <c r="A110" s="2">
        <v>97</v>
      </c>
      <c r="B110" s="7">
        <v>1432</v>
      </c>
      <c r="C110" s="7">
        <v>1213</v>
      </c>
      <c r="D110" s="7"/>
      <c r="E110" s="7"/>
      <c r="F110" s="4"/>
      <c r="G110" s="4"/>
      <c r="H110" s="7">
        <v>206</v>
      </c>
      <c r="I110" s="7">
        <v>107</v>
      </c>
      <c r="J110" s="4"/>
      <c r="K110" s="4"/>
      <c r="L110" s="4"/>
      <c r="M110" s="4"/>
    </row>
    <row r="111" spans="1:13" x14ac:dyDescent="0.25">
      <c r="A111" s="2">
        <v>98</v>
      </c>
      <c r="B111" s="7">
        <v>1400</v>
      </c>
      <c r="C111" s="7">
        <v>1331</v>
      </c>
      <c r="D111" s="7"/>
      <c r="E111" s="7"/>
      <c r="F111" s="4"/>
      <c r="G111" s="4"/>
      <c r="H111" s="7">
        <v>183</v>
      </c>
      <c r="I111" s="7">
        <v>106</v>
      </c>
      <c r="J111" s="4"/>
      <c r="K111" s="4"/>
      <c r="L111" s="4"/>
      <c r="M111" s="4"/>
    </row>
    <row r="112" spans="1:13" x14ac:dyDescent="0.25">
      <c r="A112" s="2">
        <v>99</v>
      </c>
      <c r="B112" s="7">
        <v>609</v>
      </c>
      <c r="C112" s="7">
        <v>699</v>
      </c>
      <c r="D112" s="7"/>
      <c r="E112" s="7"/>
      <c r="F112" s="4"/>
      <c r="G112" s="4"/>
      <c r="H112" s="7">
        <v>108</v>
      </c>
      <c r="I112" s="7">
        <v>88</v>
      </c>
      <c r="J112" s="4"/>
      <c r="K112" s="4"/>
      <c r="L112" s="4"/>
      <c r="M112" s="4"/>
    </row>
    <row r="113" spans="1:13" x14ac:dyDescent="0.25">
      <c r="A113" s="2" t="s">
        <v>81</v>
      </c>
      <c r="B113" s="7">
        <v>37605</v>
      </c>
      <c r="C113" s="7">
        <v>45718</v>
      </c>
      <c r="D113" s="7"/>
      <c r="E113" s="7">
        <f>SUM(B103:B112)-B113</f>
        <v>0</v>
      </c>
      <c r="F113" s="7">
        <f>SUM(C103:C112)-C113</f>
        <v>0</v>
      </c>
      <c r="G113" s="7"/>
      <c r="H113" s="7">
        <v>4769</v>
      </c>
      <c r="I113" s="7">
        <v>4218</v>
      </c>
      <c r="J113" s="4"/>
      <c r="K113" s="7">
        <f>SUM(H103:H112)-H113</f>
        <v>0</v>
      </c>
      <c r="L113" s="7">
        <f>SUM(I103:I112)-I113</f>
        <v>0</v>
      </c>
      <c r="M113" s="4"/>
    </row>
    <row r="114" spans="1:13" x14ac:dyDescent="0.25">
      <c r="A114" s="2">
        <v>100</v>
      </c>
      <c r="B114" s="7">
        <v>2044</v>
      </c>
      <c r="C114" s="7">
        <v>3241</v>
      </c>
      <c r="D114" s="7"/>
      <c r="E114" s="7"/>
      <c r="F114" s="4"/>
      <c r="G114" s="4"/>
      <c r="H114" s="7">
        <v>356</v>
      </c>
      <c r="I114" s="7">
        <v>394</v>
      </c>
      <c r="J114" s="4"/>
      <c r="K114" s="4"/>
      <c r="L114" s="4"/>
      <c r="M114" s="4"/>
    </row>
    <row r="115" spans="1:13" x14ac:dyDescent="0.25">
      <c r="A115" s="2">
        <v>101</v>
      </c>
      <c r="B115" s="7">
        <v>230</v>
      </c>
      <c r="C115" s="7">
        <v>258</v>
      </c>
      <c r="D115" s="7"/>
      <c r="E115" s="7"/>
      <c r="F115" s="4"/>
      <c r="G115" s="4"/>
      <c r="H115" s="7">
        <v>41</v>
      </c>
      <c r="I115" s="7">
        <v>36</v>
      </c>
      <c r="J115" s="4"/>
      <c r="K115" s="4"/>
      <c r="L115" s="4"/>
      <c r="M115" s="4"/>
    </row>
    <row r="116" spans="1:13" x14ac:dyDescent="0.25">
      <c r="A116" s="2">
        <v>102</v>
      </c>
      <c r="B116" s="7">
        <v>278</v>
      </c>
      <c r="C116" s="7">
        <v>358</v>
      </c>
      <c r="D116" s="7"/>
      <c r="E116" s="7"/>
      <c r="F116" s="4"/>
      <c r="G116" s="4"/>
      <c r="H116" s="7">
        <v>74</v>
      </c>
      <c r="I116" s="7">
        <v>52</v>
      </c>
      <c r="J116" s="4"/>
      <c r="K116" s="4"/>
      <c r="L116" s="4"/>
      <c r="M116" s="4"/>
    </row>
    <row r="117" spans="1:13" x14ac:dyDescent="0.25">
      <c r="A117" s="2">
        <v>103</v>
      </c>
      <c r="B117" s="7">
        <v>202</v>
      </c>
      <c r="C117" s="7">
        <v>226</v>
      </c>
      <c r="D117" s="7"/>
      <c r="E117" s="7"/>
      <c r="F117" s="4"/>
      <c r="G117" s="4"/>
      <c r="H117" s="7">
        <v>53</v>
      </c>
      <c r="I117" s="7">
        <v>26</v>
      </c>
      <c r="J117" s="4"/>
      <c r="K117" s="4"/>
      <c r="L117" s="4"/>
      <c r="M117" s="4"/>
    </row>
    <row r="118" spans="1:13" x14ac:dyDescent="0.25">
      <c r="A118" s="2">
        <v>104</v>
      </c>
      <c r="B118" s="7">
        <v>125</v>
      </c>
      <c r="C118" s="7">
        <v>143</v>
      </c>
      <c r="D118" s="7"/>
      <c r="E118" s="7"/>
      <c r="F118" s="4"/>
      <c r="G118" s="4"/>
      <c r="H118" s="7">
        <v>24</v>
      </c>
      <c r="I118" s="7">
        <v>22</v>
      </c>
      <c r="J118" s="4"/>
      <c r="K118" s="4"/>
      <c r="L118" s="4"/>
      <c r="M118" s="4"/>
    </row>
    <row r="119" spans="1:13" x14ac:dyDescent="0.25">
      <c r="A119" s="2">
        <v>105</v>
      </c>
      <c r="B119" s="7">
        <v>249</v>
      </c>
      <c r="C119" s="7">
        <v>350</v>
      </c>
      <c r="D119" s="7"/>
      <c r="E119" s="7"/>
      <c r="F119" s="4"/>
      <c r="G119" s="4"/>
      <c r="H119" s="7">
        <v>69</v>
      </c>
      <c r="I119" s="7">
        <v>35</v>
      </c>
      <c r="J119" s="4"/>
      <c r="K119" s="4"/>
      <c r="L119" s="4"/>
      <c r="M119" s="4"/>
    </row>
    <row r="120" spans="1:13" x14ac:dyDescent="0.25">
      <c r="A120" s="2">
        <v>106</v>
      </c>
      <c r="B120" s="7">
        <v>83</v>
      </c>
      <c r="C120" s="7">
        <v>91</v>
      </c>
      <c r="D120" s="7"/>
      <c r="E120" s="7"/>
      <c r="F120" s="4"/>
      <c r="G120" s="4"/>
      <c r="H120" s="7">
        <v>32</v>
      </c>
      <c r="I120" s="7">
        <v>19</v>
      </c>
      <c r="J120" s="4"/>
      <c r="K120" s="4"/>
      <c r="L120" s="4"/>
      <c r="M120" s="4"/>
    </row>
    <row r="121" spans="1:13" x14ac:dyDescent="0.25">
      <c r="A121" s="2">
        <v>107</v>
      </c>
      <c r="B121" s="7">
        <v>70</v>
      </c>
      <c r="C121" s="7">
        <v>69</v>
      </c>
      <c r="D121" s="7"/>
      <c r="E121" s="7"/>
      <c r="F121" s="4"/>
      <c r="G121" s="4"/>
      <c r="H121" s="7">
        <v>21</v>
      </c>
      <c r="I121" s="7">
        <v>12</v>
      </c>
      <c r="J121" s="4"/>
      <c r="K121" s="4"/>
      <c r="L121" s="4"/>
      <c r="M121" s="4"/>
    </row>
    <row r="122" spans="1:13" x14ac:dyDescent="0.25">
      <c r="A122" s="2">
        <v>108</v>
      </c>
      <c r="B122" s="7">
        <v>45</v>
      </c>
      <c r="C122" s="7">
        <v>50</v>
      </c>
      <c r="D122" s="7"/>
      <c r="E122" s="7"/>
      <c r="F122" s="4"/>
      <c r="G122" s="4"/>
      <c r="H122" s="7">
        <v>16</v>
      </c>
      <c r="I122" s="7">
        <v>7</v>
      </c>
      <c r="J122" s="4"/>
      <c r="K122" s="4"/>
      <c r="L122" s="4"/>
      <c r="M122" s="4"/>
    </row>
    <row r="123" spans="1:13" x14ac:dyDescent="0.25">
      <c r="A123" s="2">
        <v>109</v>
      </c>
      <c r="B123" s="7">
        <v>65</v>
      </c>
      <c r="C123" s="7">
        <v>56</v>
      </c>
      <c r="D123" s="7"/>
      <c r="E123" s="7"/>
      <c r="F123" s="4"/>
      <c r="G123" s="4"/>
      <c r="H123" s="7">
        <v>12</v>
      </c>
      <c r="I123" s="7">
        <v>4</v>
      </c>
      <c r="J123" s="4"/>
      <c r="K123" s="4"/>
      <c r="L123" s="4"/>
      <c r="M123" s="4"/>
    </row>
    <row r="124" spans="1:13" x14ac:dyDescent="0.25">
      <c r="A124" s="2" t="s">
        <v>82</v>
      </c>
      <c r="B124" s="7">
        <v>3391</v>
      </c>
      <c r="C124" s="7">
        <v>4842</v>
      </c>
      <c r="D124" s="7"/>
      <c r="E124" s="7">
        <f>SUM(B114:B123)-B124</f>
        <v>0</v>
      </c>
      <c r="F124" s="7">
        <f>SUM(C114:C123)-C124</f>
        <v>0</v>
      </c>
      <c r="G124" s="7"/>
      <c r="H124" s="7">
        <v>698</v>
      </c>
      <c r="I124" s="7">
        <v>607</v>
      </c>
      <c r="J124" s="4"/>
      <c r="K124" s="7">
        <f>SUM(H114:H123)-H124</f>
        <v>0</v>
      </c>
      <c r="L124" s="7">
        <f>SUM(I114:I123)-I124</f>
        <v>0</v>
      </c>
      <c r="M124" s="4"/>
    </row>
    <row r="125" spans="1:13" x14ac:dyDescent="0.25">
      <c r="A125" s="2" t="s">
        <v>83</v>
      </c>
      <c r="B125" s="7">
        <v>94</v>
      </c>
      <c r="C125" s="7">
        <v>184</v>
      </c>
      <c r="D125" s="7"/>
      <c r="E125" s="7"/>
      <c r="F125" s="4"/>
      <c r="G125" s="4"/>
      <c r="H125" s="7">
        <v>33</v>
      </c>
      <c r="I125" s="7">
        <v>38</v>
      </c>
      <c r="J125" s="4"/>
      <c r="K125" s="4"/>
      <c r="L125" s="4"/>
      <c r="M125" s="4"/>
    </row>
    <row r="126" spans="1:13" x14ac:dyDescent="0.25">
      <c r="A126" s="2" t="s">
        <v>11</v>
      </c>
      <c r="B126" s="7">
        <v>16148</v>
      </c>
      <c r="C126" s="7">
        <v>15440</v>
      </c>
      <c r="D126" s="7"/>
      <c r="E126" s="7"/>
      <c r="F126" s="4"/>
      <c r="G126" s="4"/>
      <c r="H126" s="7">
        <v>1597</v>
      </c>
      <c r="I126" s="7">
        <v>1001</v>
      </c>
      <c r="J126" s="4"/>
      <c r="K126" s="4"/>
      <c r="L126" s="4"/>
      <c r="M126" s="4"/>
    </row>
    <row r="127" spans="1:13" x14ac:dyDescent="0.25">
      <c r="A127" s="2" t="s">
        <v>84</v>
      </c>
      <c r="B127" s="7">
        <v>45749575</v>
      </c>
      <c r="C127" s="7">
        <v>47693289</v>
      </c>
      <c r="D127" s="7"/>
      <c r="E127" s="7"/>
      <c r="F127" s="4"/>
      <c r="G127" s="4"/>
      <c r="H127" s="7">
        <v>2964419</v>
      </c>
      <c r="I127" s="7">
        <v>2794403</v>
      </c>
      <c r="J127" s="4"/>
      <c r="K127" s="4"/>
      <c r="L127" s="4"/>
      <c r="M127" s="4"/>
    </row>
    <row r="128" spans="1:13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9" x14ac:dyDescent="0.25">
      <c r="A129" s="2" t="s">
        <v>12</v>
      </c>
      <c r="B129" s="8">
        <f>B4 + B14 + B25 + B36 + B47 + B58 + B69 + B80 + B91 + B102 + B113 + B124 + B125 + B126 - B127</f>
        <v>0</v>
      </c>
      <c r="C129" s="8">
        <f>C4 + C14 + C25 + C36 + C47 + C58 + C69 + C80 + C91 + C102 + C113 + C124 + C125 + C126 - C127</f>
        <v>0</v>
      </c>
      <c r="H129" s="8">
        <f>H4 + H14 + H25 + H36 + H47 + H58 + H69 + H80 + H91 + H102 + H113 + H124 + H125 + H126 - H127</f>
        <v>0</v>
      </c>
      <c r="I129" s="8">
        <f>I4 + I14 + I25 + I36 + I47 + I58 + I69 + I80 + I91 + I102 + I113 + I124 + I125 + I126 - I127</f>
        <v>0</v>
      </c>
    </row>
  </sheetData>
  <mergeCells count="4">
    <mergeCell ref="B1:C1"/>
    <mergeCell ref="H1:I1"/>
    <mergeCell ref="E3:F3"/>
    <mergeCell ref="K3:L3"/>
  </mergeCells>
  <pageMargins left="0.7" right="0.7" top="0.75" bottom="0.75" header="0.3" footer="0.3"/>
  <ignoredErrors>
    <ignoredError sqref="A5:A48 A49:A6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8AFA-2B9A-43C2-BB4F-32BDC15D9315}">
  <sheetPr codeName="Sheet8"/>
  <dimension ref="A1:V116"/>
  <sheetViews>
    <sheetView topLeftCell="A55" workbookViewId="0">
      <selection activeCell="H2" sqref="H2:I2"/>
    </sheetView>
  </sheetViews>
  <sheetFormatPr defaultRowHeight="15" x14ac:dyDescent="0.25"/>
  <cols>
    <col min="1" max="1" width="6.28515625" customWidth="1"/>
    <col min="2" max="2" width="10.140625" bestFit="1" customWidth="1"/>
    <col min="3" max="3" width="11.140625" customWidth="1"/>
    <col min="5" max="5" width="9.7109375" customWidth="1"/>
    <col min="6" max="6" width="12" customWidth="1"/>
    <col min="8" max="8" width="16.28515625" customWidth="1"/>
    <col min="9" max="9" width="18.85546875" customWidth="1"/>
    <col min="11" max="11" width="19.42578125" bestFit="1" customWidth="1"/>
    <col min="17" max="17" width="28.28515625" bestFit="1" customWidth="1"/>
  </cols>
  <sheetData>
    <row r="1" spans="1:22" x14ac:dyDescent="0.25">
      <c r="B1" s="33" t="s">
        <v>117</v>
      </c>
      <c r="C1" s="33"/>
      <c r="D1" s="33"/>
      <c r="E1" s="33"/>
      <c r="F1" s="33"/>
      <c r="G1" s="33"/>
      <c r="H1" s="33"/>
      <c r="I1" s="33"/>
      <c r="K1" s="32" t="s">
        <v>115</v>
      </c>
      <c r="L1" s="32"/>
      <c r="M1" s="32"/>
      <c r="N1" s="32"/>
      <c r="O1" s="32"/>
      <c r="P1" s="32"/>
      <c r="Q1" s="32"/>
    </row>
    <row r="2" spans="1:22" x14ac:dyDescent="0.25">
      <c r="B2" s="31" t="s">
        <v>77</v>
      </c>
      <c r="C2" s="31"/>
      <c r="D2" s="6"/>
      <c r="E2" s="31" t="s">
        <v>78</v>
      </c>
      <c r="F2" s="31"/>
      <c r="H2" s="31" t="s">
        <v>114</v>
      </c>
      <c r="I2" s="31"/>
      <c r="K2" s="5" t="s">
        <v>77</v>
      </c>
      <c r="L2" s="5"/>
      <c r="M2" s="5"/>
      <c r="N2" s="5" t="s">
        <v>78</v>
      </c>
      <c r="O2" s="5"/>
      <c r="P2" s="5"/>
      <c r="Q2" s="5" t="s">
        <v>114</v>
      </c>
    </row>
    <row r="4" spans="1:22" x14ac:dyDescent="0.25">
      <c r="A4" s="6" t="s">
        <v>16</v>
      </c>
      <c r="B4" s="6" t="s">
        <v>0</v>
      </c>
      <c r="C4" s="6" t="s">
        <v>1</v>
      </c>
      <c r="D4" s="6"/>
      <c r="E4" s="6" t="s">
        <v>0</v>
      </c>
      <c r="F4" s="6" t="s">
        <v>1</v>
      </c>
      <c r="H4" s="6" t="s">
        <v>0</v>
      </c>
      <c r="I4" s="6" t="s">
        <v>1</v>
      </c>
    </row>
    <row r="5" spans="1:22" x14ac:dyDescent="0.25">
      <c r="A5" s="10">
        <v>0</v>
      </c>
      <c r="B5" s="4">
        <v>1696639</v>
      </c>
      <c r="C5" s="7">
        <v>1691019</v>
      </c>
      <c r="D5" s="7"/>
      <c r="E5" s="7">
        <v>102946</v>
      </c>
      <c r="F5" s="7">
        <v>101930</v>
      </c>
      <c r="G5" s="4"/>
      <c r="H5" s="4">
        <f t="shared" ref="H5:H36" si="0">B5+E5</f>
        <v>1799585</v>
      </c>
      <c r="I5" s="4">
        <f t="shared" ref="I5:I36" si="1">C5+F5</f>
        <v>1792949</v>
      </c>
      <c r="J5" s="4"/>
      <c r="K5" s="4">
        <f>(B5+C5) * (0.5 +$A5)</f>
        <v>1693829</v>
      </c>
      <c r="L5" s="4"/>
      <c r="M5" s="4"/>
      <c r="N5" s="4">
        <f>(E5+F5) * (0.5 +$A5)</f>
        <v>102438</v>
      </c>
      <c r="O5" s="4"/>
      <c r="P5" s="4"/>
      <c r="Q5" s="4">
        <f>(H5+I5) * (0.5 +$A5)</f>
        <v>1796267</v>
      </c>
    </row>
    <row r="6" spans="1:22" x14ac:dyDescent="0.25">
      <c r="A6" s="10">
        <v>1</v>
      </c>
      <c r="B6" s="4">
        <v>1355265</v>
      </c>
      <c r="C6" s="7">
        <v>1373391</v>
      </c>
      <c r="D6" s="7"/>
      <c r="E6" s="7">
        <v>75319</v>
      </c>
      <c r="F6" s="7">
        <v>76657</v>
      </c>
      <c r="G6" s="4"/>
      <c r="H6" s="4">
        <f t="shared" si="0"/>
        <v>1430584</v>
      </c>
      <c r="I6" s="4">
        <f t="shared" si="1"/>
        <v>1450048</v>
      </c>
      <c r="J6" s="4"/>
      <c r="K6" s="4">
        <f t="shared" ref="K6:K69" si="2">(B6+C6) * (0.5 +$A6)</f>
        <v>4092984</v>
      </c>
      <c r="L6" s="4"/>
      <c r="M6" s="4"/>
      <c r="N6" s="4">
        <f t="shared" ref="N6:N69" si="3">(E6+F6) * (0.5 +$A6)</f>
        <v>227964</v>
      </c>
      <c r="O6" s="4"/>
      <c r="P6" s="4"/>
      <c r="Q6" s="4">
        <f t="shared" ref="Q6:Q69" si="4">(H6+I6) * (0.5 +$A6)</f>
        <v>4320948</v>
      </c>
    </row>
    <row r="7" spans="1:22" x14ac:dyDescent="0.25">
      <c r="A7" s="10">
        <v>2</v>
      </c>
      <c r="B7" s="4">
        <v>1372943</v>
      </c>
      <c r="C7" s="7">
        <v>1381997</v>
      </c>
      <c r="D7" s="7"/>
      <c r="E7" s="7">
        <v>77487</v>
      </c>
      <c r="F7" s="7">
        <v>78860</v>
      </c>
      <c r="G7" s="4"/>
      <c r="H7" s="4">
        <f t="shared" si="0"/>
        <v>1450430</v>
      </c>
      <c r="I7" s="4">
        <f t="shared" si="1"/>
        <v>1460857</v>
      </c>
      <c r="J7" s="4"/>
      <c r="K7" s="4">
        <f t="shared" si="2"/>
        <v>6887350</v>
      </c>
      <c r="L7" s="4"/>
      <c r="M7" s="4"/>
      <c r="N7" s="4">
        <f t="shared" si="3"/>
        <v>390867.5</v>
      </c>
      <c r="O7" s="4"/>
      <c r="P7" s="4"/>
      <c r="Q7" s="4">
        <f t="shared" si="4"/>
        <v>7278217.5</v>
      </c>
    </row>
    <row r="8" spans="1:22" x14ac:dyDescent="0.25">
      <c r="A8" s="10">
        <v>3</v>
      </c>
      <c r="B8" s="4">
        <v>1347969</v>
      </c>
      <c r="C8" s="7">
        <v>1365241</v>
      </c>
      <c r="D8" s="7"/>
      <c r="E8" s="7">
        <v>80165</v>
      </c>
      <c r="F8" s="7">
        <v>82876</v>
      </c>
      <c r="G8" s="4"/>
      <c r="H8" s="4">
        <f t="shared" si="0"/>
        <v>1428134</v>
      </c>
      <c r="I8" s="4">
        <f t="shared" si="1"/>
        <v>1448117</v>
      </c>
      <c r="J8" s="4"/>
      <c r="K8" s="4">
        <f t="shared" si="2"/>
        <v>9496235</v>
      </c>
      <c r="L8" s="4"/>
      <c r="M8" s="4"/>
      <c r="N8" s="4">
        <f t="shared" si="3"/>
        <v>570643.5</v>
      </c>
      <c r="O8" s="4"/>
      <c r="P8" s="4"/>
      <c r="Q8" s="4">
        <f t="shared" si="4"/>
        <v>10066878.5</v>
      </c>
    </row>
    <row r="9" spans="1:22" x14ac:dyDescent="0.25">
      <c r="A9" s="10">
        <v>4</v>
      </c>
      <c r="B9" s="4">
        <v>1257445</v>
      </c>
      <c r="C9" s="7">
        <v>1287984</v>
      </c>
      <c r="D9" s="7"/>
      <c r="E9" s="7">
        <v>73849</v>
      </c>
      <c r="F9" s="7">
        <v>75892</v>
      </c>
      <c r="G9" s="4"/>
      <c r="H9" s="4">
        <f t="shared" si="0"/>
        <v>1331294</v>
      </c>
      <c r="I9" s="4">
        <f t="shared" si="1"/>
        <v>1363876</v>
      </c>
      <c r="J9" s="4"/>
      <c r="K9" s="4">
        <f t="shared" si="2"/>
        <v>11454430.5</v>
      </c>
      <c r="L9" s="4"/>
      <c r="M9" s="4"/>
      <c r="N9" s="4">
        <f t="shared" si="3"/>
        <v>673834.5</v>
      </c>
      <c r="O9" s="4"/>
      <c r="P9" s="4"/>
      <c r="Q9" s="4">
        <f t="shared" si="4"/>
        <v>12128265</v>
      </c>
    </row>
    <row r="10" spans="1:22" x14ac:dyDescent="0.25">
      <c r="A10" s="10">
        <v>5</v>
      </c>
      <c r="B10" s="4">
        <v>1185013</v>
      </c>
      <c r="C10" s="7">
        <v>1200875</v>
      </c>
      <c r="D10" s="7"/>
      <c r="E10" s="7">
        <v>68517</v>
      </c>
      <c r="F10" s="7">
        <v>68509</v>
      </c>
      <c r="G10" s="4"/>
      <c r="H10" s="4">
        <f t="shared" si="0"/>
        <v>1253530</v>
      </c>
      <c r="I10" s="4">
        <f t="shared" si="1"/>
        <v>1269384</v>
      </c>
      <c r="J10" s="4"/>
      <c r="K10" s="4">
        <f t="shared" si="2"/>
        <v>13122384</v>
      </c>
      <c r="L10" s="4"/>
      <c r="M10" s="4"/>
      <c r="N10" s="4">
        <f t="shared" si="3"/>
        <v>753643</v>
      </c>
      <c r="O10" s="4"/>
      <c r="P10" s="4"/>
      <c r="Q10" s="4">
        <f t="shared" si="4"/>
        <v>13876027</v>
      </c>
    </row>
    <row r="11" spans="1:22" x14ac:dyDescent="0.25">
      <c r="A11" s="10">
        <v>6</v>
      </c>
      <c r="B11" s="4">
        <v>1163049</v>
      </c>
      <c r="C11" s="7">
        <v>1177832</v>
      </c>
      <c r="D11" s="7"/>
      <c r="E11" s="7">
        <v>69146</v>
      </c>
      <c r="F11" s="7">
        <v>70049</v>
      </c>
      <c r="G11" s="4"/>
      <c r="H11" s="4">
        <f t="shared" si="0"/>
        <v>1232195</v>
      </c>
      <c r="I11" s="4">
        <f t="shared" si="1"/>
        <v>1247881</v>
      </c>
      <c r="J11" s="4"/>
      <c r="K11" s="4">
        <f t="shared" si="2"/>
        <v>15215726.5</v>
      </c>
      <c r="L11" s="4"/>
      <c r="M11" s="4"/>
      <c r="N11" s="4">
        <f t="shared" si="3"/>
        <v>904767.5</v>
      </c>
      <c r="O11" s="4"/>
      <c r="P11" s="4"/>
      <c r="Q11" s="4">
        <f t="shared" si="4"/>
        <v>16120494</v>
      </c>
    </row>
    <row r="12" spans="1:22" x14ac:dyDescent="0.25">
      <c r="A12" s="10">
        <v>7</v>
      </c>
      <c r="B12" s="4">
        <v>1111074</v>
      </c>
      <c r="C12" s="7">
        <v>1153694</v>
      </c>
      <c r="D12" s="7"/>
      <c r="E12" s="7">
        <v>68118</v>
      </c>
      <c r="F12" s="7">
        <v>69314</v>
      </c>
      <c r="G12" s="4"/>
      <c r="H12" s="4">
        <f t="shared" si="0"/>
        <v>1179192</v>
      </c>
      <c r="I12" s="4">
        <f t="shared" si="1"/>
        <v>1223008</v>
      </c>
      <c r="J12" s="4"/>
      <c r="K12" s="4">
        <f t="shared" si="2"/>
        <v>16985760</v>
      </c>
      <c r="L12" s="4"/>
      <c r="M12" s="4"/>
      <c r="N12" s="4">
        <f t="shared" si="3"/>
        <v>1030740</v>
      </c>
      <c r="O12" s="4"/>
      <c r="P12" s="4"/>
      <c r="Q12" s="4">
        <f t="shared" si="4"/>
        <v>18016500</v>
      </c>
    </row>
    <row r="13" spans="1:22" x14ac:dyDescent="0.25">
      <c r="A13" s="10">
        <v>8</v>
      </c>
      <c r="B13" s="4">
        <v>1148195</v>
      </c>
      <c r="C13" s="7">
        <v>1167479</v>
      </c>
      <c r="D13" s="7"/>
      <c r="E13" s="7">
        <v>67383</v>
      </c>
      <c r="F13" s="7">
        <v>67548</v>
      </c>
      <c r="G13" s="4"/>
      <c r="H13" s="4">
        <f t="shared" si="0"/>
        <v>1215578</v>
      </c>
      <c r="I13" s="4">
        <f t="shared" si="1"/>
        <v>1235027</v>
      </c>
      <c r="J13" s="4"/>
      <c r="K13" s="4">
        <f t="shared" si="2"/>
        <v>19683229</v>
      </c>
      <c r="L13" s="4"/>
      <c r="M13" s="4"/>
      <c r="N13" s="4">
        <f t="shared" si="3"/>
        <v>1146913.5</v>
      </c>
      <c r="O13" s="4"/>
      <c r="P13" s="4"/>
      <c r="Q13" s="4">
        <f t="shared" si="4"/>
        <v>20830142.5</v>
      </c>
    </row>
    <row r="14" spans="1:22" x14ac:dyDescent="0.25">
      <c r="A14" s="10">
        <v>9</v>
      </c>
      <c r="B14" s="4">
        <v>1035579</v>
      </c>
      <c r="C14" s="7">
        <v>1034521</v>
      </c>
      <c r="D14" s="7"/>
      <c r="E14" s="7">
        <v>60055</v>
      </c>
      <c r="F14" s="7">
        <v>59476</v>
      </c>
      <c r="G14" s="4"/>
      <c r="H14" s="4">
        <f t="shared" si="0"/>
        <v>1095634</v>
      </c>
      <c r="I14" s="4">
        <f t="shared" si="1"/>
        <v>1093997</v>
      </c>
      <c r="J14" s="4"/>
      <c r="K14" s="4">
        <f t="shared" si="2"/>
        <v>19665950</v>
      </c>
      <c r="L14" s="4"/>
      <c r="M14" s="4"/>
      <c r="N14" s="4">
        <f t="shared" si="3"/>
        <v>1135544.5</v>
      </c>
      <c r="O14" s="4"/>
      <c r="P14" s="4"/>
      <c r="Q14" s="4">
        <f t="shared" si="4"/>
        <v>20801494.5</v>
      </c>
    </row>
    <row r="15" spans="1:22" x14ac:dyDescent="0.25">
      <c r="A15" s="10">
        <v>10</v>
      </c>
      <c r="B15" s="4">
        <v>1139461</v>
      </c>
      <c r="C15" s="7">
        <v>1151719</v>
      </c>
      <c r="D15" s="7"/>
      <c r="E15" s="7">
        <v>64617</v>
      </c>
      <c r="F15" s="7">
        <v>63636</v>
      </c>
      <c r="G15" s="4"/>
      <c r="H15" s="4">
        <f t="shared" si="0"/>
        <v>1204078</v>
      </c>
      <c r="I15" s="4">
        <f t="shared" si="1"/>
        <v>1215355</v>
      </c>
      <c r="J15" s="4"/>
      <c r="K15" s="4">
        <f t="shared" si="2"/>
        <v>24057390</v>
      </c>
      <c r="L15" s="4"/>
      <c r="M15" s="4"/>
      <c r="N15" s="4">
        <f t="shared" si="3"/>
        <v>1346656.5</v>
      </c>
      <c r="O15" s="4"/>
      <c r="P15" s="4"/>
      <c r="Q15" s="4">
        <f t="shared" si="4"/>
        <v>25404046.5</v>
      </c>
    </row>
    <row r="16" spans="1:22" x14ac:dyDescent="0.25">
      <c r="A16" s="10">
        <v>11</v>
      </c>
      <c r="B16" s="4">
        <v>925573</v>
      </c>
      <c r="C16" s="7">
        <v>914121</v>
      </c>
      <c r="D16" s="7"/>
      <c r="E16" s="7">
        <v>56360</v>
      </c>
      <c r="F16" s="7">
        <v>55103</v>
      </c>
      <c r="G16" s="4"/>
      <c r="H16" s="4">
        <f t="shared" si="0"/>
        <v>981933</v>
      </c>
      <c r="I16" s="4">
        <f t="shared" si="1"/>
        <v>969224</v>
      </c>
      <c r="J16" s="4"/>
      <c r="K16" s="4">
        <f t="shared" si="2"/>
        <v>21156481</v>
      </c>
      <c r="L16" s="4"/>
      <c r="M16" s="4"/>
      <c r="N16" s="4">
        <f t="shared" si="3"/>
        <v>1281824.5</v>
      </c>
      <c r="O16" s="4"/>
      <c r="P16" s="4"/>
      <c r="Q16" s="4">
        <f t="shared" si="4"/>
        <v>22438305.5</v>
      </c>
      <c r="V16" s="15"/>
    </row>
    <row r="17" spans="1:17" x14ac:dyDescent="0.25">
      <c r="A17" s="10">
        <v>12</v>
      </c>
      <c r="B17" s="4">
        <v>1208197</v>
      </c>
      <c r="C17" s="7">
        <v>1214158</v>
      </c>
      <c r="D17" s="7"/>
      <c r="E17" s="7">
        <v>68110</v>
      </c>
      <c r="F17" s="7">
        <v>66909</v>
      </c>
      <c r="G17" s="4"/>
      <c r="H17" s="4">
        <f t="shared" si="0"/>
        <v>1276307</v>
      </c>
      <c r="I17" s="4">
        <f t="shared" si="1"/>
        <v>1281067</v>
      </c>
      <c r="J17" s="4"/>
      <c r="K17" s="4">
        <f t="shared" si="2"/>
        <v>30279437.5</v>
      </c>
      <c r="L17" s="4"/>
      <c r="M17" s="4"/>
      <c r="N17" s="4">
        <f t="shared" si="3"/>
        <v>1687737.5</v>
      </c>
      <c r="O17" s="4"/>
      <c r="P17" s="4"/>
      <c r="Q17" s="4">
        <f t="shared" si="4"/>
        <v>31967175</v>
      </c>
    </row>
    <row r="18" spans="1:17" x14ac:dyDescent="0.25">
      <c r="A18" s="10">
        <v>13</v>
      </c>
      <c r="B18" s="4">
        <v>993623</v>
      </c>
      <c r="C18" s="7">
        <v>1001076</v>
      </c>
      <c r="D18" s="7"/>
      <c r="E18" s="7">
        <v>59084</v>
      </c>
      <c r="F18" s="7">
        <v>57823</v>
      </c>
      <c r="G18" s="4"/>
      <c r="H18" s="4">
        <f t="shared" si="0"/>
        <v>1052707</v>
      </c>
      <c r="I18" s="4">
        <f t="shared" si="1"/>
        <v>1058899</v>
      </c>
      <c r="J18" s="4"/>
      <c r="K18" s="4">
        <f t="shared" si="2"/>
        <v>26928436.5</v>
      </c>
      <c r="L18" s="4"/>
      <c r="M18" s="4"/>
      <c r="N18" s="4">
        <f t="shared" si="3"/>
        <v>1578244.5</v>
      </c>
      <c r="O18" s="4"/>
      <c r="P18" s="4"/>
      <c r="Q18" s="4">
        <f t="shared" si="4"/>
        <v>28506681</v>
      </c>
    </row>
    <row r="19" spans="1:17" x14ac:dyDescent="0.25">
      <c r="A19" s="10">
        <v>14</v>
      </c>
      <c r="B19" s="4">
        <v>965771</v>
      </c>
      <c r="C19" s="7">
        <v>991005</v>
      </c>
      <c r="D19" s="7"/>
      <c r="E19" s="7">
        <v>58175</v>
      </c>
      <c r="F19" s="7">
        <v>58043</v>
      </c>
      <c r="G19" s="4"/>
      <c r="H19" s="4">
        <f t="shared" si="0"/>
        <v>1023946</v>
      </c>
      <c r="I19" s="4">
        <f t="shared" si="1"/>
        <v>1049048</v>
      </c>
      <c r="J19" s="4"/>
      <c r="K19" s="4">
        <f t="shared" si="2"/>
        <v>28373252</v>
      </c>
      <c r="L19" s="4"/>
      <c r="M19" s="4"/>
      <c r="N19" s="4">
        <f t="shared" si="3"/>
        <v>1685161</v>
      </c>
      <c r="O19" s="4"/>
      <c r="P19" s="4"/>
      <c r="Q19" s="4">
        <f t="shared" si="4"/>
        <v>30058413</v>
      </c>
    </row>
    <row r="20" spans="1:17" x14ac:dyDescent="0.25">
      <c r="A20" s="10">
        <v>15</v>
      </c>
      <c r="B20" s="4">
        <v>936067</v>
      </c>
      <c r="C20" s="7">
        <v>965617</v>
      </c>
      <c r="D20" s="7"/>
      <c r="E20" s="7">
        <v>56770</v>
      </c>
      <c r="F20" s="7">
        <v>56425</v>
      </c>
      <c r="G20" s="4"/>
      <c r="H20" s="4">
        <f t="shared" si="0"/>
        <v>992837</v>
      </c>
      <c r="I20" s="4">
        <f t="shared" si="1"/>
        <v>1022042</v>
      </c>
      <c r="J20" s="4"/>
      <c r="K20" s="4">
        <f t="shared" si="2"/>
        <v>29476102</v>
      </c>
      <c r="L20" s="4"/>
      <c r="M20" s="4"/>
      <c r="N20" s="4">
        <f t="shared" si="3"/>
        <v>1754522.5</v>
      </c>
      <c r="O20" s="4"/>
      <c r="P20" s="4"/>
      <c r="Q20" s="4">
        <f t="shared" si="4"/>
        <v>31230624.5</v>
      </c>
    </row>
    <row r="21" spans="1:17" x14ac:dyDescent="0.25">
      <c r="A21" s="10">
        <v>16</v>
      </c>
      <c r="B21" s="4">
        <v>929092</v>
      </c>
      <c r="C21" s="7">
        <v>1036199</v>
      </c>
      <c r="D21" s="7"/>
      <c r="E21" s="7">
        <v>55520</v>
      </c>
      <c r="F21" s="7">
        <v>58672</v>
      </c>
      <c r="G21" s="4"/>
      <c r="H21" s="4">
        <f t="shared" si="0"/>
        <v>984612</v>
      </c>
      <c r="I21" s="4">
        <f t="shared" si="1"/>
        <v>1094871</v>
      </c>
      <c r="J21" s="4"/>
      <c r="K21" s="4">
        <f t="shared" si="2"/>
        <v>32427301.5</v>
      </c>
      <c r="L21" s="4"/>
      <c r="M21" s="4"/>
      <c r="N21" s="4">
        <f t="shared" si="3"/>
        <v>1884168</v>
      </c>
      <c r="O21" s="4"/>
      <c r="P21" s="4"/>
      <c r="Q21" s="4">
        <f t="shared" si="4"/>
        <v>34311469.5</v>
      </c>
    </row>
    <row r="22" spans="1:17" x14ac:dyDescent="0.25">
      <c r="A22" s="10">
        <v>17</v>
      </c>
      <c r="B22" s="4">
        <v>923880</v>
      </c>
      <c r="C22" s="7">
        <v>1039885</v>
      </c>
      <c r="D22" s="7"/>
      <c r="E22" s="7">
        <v>54749</v>
      </c>
      <c r="F22" s="7">
        <v>58575</v>
      </c>
      <c r="G22" s="4"/>
      <c r="H22" s="4">
        <f t="shared" si="0"/>
        <v>978629</v>
      </c>
      <c r="I22" s="4">
        <f t="shared" si="1"/>
        <v>1098460</v>
      </c>
      <c r="J22" s="4"/>
      <c r="K22" s="4">
        <f t="shared" si="2"/>
        <v>34365887.5</v>
      </c>
      <c r="L22" s="4"/>
      <c r="M22" s="4"/>
      <c r="N22" s="4">
        <f t="shared" si="3"/>
        <v>1983170</v>
      </c>
      <c r="O22" s="4"/>
      <c r="P22" s="4"/>
      <c r="Q22" s="4">
        <f t="shared" si="4"/>
        <v>36349057.5</v>
      </c>
    </row>
    <row r="23" spans="1:17" x14ac:dyDescent="0.25">
      <c r="A23" s="10">
        <v>18</v>
      </c>
      <c r="B23" s="4">
        <v>942665</v>
      </c>
      <c r="C23" s="7">
        <v>1034438</v>
      </c>
      <c r="D23" s="7"/>
      <c r="E23" s="7">
        <v>56058</v>
      </c>
      <c r="F23" s="7">
        <v>54912</v>
      </c>
      <c r="G23" s="4"/>
      <c r="H23" s="4">
        <f t="shared" si="0"/>
        <v>998723</v>
      </c>
      <c r="I23" s="4">
        <f t="shared" si="1"/>
        <v>1089350</v>
      </c>
      <c r="J23" s="4"/>
      <c r="K23" s="4">
        <f t="shared" si="2"/>
        <v>36576405.5</v>
      </c>
      <c r="L23" s="4"/>
      <c r="M23" s="4"/>
      <c r="N23" s="4">
        <f t="shared" si="3"/>
        <v>2052945</v>
      </c>
      <c r="O23" s="4"/>
      <c r="P23" s="4"/>
      <c r="Q23" s="4">
        <f t="shared" si="4"/>
        <v>38629350.5</v>
      </c>
    </row>
    <row r="24" spans="1:17" x14ac:dyDescent="0.25">
      <c r="A24" s="10">
        <v>19</v>
      </c>
      <c r="B24" s="4">
        <v>798772</v>
      </c>
      <c r="C24" s="7">
        <v>848781</v>
      </c>
      <c r="D24" s="7"/>
      <c r="E24" s="7">
        <v>49429</v>
      </c>
      <c r="F24" s="7">
        <v>48707</v>
      </c>
      <c r="G24" s="4"/>
      <c r="H24" s="4">
        <f t="shared" si="0"/>
        <v>848201</v>
      </c>
      <c r="I24" s="4">
        <f t="shared" si="1"/>
        <v>897488</v>
      </c>
      <c r="J24" s="4"/>
      <c r="K24" s="4">
        <f t="shared" si="2"/>
        <v>32127283.5</v>
      </c>
      <c r="L24" s="4"/>
      <c r="M24" s="4"/>
      <c r="N24" s="4">
        <f t="shared" si="3"/>
        <v>1913652</v>
      </c>
      <c r="O24" s="4"/>
      <c r="P24" s="4"/>
      <c r="Q24" s="4">
        <f t="shared" si="4"/>
        <v>34040935.5</v>
      </c>
    </row>
    <row r="25" spans="1:17" x14ac:dyDescent="0.25">
      <c r="A25" s="10">
        <v>20</v>
      </c>
      <c r="B25" s="4">
        <v>824970</v>
      </c>
      <c r="C25" s="7">
        <v>1132162</v>
      </c>
      <c r="D25" s="7"/>
      <c r="E25" s="7">
        <v>54194</v>
      </c>
      <c r="F25" s="7">
        <v>59880</v>
      </c>
      <c r="G25" s="4"/>
      <c r="H25" s="4">
        <f t="shared" si="0"/>
        <v>879164</v>
      </c>
      <c r="I25" s="4">
        <f t="shared" si="1"/>
        <v>1192042</v>
      </c>
      <c r="J25" s="4"/>
      <c r="K25" s="4">
        <f t="shared" si="2"/>
        <v>40121206</v>
      </c>
      <c r="L25" s="4"/>
      <c r="M25" s="4"/>
      <c r="N25" s="4">
        <f t="shared" si="3"/>
        <v>2338517</v>
      </c>
      <c r="O25" s="4"/>
      <c r="P25" s="4"/>
      <c r="Q25" s="4">
        <f t="shared" si="4"/>
        <v>42459723</v>
      </c>
    </row>
    <row r="26" spans="1:17" x14ac:dyDescent="0.25">
      <c r="A26" s="10">
        <v>21</v>
      </c>
      <c r="B26" s="4">
        <v>753475</v>
      </c>
      <c r="C26" s="7">
        <v>598088</v>
      </c>
      <c r="D26" s="7"/>
      <c r="E26" s="7">
        <v>46704</v>
      </c>
      <c r="F26" s="7">
        <v>38721</v>
      </c>
      <c r="G26" s="4"/>
      <c r="H26" s="4">
        <f t="shared" si="0"/>
        <v>800179</v>
      </c>
      <c r="I26" s="4">
        <f t="shared" si="1"/>
        <v>636809</v>
      </c>
      <c r="J26" s="4"/>
      <c r="K26" s="4">
        <f t="shared" si="2"/>
        <v>29058604.5</v>
      </c>
      <c r="L26" s="4"/>
      <c r="M26" s="4"/>
      <c r="N26" s="4">
        <f t="shared" si="3"/>
        <v>1836637.5</v>
      </c>
      <c r="O26" s="4"/>
      <c r="P26" s="4"/>
      <c r="Q26" s="4">
        <f t="shared" si="4"/>
        <v>30895242</v>
      </c>
    </row>
    <row r="27" spans="1:17" x14ac:dyDescent="0.25">
      <c r="A27" s="10">
        <v>22</v>
      </c>
      <c r="B27" s="4">
        <v>806863</v>
      </c>
      <c r="C27" s="7">
        <v>836333</v>
      </c>
      <c r="D27" s="7"/>
      <c r="E27" s="7">
        <v>56824</v>
      </c>
      <c r="F27" s="7">
        <v>49195</v>
      </c>
      <c r="G27" s="4"/>
      <c r="H27" s="4">
        <f t="shared" si="0"/>
        <v>863687</v>
      </c>
      <c r="I27" s="4">
        <f t="shared" si="1"/>
        <v>885528</v>
      </c>
      <c r="J27" s="4"/>
      <c r="K27" s="4">
        <f t="shared" si="2"/>
        <v>36971910</v>
      </c>
      <c r="L27" s="4"/>
      <c r="M27" s="4"/>
      <c r="N27" s="4">
        <f t="shared" si="3"/>
        <v>2385427.5</v>
      </c>
      <c r="O27" s="4"/>
      <c r="P27" s="4"/>
      <c r="Q27" s="4">
        <f t="shared" si="4"/>
        <v>39357337.5</v>
      </c>
    </row>
    <row r="28" spans="1:17" x14ac:dyDescent="0.25">
      <c r="A28" s="10">
        <v>23</v>
      </c>
      <c r="B28" s="4">
        <v>742533</v>
      </c>
      <c r="C28" s="7">
        <v>780534</v>
      </c>
      <c r="D28" s="7"/>
      <c r="E28" s="7">
        <v>49281</v>
      </c>
      <c r="F28" s="7">
        <v>45296</v>
      </c>
      <c r="G28" s="4"/>
      <c r="H28" s="4">
        <f t="shared" si="0"/>
        <v>791814</v>
      </c>
      <c r="I28" s="4">
        <f t="shared" si="1"/>
        <v>825830</v>
      </c>
      <c r="J28" s="4"/>
      <c r="K28" s="4">
        <f t="shared" si="2"/>
        <v>35792074.5</v>
      </c>
      <c r="L28" s="4"/>
      <c r="M28" s="4"/>
      <c r="N28" s="4">
        <f t="shared" si="3"/>
        <v>2222559.5</v>
      </c>
      <c r="O28" s="4"/>
      <c r="P28" s="4"/>
      <c r="Q28" s="4">
        <f t="shared" si="4"/>
        <v>38014634</v>
      </c>
    </row>
    <row r="29" spans="1:17" x14ac:dyDescent="0.25">
      <c r="A29" s="10">
        <v>24</v>
      </c>
      <c r="B29" s="4">
        <v>645241</v>
      </c>
      <c r="C29" s="7">
        <v>680194</v>
      </c>
      <c r="D29" s="7"/>
      <c r="E29" s="7">
        <v>45491</v>
      </c>
      <c r="F29" s="7">
        <v>40022</v>
      </c>
      <c r="G29" s="4"/>
      <c r="H29" s="4">
        <f t="shared" si="0"/>
        <v>690732</v>
      </c>
      <c r="I29" s="4">
        <f t="shared" si="1"/>
        <v>720216</v>
      </c>
      <c r="J29" s="4"/>
      <c r="K29" s="4">
        <f t="shared" si="2"/>
        <v>32473157.5</v>
      </c>
      <c r="L29" s="4"/>
      <c r="M29" s="4"/>
      <c r="N29" s="4">
        <f t="shared" si="3"/>
        <v>2095068.5</v>
      </c>
      <c r="O29" s="4"/>
      <c r="P29" s="4"/>
      <c r="Q29" s="4">
        <f t="shared" si="4"/>
        <v>34568226</v>
      </c>
    </row>
    <row r="30" spans="1:17" x14ac:dyDescent="0.25">
      <c r="A30" s="10">
        <v>25</v>
      </c>
      <c r="B30" s="4">
        <v>741966</v>
      </c>
      <c r="C30" s="7">
        <v>1018833</v>
      </c>
      <c r="D30" s="7"/>
      <c r="E30" s="7">
        <v>53148</v>
      </c>
      <c r="F30" s="7">
        <v>54036</v>
      </c>
      <c r="G30" s="4"/>
      <c r="H30" s="4">
        <f t="shared" si="0"/>
        <v>795114</v>
      </c>
      <c r="I30" s="4">
        <f t="shared" si="1"/>
        <v>1072869</v>
      </c>
      <c r="J30" s="4"/>
      <c r="K30" s="4">
        <f t="shared" si="2"/>
        <v>44900374.5</v>
      </c>
      <c r="L30" s="4"/>
      <c r="M30" s="4"/>
      <c r="N30" s="4">
        <f t="shared" si="3"/>
        <v>2733192</v>
      </c>
      <c r="O30" s="4"/>
      <c r="P30" s="4"/>
      <c r="Q30" s="4">
        <f t="shared" si="4"/>
        <v>47633566.5</v>
      </c>
    </row>
    <row r="31" spans="1:17" x14ac:dyDescent="0.25">
      <c r="A31" s="10">
        <v>26</v>
      </c>
      <c r="B31" s="4">
        <v>703248</v>
      </c>
      <c r="C31" s="7">
        <v>686783</v>
      </c>
      <c r="D31" s="7"/>
      <c r="E31" s="7">
        <v>45214</v>
      </c>
      <c r="F31" s="7">
        <v>40690</v>
      </c>
      <c r="G31" s="4"/>
      <c r="H31" s="4">
        <f t="shared" si="0"/>
        <v>748462</v>
      </c>
      <c r="I31" s="4">
        <f t="shared" si="1"/>
        <v>727473</v>
      </c>
      <c r="J31" s="4"/>
      <c r="K31" s="4">
        <f t="shared" si="2"/>
        <v>36835821.5</v>
      </c>
      <c r="L31" s="4"/>
      <c r="M31" s="4"/>
      <c r="N31" s="4">
        <f t="shared" si="3"/>
        <v>2276456</v>
      </c>
      <c r="O31" s="4"/>
      <c r="P31" s="4"/>
      <c r="Q31" s="4">
        <f t="shared" si="4"/>
        <v>39112277.5</v>
      </c>
    </row>
    <row r="32" spans="1:17" x14ac:dyDescent="0.25">
      <c r="A32" s="10">
        <v>27</v>
      </c>
      <c r="B32" s="4">
        <v>737207</v>
      </c>
      <c r="C32" s="7">
        <v>716992</v>
      </c>
      <c r="D32" s="7"/>
      <c r="E32" s="7">
        <v>48727</v>
      </c>
      <c r="F32" s="7">
        <v>43812</v>
      </c>
      <c r="G32" s="4"/>
      <c r="H32" s="4">
        <f t="shared" si="0"/>
        <v>785934</v>
      </c>
      <c r="I32" s="4">
        <f t="shared" si="1"/>
        <v>760804</v>
      </c>
      <c r="J32" s="4"/>
      <c r="K32" s="4">
        <f t="shared" si="2"/>
        <v>39990472.5</v>
      </c>
      <c r="L32" s="4"/>
      <c r="M32" s="4"/>
      <c r="N32" s="4">
        <f t="shared" si="3"/>
        <v>2544822.5</v>
      </c>
      <c r="O32" s="4"/>
      <c r="P32" s="4"/>
      <c r="Q32" s="4">
        <f t="shared" si="4"/>
        <v>42535295</v>
      </c>
    </row>
    <row r="33" spans="1:17" x14ac:dyDescent="0.25">
      <c r="A33" s="10">
        <v>28</v>
      </c>
      <c r="B33" s="4">
        <v>737482</v>
      </c>
      <c r="C33" s="7">
        <v>766016</v>
      </c>
      <c r="D33" s="7"/>
      <c r="E33" s="7">
        <v>47532</v>
      </c>
      <c r="F33" s="7">
        <v>41722</v>
      </c>
      <c r="G33" s="4"/>
      <c r="H33" s="4">
        <f t="shared" si="0"/>
        <v>785014</v>
      </c>
      <c r="I33" s="4">
        <f t="shared" si="1"/>
        <v>807738</v>
      </c>
      <c r="J33" s="4"/>
      <c r="K33" s="4">
        <f t="shared" si="2"/>
        <v>42849693</v>
      </c>
      <c r="L33" s="4"/>
      <c r="M33" s="4"/>
      <c r="N33" s="4">
        <f t="shared" si="3"/>
        <v>2543739</v>
      </c>
      <c r="O33" s="4"/>
      <c r="P33" s="4"/>
      <c r="Q33" s="4">
        <f t="shared" si="4"/>
        <v>45393432</v>
      </c>
    </row>
    <row r="34" spans="1:17" x14ac:dyDescent="0.25">
      <c r="A34" s="10">
        <v>29</v>
      </c>
      <c r="B34" s="4">
        <v>473199</v>
      </c>
      <c r="C34" s="7">
        <v>413701</v>
      </c>
      <c r="D34" s="7"/>
      <c r="E34" s="7">
        <v>31802</v>
      </c>
      <c r="F34" s="7">
        <v>25588</v>
      </c>
      <c r="G34" s="4"/>
      <c r="H34" s="4">
        <f t="shared" si="0"/>
        <v>505001</v>
      </c>
      <c r="I34" s="4">
        <f t="shared" si="1"/>
        <v>439289</v>
      </c>
      <c r="J34" s="4"/>
      <c r="K34" s="4">
        <f t="shared" si="2"/>
        <v>26163550</v>
      </c>
      <c r="L34" s="4"/>
      <c r="M34" s="4"/>
      <c r="N34" s="4">
        <f t="shared" si="3"/>
        <v>1693005</v>
      </c>
      <c r="O34" s="4"/>
      <c r="P34" s="4"/>
      <c r="Q34" s="4">
        <f t="shared" si="4"/>
        <v>27856555</v>
      </c>
    </row>
    <row r="35" spans="1:17" x14ac:dyDescent="0.25">
      <c r="A35" s="10">
        <v>30</v>
      </c>
      <c r="B35" s="4">
        <v>993418</v>
      </c>
      <c r="C35" s="7">
        <v>1310719</v>
      </c>
      <c r="D35" s="7"/>
      <c r="E35" s="7">
        <v>62276</v>
      </c>
      <c r="F35" s="7">
        <v>66080</v>
      </c>
      <c r="G35" s="4"/>
      <c r="H35" s="4">
        <f t="shared" si="0"/>
        <v>1055694</v>
      </c>
      <c r="I35" s="4">
        <f t="shared" si="1"/>
        <v>1376799</v>
      </c>
      <c r="J35" s="4"/>
      <c r="K35" s="4">
        <f t="shared" si="2"/>
        <v>70276178.5</v>
      </c>
      <c r="L35" s="4"/>
      <c r="M35" s="4"/>
      <c r="N35" s="4">
        <f t="shared" si="3"/>
        <v>3914858</v>
      </c>
      <c r="O35" s="4"/>
      <c r="P35" s="4"/>
      <c r="Q35" s="4">
        <f t="shared" si="4"/>
        <v>74191036.5</v>
      </c>
    </row>
    <row r="36" spans="1:17" x14ac:dyDescent="0.25">
      <c r="A36" s="10">
        <v>31</v>
      </c>
      <c r="B36" s="4">
        <v>375701</v>
      </c>
      <c r="C36" s="7">
        <v>319260</v>
      </c>
      <c r="D36" s="7"/>
      <c r="E36" s="7">
        <v>26016</v>
      </c>
      <c r="F36" s="7">
        <v>20566</v>
      </c>
      <c r="G36" s="4"/>
      <c r="H36" s="4">
        <f t="shared" si="0"/>
        <v>401717</v>
      </c>
      <c r="I36" s="4">
        <f t="shared" si="1"/>
        <v>339826</v>
      </c>
      <c r="J36" s="4"/>
      <c r="K36" s="4">
        <f t="shared" si="2"/>
        <v>21891271.5</v>
      </c>
      <c r="L36" s="4"/>
      <c r="M36" s="4"/>
      <c r="N36" s="4">
        <f t="shared" si="3"/>
        <v>1467333</v>
      </c>
      <c r="O36" s="4"/>
      <c r="P36" s="4"/>
      <c r="Q36" s="4">
        <f t="shared" si="4"/>
        <v>23358604.5</v>
      </c>
    </row>
    <row r="37" spans="1:17" x14ac:dyDescent="0.25">
      <c r="A37" s="10">
        <v>32</v>
      </c>
      <c r="B37" s="4">
        <v>565468</v>
      </c>
      <c r="C37" s="7">
        <v>549253</v>
      </c>
      <c r="D37" s="7"/>
      <c r="E37" s="7">
        <v>37293</v>
      </c>
      <c r="F37" s="7">
        <v>32042</v>
      </c>
      <c r="G37" s="4"/>
      <c r="H37" s="4">
        <f t="shared" ref="H37:H68" si="5">B37+E37</f>
        <v>602761</v>
      </c>
      <c r="I37" s="4">
        <f t="shared" ref="I37:I68" si="6">C37+F37</f>
        <v>581295</v>
      </c>
      <c r="J37" s="4"/>
      <c r="K37" s="4">
        <f t="shared" si="2"/>
        <v>36228432.5</v>
      </c>
      <c r="L37" s="4"/>
      <c r="M37" s="4"/>
      <c r="N37" s="4">
        <f t="shared" si="3"/>
        <v>2253387.5</v>
      </c>
      <c r="O37" s="4"/>
      <c r="P37" s="4"/>
      <c r="Q37" s="4">
        <f t="shared" si="4"/>
        <v>38481820</v>
      </c>
    </row>
    <row r="38" spans="1:17" x14ac:dyDescent="0.25">
      <c r="A38" s="10">
        <v>33</v>
      </c>
      <c r="B38" s="4">
        <v>537927</v>
      </c>
      <c r="C38" s="7">
        <v>497069</v>
      </c>
      <c r="D38" s="7"/>
      <c r="E38" s="7">
        <v>35986</v>
      </c>
      <c r="F38" s="7">
        <v>30630</v>
      </c>
      <c r="G38" s="4"/>
      <c r="H38" s="4">
        <f t="shared" si="5"/>
        <v>573913</v>
      </c>
      <c r="I38" s="4">
        <f t="shared" si="6"/>
        <v>527699</v>
      </c>
      <c r="J38" s="4"/>
      <c r="K38" s="4">
        <f t="shared" si="2"/>
        <v>34672366</v>
      </c>
      <c r="L38" s="4"/>
      <c r="M38" s="4"/>
      <c r="N38" s="4">
        <f t="shared" si="3"/>
        <v>2231636</v>
      </c>
      <c r="O38" s="4"/>
      <c r="P38" s="4"/>
      <c r="Q38" s="4">
        <f t="shared" si="4"/>
        <v>36904002</v>
      </c>
    </row>
    <row r="39" spans="1:17" x14ac:dyDescent="0.25">
      <c r="A39" s="10">
        <v>34</v>
      </c>
      <c r="B39" s="4">
        <v>403960</v>
      </c>
      <c r="C39" s="7">
        <v>412742</v>
      </c>
      <c r="D39" s="7"/>
      <c r="E39" s="7">
        <v>28000</v>
      </c>
      <c r="F39" s="7">
        <v>25044</v>
      </c>
      <c r="G39" s="4"/>
      <c r="H39" s="4">
        <f t="shared" si="5"/>
        <v>431960</v>
      </c>
      <c r="I39" s="4">
        <f t="shared" si="6"/>
        <v>437786</v>
      </c>
      <c r="J39" s="4"/>
      <c r="K39" s="4">
        <f t="shared" si="2"/>
        <v>28176219</v>
      </c>
      <c r="L39" s="4"/>
      <c r="M39" s="4"/>
      <c r="N39" s="4">
        <f t="shared" si="3"/>
        <v>1830018</v>
      </c>
      <c r="O39" s="4"/>
      <c r="P39" s="4"/>
      <c r="Q39" s="4">
        <f t="shared" si="4"/>
        <v>30006237</v>
      </c>
    </row>
    <row r="40" spans="1:17" x14ac:dyDescent="0.25">
      <c r="A40" s="10">
        <v>35</v>
      </c>
      <c r="B40" s="4">
        <v>762283</v>
      </c>
      <c r="C40" s="7">
        <v>903607</v>
      </c>
      <c r="D40" s="7"/>
      <c r="E40" s="7">
        <v>51137</v>
      </c>
      <c r="F40" s="7">
        <v>48731</v>
      </c>
      <c r="G40" s="4"/>
      <c r="H40" s="4">
        <f t="shared" si="5"/>
        <v>813420</v>
      </c>
      <c r="I40" s="4">
        <f t="shared" si="6"/>
        <v>952338</v>
      </c>
      <c r="J40" s="4"/>
      <c r="K40" s="4">
        <f t="shared" si="2"/>
        <v>59139095</v>
      </c>
      <c r="L40" s="4"/>
      <c r="M40" s="4"/>
      <c r="N40" s="4">
        <f t="shared" si="3"/>
        <v>3545314</v>
      </c>
      <c r="O40" s="4"/>
      <c r="P40" s="4"/>
      <c r="Q40" s="4">
        <f t="shared" si="4"/>
        <v>62684409</v>
      </c>
    </row>
    <row r="41" spans="1:17" x14ac:dyDescent="0.25">
      <c r="A41" s="10">
        <v>36</v>
      </c>
      <c r="B41" s="4">
        <v>532233</v>
      </c>
      <c r="C41" s="7">
        <v>511406</v>
      </c>
      <c r="D41" s="7"/>
      <c r="E41" s="7">
        <v>38465</v>
      </c>
      <c r="F41" s="7">
        <v>32346</v>
      </c>
      <c r="G41" s="4"/>
      <c r="H41" s="4">
        <f t="shared" si="5"/>
        <v>570698</v>
      </c>
      <c r="I41" s="4">
        <f t="shared" si="6"/>
        <v>543752</v>
      </c>
      <c r="J41" s="4"/>
      <c r="K41" s="4">
        <f t="shared" si="2"/>
        <v>38092823.5</v>
      </c>
      <c r="L41" s="4"/>
      <c r="M41" s="4"/>
      <c r="N41" s="4">
        <f t="shared" si="3"/>
        <v>2584601.5</v>
      </c>
      <c r="O41" s="4"/>
      <c r="P41" s="4"/>
      <c r="Q41" s="4">
        <f t="shared" si="4"/>
        <v>40677425</v>
      </c>
    </row>
    <row r="42" spans="1:17" x14ac:dyDescent="0.25">
      <c r="A42" s="10">
        <v>37</v>
      </c>
      <c r="B42" s="4">
        <v>544070</v>
      </c>
      <c r="C42" s="7">
        <v>507837</v>
      </c>
      <c r="D42" s="7"/>
      <c r="E42" s="7">
        <v>40616</v>
      </c>
      <c r="F42" s="7">
        <v>34775</v>
      </c>
      <c r="G42" s="4"/>
      <c r="H42" s="4">
        <f t="shared" si="5"/>
        <v>584686</v>
      </c>
      <c r="I42" s="4">
        <f t="shared" si="6"/>
        <v>542612</v>
      </c>
      <c r="J42" s="4"/>
      <c r="K42" s="4">
        <f t="shared" si="2"/>
        <v>39446512.5</v>
      </c>
      <c r="L42" s="4"/>
      <c r="M42" s="4"/>
      <c r="N42" s="4">
        <f t="shared" si="3"/>
        <v>2827162.5</v>
      </c>
      <c r="O42" s="4"/>
      <c r="P42" s="4"/>
      <c r="Q42" s="4">
        <f t="shared" si="4"/>
        <v>42273675</v>
      </c>
    </row>
    <row r="43" spans="1:17" x14ac:dyDescent="0.25">
      <c r="A43" s="10">
        <v>38</v>
      </c>
      <c r="B43" s="4">
        <v>590814</v>
      </c>
      <c r="C43" s="7">
        <v>571083</v>
      </c>
      <c r="D43" s="7"/>
      <c r="E43" s="7">
        <v>41719</v>
      </c>
      <c r="F43" s="7">
        <v>34483</v>
      </c>
      <c r="G43" s="4"/>
      <c r="H43" s="4">
        <f t="shared" si="5"/>
        <v>632533</v>
      </c>
      <c r="I43" s="4">
        <f t="shared" si="6"/>
        <v>605566</v>
      </c>
      <c r="J43" s="4"/>
      <c r="K43" s="4">
        <f t="shared" si="2"/>
        <v>44733034.5</v>
      </c>
      <c r="L43" s="4"/>
      <c r="M43" s="4"/>
      <c r="N43" s="4">
        <f t="shared" si="3"/>
        <v>2933777</v>
      </c>
      <c r="O43" s="4"/>
      <c r="P43" s="4"/>
      <c r="Q43" s="4">
        <f t="shared" si="4"/>
        <v>47666811.5</v>
      </c>
    </row>
    <row r="44" spans="1:17" x14ac:dyDescent="0.25">
      <c r="A44" s="10">
        <v>39</v>
      </c>
      <c r="B44" s="4">
        <v>371801</v>
      </c>
      <c r="C44" s="7">
        <v>319225</v>
      </c>
      <c r="D44" s="7"/>
      <c r="E44" s="7">
        <v>27984</v>
      </c>
      <c r="F44" s="7">
        <v>21403</v>
      </c>
      <c r="G44" s="4"/>
      <c r="H44" s="4">
        <f t="shared" si="5"/>
        <v>399785</v>
      </c>
      <c r="I44" s="4">
        <f t="shared" si="6"/>
        <v>340628</v>
      </c>
      <c r="J44" s="4"/>
      <c r="K44" s="4">
        <f t="shared" si="2"/>
        <v>27295527</v>
      </c>
      <c r="L44" s="4"/>
      <c r="M44" s="4"/>
      <c r="N44" s="4">
        <f t="shared" si="3"/>
        <v>1950786.5</v>
      </c>
      <c r="O44" s="4"/>
      <c r="P44" s="4"/>
      <c r="Q44" s="4">
        <f t="shared" si="4"/>
        <v>29246313.5</v>
      </c>
    </row>
    <row r="45" spans="1:17" x14ac:dyDescent="0.25">
      <c r="A45" s="10">
        <v>40</v>
      </c>
      <c r="B45" s="4">
        <v>845897</v>
      </c>
      <c r="C45" s="7">
        <v>1137285</v>
      </c>
      <c r="D45" s="7"/>
      <c r="E45" s="7">
        <v>59608</v>
      </c>
      <c r="F45" s="7">
        <v>61859</v>
      </c>
      <c r="G45" s="4"/>
      <c r="H45" s="4">
        <f t="shared" si="5"/>
        <v>905505</v>
      </c>
      <c r="I45" s="4">
        <f t="shared" si="6"/>
        <v>1199144</v>
      </c>
      <c r="J45" s="4"/>
      <c r="K45" s="4">
        <f t="shared" si="2"/>
        <v>80318871</v>
      </c>
      <c r="L45" s="4"/>
      <c r="M45" s="4"/>
      <c r="N45" s="4">
        <f t="shared" si="3"/>
        <v>4919413.5</v>
      </c>
      <c r="O45" s="4"/>
      <c r="P45" s="4"/>
      <c r="Q45" s="4">
        <f t="shared" si="4"/>
        <v>85238284.5</v>
      </c>
    </row>
    <row r="46" spans="1:17" x14ac:dyDescent="0.25">
      <c r="A46" s="10">
        <v>41</v>
      </c>
      <c r="B46" s="4">
        <v>285755</v>
      </c>
      <c r="C46" s="7">
        <v>239131</v>
      </c>
      <c r="D46" s="7"/>
      <c r="E46" s="7">
        <v>22314</v>
      </c>
      <c r="F46" s="7">
        <v>17053</v>
      </c>
      <c r="G46" s="4"/>
      <c r="H46" s="4">
        <f t="shared" si="5"/>
        <v>308069</v>
      </c>
      <c r="I46" s="4">
        <f t="shared" si="6"/>
        <v>256184</v>
      </c>
      <c r="J46" s="4"/>
      <c r="K46" s="4">
        <f t="shared" si="2"/>
        <v>21782769</v>
      </c>
      <c r="L46" s="4"/>
      <c r="M46" s="4"/>
      <c r="N46" s="4">
        <f t="shared" si="3"/>
        <v>1633730.5</v>
      </c>
      <c r="O46" s="4"/>
      <c r="P46" s="4"/>
      <c r="Q46" s="4">
        <f t="shared" si="4"/>
        <v>23416499.5</v>
      </c>
    </row>
    <row r="47" spans="1:17" x14ac:dyDescent="0.25">
      <c r="A47" s="10">
        <v>42</v>
      </c>
      <c r="B47" s="4">
        <v>470392</v>
      </c>
      <c r="C47" s="7">
        <v>426651</v>
      </c>
      <c r="D47" s="7"/>
      <c r="E47" s="7">
        <v>33497</v>
      </c>
      <c r="F47" s="7">
        <v>25975</v>
      </c>
      <c r="G47" s="4"/>
      <c r="H47" s="4">
        <f t="shared" si="5"/>
        <v>503889</v>
      </c>
      <c r="I47" s="4">
        <f t="shared" si="6"/>
        <v>452626</v>
      </c>
      <c r="J47" s="4"/>
      <c r="K47" s="4">
        <f t="shared" si="2"/>
        <v>38124327.5</v>
      </c>
      <c r="L47" s="4"/>
      <c r="M47" s="4"/>
      <c r="N47" s="4">
        <f t="shared" si="3"/>
        <v>2527560</v>
      </c>
      <c r="O47" s="4"/>
      <c r="P47" s="4"/>
      <c r="Q47" s="4">
        <f t="shared" si="4"/>
        <v>40651887.5</v>
      </c>
    </row>
    <row r="48" spans="1:17" x14ac:dyDescent="0.25">
      <c r="A48" s="10">
        <v>43</v>
      </c>
      <c r="B48" s="4">
        <v>396143</v>
      </c>
      <c r="C48" s="7">
        <v>362891</v>
      </c>
      <c r="D48" s="7"/>
      <c r="E48" s="7">
        <v>27567</v>
      </c>
      <c r="F48" s="7">
        <v>22906</v>
      </c>
      <c r="G48" s="4"/>
      <c r="H48" s="4">
        <f t="shared" si="5"/>
        <v>423710</v>
      </c>
      <c r="I48" s="4">
        <f t="shared" si="6"/>
        <v>385797</v>
      </c>
      <c r="J48" s="4"/>
      <c r="K48" s="4">
        <f t="shared" si="2"/>
        <v>33017979</v>
      </c>
      <c r="L48" s="4"/>
      <c r="M48" s="4"/>
      <c r="N48" s="4">
        <f t="shared" si="3"/>
        <v>2195575.5</v>
      </c>
      <c r="O48" s="4"/>
      <c r="P48" s="4"/>
      <c r="Q48" s="4">
        <f t="shared" si="4"/>
        <v>35213554.5</v>
      </c>
    </row>
    <row r="49" spans="1:17" x14ac:dyDescent="0.25">
      <c r="A49" s="10">
        <v>44</v>
      </c>
      <c r="B49" s="4">
        <v>317679</v>
      </c>
      <c r="C49" s="7">
        <v>307635</v>
      </c>
      <c r="D49" s="7"/>
      <c r="E49" s="7">
        <v>23966</v>
      </c>
      <c r="F49" s="7">
        <v>20598</v>
      </c>
      <c r="G49" s="4"/>
      <c r="H49" s="4">
        <f t="shared" si="5"/>
        <v>341645</v>
      </c>
      <c r="I49" s="4">
        <f t="shared" si="6"/>
        <v>328233</v>
      </c>
      <c r="J49" s="4"/>
      <c r="K49" s="4">
        <f t="shared" si="2"/>
        <v>27826473</v>
      </c>
      <c r="L49" s="4"/>
      <c r="M49" s="4"/>
      <c r="N49" s="4">
        <f t="shared" si="3"/>
        <v>1983098</v>
      </c>
      <c r="O49" s="4"/>
      <c r="P49" s="4"/>
      <c r="Q49" s="4">
        <f t="shared" si="4"/>
        <v>29809571</v>
      </c>
    </row>
    <row r="50" spans="1:17" x14ac:dyDescent="0.25">
      <c r="A50" s="10">
        <v>45</v>
      </c>
      <c r="B50" s="4">
        <v>670439</v>
      </c>
      <c r="C50" s="7">
        <v>754688</v>
      </c>
      <c r="D50" s="7"/>
      <c r="E50" s="7">
        <v>45170</v>
      </c>
      <c r="F50" s="7">
        <v>41672</v>
      </c>
      <c r="G50" s="4"/>
      <c r="H50" s="4">
        <f t="shared" si="5"/>
        <v>715609</v>
      </c>
      <c r="I50" s="4">
        <f t="shared" si="6"/>
        <v>796360</v>
      </c>
      <c r="J50" s="4"/>
      <c r="K50" s="4">
        <f t="shared" si="2"/>
        <v>64843278.5</v>
      </c>
      <c r="L50" s="4"/>
      <c r="M50" s="4"/>
      <c r="N50" s="4">
        <f t="shared" si="3"/>
        <v>3951311</v>
      </c>
      <c r="O50" s="4"/>
      <c r="P50" s="4"/>
      <c r="Q50" s="4">
        <f t="shared" si="4"/>
        <v>68794589.5</v>
      </c>
    </row>
    <row r="51" spans="1:17" x14ac:dyDescent="0.25">
      <c r="A51" s="10">
        <v>46</v>
      </c>
      <c r="B51" s="4">
        <v>357420</v>
      </c>
      <c r="C51" s="7">
        <v>318900</v>
      </c>
      <c r="D51" s="7"/>
      <c r="E51" s="7">
        <v>26260</v>
      </c>
      <c r="F51" s="7">
        <v>21153</v>
      </c>
      <c r="G51" s="4"/>
      <c r="H51" s="4">
        <f t="shared" si="5"/>
        <v>383680</v>
      </c>
      <c r="I51" s="4">
        <f t="shared" si="6"/>
        <v>340053</v>
      </c>
      <c r="J51" s="4"/>
      <c r="K51" s="4">
        <f t="shared" si="2"/>
        <v>31448880</v>
      </c>
      <c r="L51" s="4"/>
      <c r="M51" s="4"/>
      <c r="N51" s="4">
        <f t="shared" si="3"/>
        <v>2204704.5</v>
      </c>
      <c r="O51" s="4"/>
      <c r="P51" s="4"/>
      <c r="Q51" s="4">
        <f t="shared" si="4"/>
        <v>33653584.5</v>
      </c>
    </row>
    <row r="52" spans="1:17" x14ac:dyDescent="0.25">
      <c r="A52" s="10">
        <v>47</v>
      </c>
      <c r="B52" s="4">
        <v>334129</v>
      </c>
      <c r="C52" s="7">
        <v>313291</v>
      </c>
      <c r="D52" s="7"/>
      <c r="E52" s="7">
        <v>26483</v>
      </c>
      <c r="F52" s="7">
        <v>22061</v>
      </c>
      <c r="G52" s="4"/>
      <c r="H52" s="4">
        <f t="shared" si="5"/>
        <v>360612</v>
      </c>
      <c r="I52" s="4">
        <f t="shared" si="6"/>
        <v>335352</v>
      </c>
      <c r="J52" s="4"/>
      <c r="K52" s="4">
        <f t="shared" si="2"/>
        <v>30752450</v>
      </c>
      <c r="L52" s="4"/>
      <c r="M52" s="4"/>
      <c r="N52" s="4">
        <f t="shared" si="3"/>
        <v>2305840</v>
      </c>
      <c r="O52" s="4"/>
      <c r="P52" s="4"/>
      <c r="Q52" s="4">
        <f t="shared" si="4"/>
        <v>33058290</v>
      </c>
    </row>
    <row r="53" spans="1:17" x14ac:dyDescent="0.25">
      <c r="A53" s="10">
        <v>48</v>
      </c>
      <c r="B53" s="4">
        <v>410605</v>
      </c>
      <c r="C53" s="7">
        <v>395746</v>
      </c>
      <c r="D53" s="7"/>
      <c r="E53" s="7">
        <v>30247</v>
      </c>
      <c r="F53" s="7">
        <v>23987</v>
      </c>
      <c r="G53" s="4"/>
      <c r="H53" s="4">
        <f t="shared" si="5"/>
        <v>440852</v>
      </c>
      <c r="I53" s="4">
        <f t="shared" si="6"/>
        <v>419733</v>
      </c>
      <c r="J53" s="4"/>
      <c r="K53" s="4">
        <f t="shared" si="2"/>
        <v>39108023.5</v>
      </c>
      <c r="L53" s="4"/>
      <c r="M53" s="4"/>
      <c r="N53" s="4">
        <f t="shared" si="3"/>
        <v>2630349</v>
      </c>
      <c r="O53" s="4"/>
      <c r="P53" s="4"/>
      <c r="Q53" s="4">
        <f t="shared" si="4"/>
        <v>41738372.5</v>
      </c>
    </row>
    <row r="54" spans="1:17" x14ac:dyDescent="0.25">
      <c r="A54" s="10">
        <v>49</v>
      </c>
      <c r="B54" s="4">
        <v>225880</v>
      </c>
      <c r="C54" s="7">
        <v>209479</v>
      </c>
      <c r="D54" s="7"/>
      <c r="E54" s="7">
        <v>18906</v>
      </c>
      <c r="F54" s="7">
        <v>14380</v>
      </c>
      <c r="G54" s="4"/>
      <c r="H54" s="4">
        <f t="shared" si="5"/>
        <v>244786</v>
      </c>
      <c r="I54" s="4">
        <f t="shared" si="6"/>
        <v>223859</v>
      </c>
      <c r="J54" s="4"/>
      <c r="K54" s="4">
        <f t="shared" si="2"/>
        <v>21550270.5</v>
      </c>
      <c r="L54" s="4"/>
      <c r="M54" s="4"/>
      <c r="N54" s="4">
        <f t="shared" si="3"/>
        <v>1647657</v>
      </c>
      <c r="O54" s="4"/>
      <c r="P54" s="4"/>
      <c r="Q54" s="4">
        <f t="shared" si="4"/>
        <v>23197927.5</v>
      </c>
    </row>
    <row r="55" spans="1:17" x14ac:dyDescent="0.25">
      <c r="A55" s="10">
        <v>50</v>
      </c>
      <c r="B55" s="4">
        <v>763548</v>
      </c>
      <c r="C55" s="7">
        <v>1027884</v>
      </c>
      <c r="D55" s="7"/>
      <c r="E55" s="7">
        <v>49287</v>
      </c>
      <c r="F55" s="7">
        <v>54440</v>
      </c>
      <c r="G55" s="4"/>
      <c r="H55" s="4">
        <f t="shared" si="5"/>
        <v>812835</v>
      </c>
      <c r="I55" s="4">
        <f t="shared" si="6"/>
        <v>1082324</v>
      </c>
      <c r="J55" s="4"/>
      <c r="K55" s="4">
        <f t="shared" si="2"/>
        <v>90467316</v>
      </c>
      <c r="L55" s="4"/>
      <c r="M55" s="4"/>
      <c r="N55" s="4">
        <f t="shared" si="3"/>
        <v>5238213.5</v>
      </c>
      <c r="O55" s="4"/>
      <c r="P55" s="4"/>
      <c r="Q55" s="4">
        <f t="shared" si="4"/>
        <v>95705529.5</v>
      </c>
    </row>
    <row r="56" spans="1:17" x14ac:dyDescent="0.25">
      <c r="A56" s="10">
        <v>51</v>
      </c>
      <c r="B56" s="4">
        <v>168768</v>
      </c>
      <c r="C56" s="7">
        <v>159547</v>
      </c>
      <c r="D56" s="7"/>
      <c r="E56" s="7">
        <v>14610</v>
      </c>
      <c r="F56" s="7">
        <v>11350</v>
      </c>
      <c r="G56" s="4"/>
      <c r="H56" s="4">
        <f t="shared" si="5"/>
        <v>183378</v>
      </c>
      <c r="I56" s="4">
        <f t="shared" si="6"/>
        <v>170897</v>
      </c>
      <c r="J56" s="4"/>
      <c r="K56" s="4">
        <f t="shared" si="2"/>
        <v>16908222.5</v>
      </c>
      <c r="L56" s="4"/>
      <c r="M56" s="4"/>
      <c r="N56" s="4">
        <f t="shared" si="3"/>
        <v>1336940</v>
      </c>
      <c r="O56" s="4"/>
      <c r="P56" s="4"/>
      <c r="Q56" s="4">
        <f t="shared" si="4"/>
        <v>18245162.5</v>
      </c>
    </row>
    <row r="57" spans="1:17" x14ac:dyDescent="0.25">
      <c r="A57" s="10">
        <v>52</v>
      </c>
      <c r="B57" s="4">
        <v>291755</v>
      </c>
      <c r="C57" s="7">
        <v>278743</v>
      </c>
      <c r="D57" s="7"/>
      <c r="E57" s="7">
        <v>21433</v>
      </c>
      <c r="F57" s="7">
        <v>16915</v>
      </c>
      <c r="G57" s="4"/>
      <c r="H57" s="4">
        <f t="shared" si="5"/>
        <v>313188</v>
      </c>
      <c r="I57" s="4">
        <f t="shared" si="6"/>
        <v>295658</v>
      </c>
      <c r="J57" s="4"/>
      <c r="K57" s="4">
        <f t="shared" si="2"/>
        <v>29951145</v>
      </c>
      <c r="L57" s="4"/>
      <c r="M57" s="4"/>
      <c r="N57" s="4">
        <f t="shared" si="3"/>
        <v>2013270</v>
      </c>
      <c r="O57" s="4"/>
      <c r="P57" s="4"/>
      <c r="Q57" s="4">
        <f t="shared" si="4"/>
        <v>31964415</v>
      </c>
    </row>
    <row r="58" spans="1:17" x14ac:dyDescent="0.25">
      <c r="A58" s="10">
        <v>53</v>
      </c>
      <c r="B58" s="4">
        <v>241194</v>
      </c>
      <c r="C58" s="7">
        <v>238729</v>
      </c>
      <c r="D58" s="7"/>
      <c r="E58" s="7">
        <v>18166</v>
      </c>
      <c r="F58" s="7">
        <v>14971</v>
      </c>
      <c r="G58" s="4"/>
      <c r="H58" s="4">
        <f t="shared" si="5"/>
        <v>259360</v>
      </c>
      <c r="I58" s="4">
        <f t="shared" si="6"/>
        <v>253700</v>
      </c>
      <c r="J58" s="4"/>
      <c r="K58" s="4">
        <f t="shared" si="2"/>
        <v>25675880.5</v>
      </c>
      <c r="L58" s="4"/>
      <c r="M58" s="4"/>
      <c r="N58" s="4">
        <f t="shared" si="3"/>
        <v>1772829.5</v>
      </c>
      <c r="O58" s="4"/>
      <c r="P58" s="4"/>
      <c r="Q58" s="4">
        <f t="shared" si="4"/>
        <v>27448710</v>
      </c>
    </row>
    <row r="59" spans="1:17" x14ac:dyDescent="0.25">
      <c r="A59" s="10">
        <v>54</v>
      </c>
      <c r="B59" s="4">
        <v>194666</v>
      </c>
      <c r="C59" s="7">
        <v>208179</v>
      </c>
      <c r="D59" s="7"/>
      <c r="E59" s="7">
        <v>16076</v>
      </c>
      <c r="F59" s="7">
        <v>14005</v>
      </c>
      <c r="G59" s="4"/>
      <c r="H59" s="4">
        <f t="shared" si="5"/>
        <v>210742</v>
      </c>
      <c r="I59" s="4">
        <f t="shared" si="6"/>
        <v>222184</v>
      </c>
      <c r="J59" s="4"/>
      <c r="K59" s="4">
        <f t="shared" si="2"/>
        <v>21955052.5</v>
      </c>
      <c r="L59" s="4"/>
      <c r="M59" s="4"/>
      <c r="N59" s="4">
        <f t="shared" si="3"/>
        <v>1639414.5</v>
      </c>
      <c r="O59" s="4"/>
      <c r="P59" s="4"/>
      <c r="Q59" s="4">
        <f t="shared" si="4"/>
        <v>23594467</v>
      </c>
    </row>
    <row r="60" spans="1:17" x14ac:dyDescent="0.25">
      <c r="A60" s="10">
        <v>55</v>
      </c>
      <c r="B60" s="4">
        <v>509066</v>
      </c>
      <c r="C60" s="7">
        <v>554892</v>
      </c>
      <c r="D60" s="7"/>
      <c r="E60" s="7">
        <v>33384</v>
      </c>
      <c r="F60" s="7">
        <v>30244</v>
      </c>
      <c r="G60" s="4"/>
      <c r="H60" s="4">
        <f t="shared" si="5"/>
        <v>542450</v>
      </c>
      <c r="I60" s="4">
        <f t="shared" si="6"/>
        <v>585136</v>
      </c>
      <c r="J60" s="4"/>
      <c r="K60" s="4">
        <f t="shared" si="2"/>
        <v>59049669</v>
      </c>
      <c r="L60" s="4"/>
      <c r="M60" s="4"/>
      <c r="N60" s="4">
        <f t="shared" si="3"/>
        <v>3531354</v>
      </c>
      <c r="O60" s="4"/>
      <c r="P60" s="4"/>
      <c r="Q60" s="4">
        <f t="shared" si="4"/>
        <v>62581023</v>
      </c>
    </row>
    <row r="61" spans="1:17" x14ac:dyDescent="0.25">
      <c r="A61" s="10">
        <v>56</v>
      </c>
      <c r="B61" s="7">
        <v>267596</v>
      </c>
      <c r="C61" s="7">
        <v>242422</v>
      </c>
      <c r="D61" s="7"/>
      <c r="E61" s="7">
        <v>21184</v>
      </c>
      <c r="F61" s="7">
        <v>16155</v>
      </c>
      <c r="G61" s="4"/>
      <c r="H61" s="4">
        <f t="shared" si="5"/>
        <v>288780</v>
      </c>
      <c r="I61" s="4">
        <f t="shared" si="6"/>
        <v>258577</v>
      </c>
      <c r="J61" s="4"/>
      <c r="K61" s="4">
        <f t="shared" si="2"/>
        <v>28816017</v>
      </c>
      <c r="L61" s="4"/>
      <c r="M61" s="4"/>
      <c r="N61" s="4">
        <f t="shared" si="3"/>
        <v>2109653.5</v>
      </c>
      <c r="O61" s="4"/>
      <c r="P61" s="4"/>
      <c r="Q61" s="4">
        <f t="shared" si="4"/>
        <v>30925670.5</v>
      </c>
    </row>
    <row r="62" spans="1:17" x14ac:dyDescent="0.25">
      <c r="A62" s="10">
        <v>57</v>
      </c>
      <c r="B62" s="7">
        <v>214375</v>
      </c>
      <c r="C62" s="7">
        <v>194253</v>
      </c>
      <c r="D62" s="7"/>
      <c r="E62" s="7">
        <v>18168</v>
      </c>
      <c r="F62" s="7">
        <v>14057</v>
      </c>
      <c r="G62" s="4"/>
      <c r="H62" s="4">
        <f t="shared" si="5"/>
        <v>232543</v>
      </c>
      <c r="I62" s="4">
        <f t="shared" si="6"/>
        <v>208310</v>
      </c>
      <c r="J62" s="4"/>
      <c r="K62" s="4">
        <f t="shared" si="2"/>
        <v>23496110</v>
      </c>
      <c r="L62" s="4"/>
      <c r="M62" s="4"/>
      <c r="N62" s="4">
        <f t="shared" si="3"/>
        <v>1852937.5</v>
      </c>
      <c r="O62" s="4"/>
      <c r="P62" s="4"/>
      <c r="Q62" s="4">
        <f t="shared" si="4"/>
        <v>25349047.5</v>
      </c>
    </row>
    <row r="63" spans="1:17" x14ac:dyDescent="0.25">
      <c r="A63" s="10">
        <v>58</v>
      </c>
      <c r="B63" s="7">
        <v>234447</v>
      </c>
      <c r="C63" s="7">
        <v>220324</v>
      </c>
      <c r="D63" s="7"/>
      <c r="E63" s="7">
        <v>17834</v>
      </c>
      <c r="F63" s="7">
        <v>13588</v>
      </c>
      <c r="G63" s="4"/>
      <c r="H63" s="4">
        <f t="shared" si="5"/>
        <v>252281</v>
      </c>
      <c r="I63" s="4">
        <f t="shared" si="6"/>
        <v>233912</v>
      </c>
      <c r="J63" s="4"/>
      <c r="K63" s="4">
        <f t="shared" si="2"/>
        <v>26604103.5</v>
      </c>
      <c r="L63" s="4"/>
      <c r="M63" s="4"/>
      <c r="N63" s="4">
        <f t="shared" si="3"/>
        <v>1838187</v>
      </c>
      <c r="O63" s="4"/>
      <c r="P63" s="4"/>
      <c r="Q63" s="4">
        <f t="shared" si="4"/>
        <v>28442290.5</v>
      </c>
    </row>
    <row r="64" spans="1:17" x14ac:dyDescent="0.25">
      <c r="A64" s="10">
        <v>59</v>
      </c>
      <c r="B64" s="7">
        <v>129351</v>
      </c>
      <c r="C64" s="7">
        <v>116298</v>
      </c>
      <c r="D64" s="7"/>
      <c r="E64" s="7">
        <v>11339</v>
      </c>
      <c r="F64" s="7">
        <v>9008</v>
      </c>
      <c r="G64" s="4"/>
      <c r="H64" s="4">
        <f t="shared" si="5"/>
        <v>140690</v>
      </c>
      <c r="I64" s="4">
        <f t="shared" si="6"/>
        <v>125306</v>
      </c>
      <c r="J64" s="4"/>
      <c r="K64" s="4">
        <f t="shared" si="2"/>
        <v>14616115.5</v>
      </c>
      <c r="L64" s="4"/>
      <c r="M64" s="4"/>
      <c r="N64" s="4">
        <f t="shared" si="3"/>
        <v>1210646.5</v>
      </c>
      <c r="O64" s="4"/>
      <c r="P64" s="4"/>
      <c r="Q64" s="4">
        <f t="shared" si="4"/>
        <v>15826762</v>
      </c>
    </row>
    <row r="65" spans="1:17" x14ac:dyDescent="0.25">
      <c r="A65" s="10">
        <v>60</v>
      </c>
      <c r="B65" s="7">
        <v>643708</v>
      </c>
      <c r="C65" s="7">
        <v>861175</v>
      </c>
      <c r="D65" s="7"/>
      <c r="E65" s="7">
        <v>42342</v>
      </c>
      <c r="F65" s="7">
        <v>46600</v>
      </c>
      <c r="G65" s="4"/>
      <c r="H65" s="4">
        <f t="shared" si="5"/>
        <v>686050</v>
      </c>
      <c r="I65" s="4">
        <f t="shared" si="6"/>
        <v>907775</v>
      </c>
      <c r="J65" s="4"/>
      <c r="K65" s="4">
        <f t="shared" si="2"/>
        <v>91045421.5</v>
      </c>
      <c r="L65" s="4"/>
      <c r="M65" s="4"/>
      <c r="N65" s="4">
        <f t="shared" si="3"/>
        <v>5380991</v>
      </c>
      <c r="O65" s="4"/>
      <c r="P65" s="4"/>
      <c r="Q65" s="4">
        <f t="shared" si="4"/>
        <v>96426412.5</v>
      </c>
    </row>
    <row r="66" spans="1:17" x14ac:dyDescent="0.25">
      <c r="A66" s="10">
        <v>61</v>
      </c>
      <c r="B66" s="7">
        <v>108105</v>
      </c>
      <c r="C66" s="7">
        <v>95028</v>
      </c>
      <c r="D66" s="7"/>
      <c r="E66" s="7">
        <v>10146</v>
      </c>
      <c r="F66" s="7">
        <v>7387</v>
      </c>
      <c r="G66" s="4"/>
      <c r="H66" s="4">
        <f t="shared" si="5"/>
        <v>118251</v>
      </c>
      <c r="I66" s="4">
        <f t="shared" si="6"/>
        <v>102415</v>
      </c>
      <c r="J66" s="4"/>
      <c r="K66" s="4">
        <f t="shared" si="2"/>
        <v>12492679.5</v>
      </c>
      <c r="L66" s="4"/>
      <c r="M66" s="4"/>
      <c r="N66" s="4">
        <f t="shared" si="3"/>
        <v>1078279.5</v>
      </c>
      <c r="O66" s="4"/>
      <c r="P66" s="4"/>
      <c r="Q66" s="4">
        <f t="shared" si="4"/>
        <v>13570959</v>
      </c>
    </row>
    <row r="67" spans="1:17" x14ac:dyDescent="0.25">
      <c r="A67" s="10">
        <v>62</v>
      </c>
      <c r="B67" s="7">
        <v>182621</v>
      </c>
      <c r="C67" s="7">
        <v>166253</v>
      </c>
      <c r="D67" s="7"/>
      <c r="E67" s="7">
        <v>14685</v>
      </c>
      <c r="F67" s="7">
        <v>10800</v>
      </c>
      <c r="G67" s="4"/>
      <c r="H67" s="4">
        <f t="shared" si="5"/>
        <v>197306</v>
      </c>
      <c r="I67" s="4">
        <f t="shared" si="6"/>
        <v>177053</v>
      </c>
      <c r="J67" s="4"/>
      <c r="K67" s="4">
        <f t="shared" si="2"/>
        <v>21804625</v>
      </c>
      <c r="L67" s="4"/>
      <c r="M67" s="4"/>
      <c r="N67" s="4">
        <f t="shared" si="3"/>
        <v>1592812.5</v>
      </c>
      <c r="O67" s="4"/>
      <c r="P67" s="4"/>
      <c r="Q67" s="4">
        <f t="shared" si="4"/>
        <v>23397437.5</v>
      </c>
    </row>
    <row r="68" spans="1:17" x14ac:dyDescent="0.25">
      <c r="A68" s="10">
        <v>63</v>
      </c>
      <c r="B68" s="7">
        <v>163747</v>
      </c>
      <c r="C68" s="7">
        <v>149351</v>
      </c>
      <c r="D68" s="7"/>
      <c r="E68" s="7">
        <v>13235</v>
      </c>
      <c r="F68" s="7">
        <v>9620</v>
      </c>
      <c r="G68" s="4"/>
      <c r="H68" s="4">
        <f t="shared" si="5"/>
        <v>176982</v>
      </c>
      <c r="I68" s="4">
        <f t="shared" si="6"/>
        <v>158971</v>
      </c>
      <c r="J68" s="4"/>
      <c r="K68" s="4">
        <f t="shared" si="2"/>
        <v>19881723</v>
      </c>
      <c r="L68" s="4"/>
      <c r="M68" s="4"/>
      <c r="N68" s="4">
        <f t="shared" si="3"/>
        <v>1451292.5</v>
      </c>
      <c r="O68" s="4"/>
      <c r="P68" s="4"/>
      <c r="Q68" s="4">
        <f t="shared" si="4"/>
        <v>21333015.5</v>
      </c>
    </row>
    <row r="69" spans="1:17" x14ac:dyDescent="0.25">
      <c r="A69" s="10">
        <v>64</v>
      </c>
      <c r="B69" s="7">
        <v>113167</v>
      </c>
      <c r="C69" s="7">
        <v>110139</v>
      </c>
      <c r="D69" s="7"/>
      <c r="E69" s="7">
        <v>9512</v>
      </c>
      <c r="F69" s="7">
        <v>7586</v>
      </c>
      <c r="G69" s="4"/>
      <c r="H69" s="4">
        <f t="shared" ref="H69:H100" si="7">B69+E69</f>
        <v>122679</v>
      </c>
      <c r="I69" s="4">
        <f t="shared" ref="I69:I100" si="8">C69+F69</f>
        <v>117725</v>
      </c>
      <c r="J69" s="4"/>
      <c r="K69" s="4">
        <f t="shared" si="2"/>
        <v>14403237</v>
      </c>
      <c r="L69" s="4"/>
      <c r="M69" s="4"/>
      <c r="N69" s="4">
        <f t="shared" si="3"/>
        <v>1102821</v>
      </c>
      <c r="O69" s="4"/>
      <c r="P69" s="4"/>
      <c r="Q69" s="4">
        <f t="shared" si="4"/>
        <v>15506058</v>
      </c>
    </row>
    <row r="70" spans="1:17" x14ac:dyDescent="0.25">
      <c r="A70" s="10">
        <v>65</v>
      </c>
      <c r="B70" s="7">
        <v>336633</v>
      </c>
      <c r="C70" s="7">
        <v>372005</v>
      </c>
      <c r="D70" s="7"/>
      <c r="E70" s="7">
        <v>20693</v>
      </c>
      <c r="F70" s="7">
        <v>18903</v>
      </c>
      <c r="G70" s="4"/>
      <c r="H70" s="4">
        <f t="shared" si="7"/>
        <v>357326</v>
      </c>
      <c r="I70" s="4">
        <f t="shared" si="8"/>
        <v>390908</v>
      </c>
      <c r="J70" s="4"/>
      <c r="K70" s="4">
        <f t="shared" ref="K70:K114" si="9">(B70+C70) * (0.5 +$A70)</f>
        <v>46415789</v>
      </c>
      <c r="L70" s="4"/>
      <c r="M70" s="4"/>
      <c r="N70" s="4">
        <f t="shared" ref="N70:N114" si="10">(E70+F70) * (0.5 +$A70)</f>
        <v>2593538</v>
      </c>
      <c r="O70" s="4"/>
      <c r="P70" s="4"/>
      <c r="Q70" s="4">
        <f t="shared" ref="Q70:Q114" si="11">(H70+I70) * (0.5 +$A70)</f>
        <v>49009327</v>
      </c>
    </row>
    <row r="71" spans="1:17" x14ac:dyDescent="0.25">
      <c r="A71" s="10">
        <v>66</v>
      </c>
      <c r="B71" s="7">
        <v>129285</v>
      </c>
      <c r="C71" s="7">
        <v>105776</v>
      </c>
      <c r="D71" s="7"/>
      <c r="E71" s="7">
        <v>11172</v>
      </c>
      <c r="F71" s="7">
        <v>7661</v>
      </c>
      <c r="G71" s="4"/>
      <c r="H71" s="4">
        <f t="shared" si="7"/>
        <v>140457</v>
      </c>
      <c r="I71" s="4">
        <f t="shared" si="8"/>
        <v>113437</v>
      </c>
      <c r="J71" s="4"/>
      <c r="K71" s="4">
        <f t="shared" si="9"/>
        <v>15631556.5</v>
      </c>
      <c r="L71" s="4"/>
      <c r="M71" s="4"/>
      <c r="N71" s="4">
        <f t="shared" si="10"/>
        <v>1252394.5</v>
      </c>
      <c r="O71" s="4"/>
      <c r="P71" s="4"/>
      <c r="Q71" s="4">
        <f t="shared" si="11"/>
        <v>16883951</v>
      </c>
    </row>
    <row r="72" spans="1:17" x14ac:dyDescent="0.25">
      <c r="A72" s="10">
        <v>67</v>
      </c>
      <c r="B72" s="7">
        <v>136905</v>
      </c>
      <c r="C72" s="7">
        <v>118578</v>
      </c>
      <c r="D72" s="7"/>
      <c r="E72" s="7">
        <v>11835</v>
      </c>
      <c r="F72" s="7">
        <v>8445</v>
      </c>
      <c r="G72" s="4"/>
      <c r="H72" s="4">
        <f t="shared" si="7"/>
        <v>148740</v>
      </c>
      <c r="I72" s="4">
        <f t="shared" si="8"/>
        <v>127023</v>
      </c>
      <c r="J72" s="4"/>
      <c r="K72" s="4">
        <f t="shared" si="9"/>
        <v>17245102.5</v>
      </c>
      <c r="L72" s="4"/>
      <c r="M72" s="4"/>
      <c r="N72" s="4">
        <f t="shared" si="10"/>
        <v>1368900</v>
      </c>
      <c r="O72" s="4"/>
      <c r="P72" s="4"/>
      <c r="Q72" s="4">
        <f t="shared" si="11"/>
        <v>18614002.5</v>
      </c>
    </row>
    <row r="73" spans="1:17" x14ac:dyDescent="0.25">
      <c r="A73" s="10">
        <v>68</v>
      </c>
      <c r="B73" s="7">
        <v>106248</v>
      </c>
      <c r="C73" s="7">
        <v>102565</v>
      </c>
      <c r="D73" s="7"/>
      <c r="E73" s="7">
        <v>7866</v>
      </c>
      <c r="F73" s="7">
        <v>6172</v>
      </c>
      <c r="G73" s="4"/>
      <c r="H73" s="4">
        <f t="shared" si="7"/>
        <v>114114</v>
      </c>
      <c r="I73" s="4">
        <f t="shared" si="8"/>
        <v>108737</v>
      </c>
      <c r="J73" s="4"/>
      <c r="K73" s="4">
        <f t="shared" si="9"/>
        <v>14303690.5</v>
      </c>
      <c r="L73" s="4"/>
      <c r="M73" s="4"/>
      <c r="N73" s="4">
        <f t="shared" si="10"/>
        <v>961603</v>
      </c>
      <c r="O73" s="4"/>
      <c r="P73" s="4"/>
      <c r="Q73" s="4">
        <f t="shared" si="11"/>
        <v>15265293.5</v>
      </c>
    </row>
    <row r="74" spans="1:17" x14ac:dyDescent="0.25">
      <c r="A74" s="10">
        <v>69</v>
      </c>
      <c r="B74" s="7">
        <v>56265</v>
      </c>
      <c r="C74" s="7">
        <v>56526</v>
      </c>
      <c r="D74" s="7"/>
      <c r="E74" s="7">
        <v>4840</v>
      </c>
      <c r="F74" s="7">
        <v>3982</v>
      </c>
      <c r="G74" s="4"/>
      <c r="H74" s="4">
        <f t="shared" si="7"/>
        <v>61105</v>
      </c>
      <c r="I74" s="4">
        <f t="shared" si="8"/>
        <v>60508</v>
      </c>
      <c r="J74" s="4"/>
      <c r="K74" s="4">
        <f t="shared" si="9"/>
        <v>7838974.5</v>
      </c>
      <c r="L74" s="4"/>
      <c r="M74" s="4"/>
      <c r="N74" s="4">
        <f t="shared" si="10"/>
        <v>613129</v>
      </c>
      <c r="O74" s="4"/>
      <c r="P74" s="4"/>
      <c r="Q74" s="4">
        <f t="shared" si="11"/>
        <v>8452103.5</v>
      </c>
    </row>
    <row r="75" spans="1:17" x14ac:dyDescent="0.25">
      <c r="A75" s="10">
        <v>70</v>
      </c>
      <c r="B75" s="7">
        <v>355633</v>
      </c>
      <c r="C75" s="7">
        <v>492944</v>
      </c>
      <c r="D75" s="7"/>
      <c r="E75" s="7">
        <v>23627</v>
      </c>
      <c r="F75" s="7">
        <v>29384</v>
      </c>
      <c r="G75" s="4"/>
      <c r="H75" s="4">
        <f t="shared" si="7"/>
        <v>379260</v>
      </c>
      <c r="I75" s="4">
        <f t="shared" si="8"/>
        <v>522328</v>
      </c>
      <c r="J75" s="4"/>
      <c r="K75" s="4">
        <f t="shared" si="9"/>
        <v>59824678.5</v>
      </c>
      <c r="L75" s="4"/>
      <c r="M75" s="4"/>
      <c r="N75" s="4">
        <f t="shared" si="10"/>
        <v>3737275.5</v>
      </c>
      <c r="O75" s="4"/>
      <c r="P75" s="4"/>
      <c r="Q75" s="4">
        <f t="shared" si="11"/>
        <v>63561954</v>
      </c>
    </row>
    <row r="76" spans="1:17" x14ac:dyDescent="0.25">
      <c r="A76" s="10">
        <v>71</v>
      </c>
      <c r="B76" s="7">
        <v>43447</v>
      </c>
      <c r="C76" s="7">
        <v>40219</v>
      </c>
      <c r="D76" s="7"/>
      <c r="E76" s="7">
        <v>3915</v>
      </c>
      <c r="F76" s="7">
        <v>3073</v>
      </c>
      <c r="G76" s="4"/>
      <c r="H76" s="4">
        <f t="shared" si="7"/>
        <v>47362</v>
      </c>
      <c r="I76" s="4">
        <f t="shared" si="8"/>
        <v>43292</v>
      </c>
      <c r="J76" s="4"/>
      <c r="K76" s="4">
        <f t="shared" si="9"/>
        <v>5982119</v>
      </c>
      <c r="L76" s="4"/>
      <c r="M76" s="4"/>
      <c r="N76" s="4">
        <f t="shared" si="10"/>
        <v>499642</v>
      </c>
      <c r="O76" s="4"/>
      <c r="P76" s="4"/>
      <c r="Q76" s="4">
        <f t="shared" si="11"/>
        <v>6481761</v>
      </c>
    </row>
    <row r="77" spans="1:17" x14ac:dyDescent="0.25">
      <c r="A77" s="10">
        <v>72</v>
      </c>
      <c r="B77" s="7">
        <v>74715</v>
      </c>
      <c r="C77" s="7">
        <v>67526</v>
      </c>
      <c r="D77" s="7"/>
      <c r="E77" s="7">
        <v>5915</v>
      </c>
      <c r="F77" s="7">
        <v>4328</v>
      </c>
      <c r="G77" s="4"/>
      <c r="H77" s="4">
        <f t="shared" si="7"/>
        <v>80630</v>
      </c>
      <c r="I77" s="4">
        <f t="shared" si="8"/>
        <v>71854</v>
      </c>
      <c r="J77" s="4"/>
      <c r="K77" s="4">
        <f t="shared" si="9"/>
        <v>10312472.5</v>
      </c>
      <c r="L77" s="4"/>
      <c r="M77" s="4"/>
      <c r="N77" s="4">
        <f t="shared" si="10"/>
        <v>742617.5</v>
      </c>
      <c r="O77" s="4"/>
      <c r="P77" s="4"/>
      <c r="Q77" s="4">
        <f t="shared" si="11"/>
        <v>11055090</v>
      </c>
    </row>
    <row r="78" spans="1:17" x14ac:dyDescent="0.25">
      <c r="A78" s="10">
        <v>73</v>
      </c>
      <c r="B78" s="7">
        <v>58130</v>
      </c>
      <c r="C78" s="7">
        <v>52418</v>
      </c>
      <c r="D78" s="7"/>
      <c r="E78" s="7">
        <v>4771</v>
      </c>
      <c r="F78" s="7">
        <v>3556</v>
      </c>
      <c r="G78" s="4"/>
      <c r="H78" s="4">
        <f t="shared" si="7"/>
        <v>62901</v>
      </c>
      <c r="I78" s="4">
        <f t="shared" si="8"/>
        <v>55974</v>
      </c>
      <c r="J78" s="4"/>
      <c r="K78" s="4">
        <f t="shared" si="9"/>
        <v>8125278</v>
      </c>
      <c r="L78" s="4"/>
      <c r="M78" s="4"/>
      <c r="N78" s="4">
        <f t="shared" si="10"/>
        <v>612034.5</v>
      </c>
      <c r="O78" s="4"/>
      <c r="P78" s="4"/>
      <c r="Q78" s="4">
        <f t="shared" si="11"/>
        <v>8737312.5</v>
      </c>
    </row>
    <row r="79" spans="1:17" x14ac:dyDescent="0.25">
      <c r="A79" s="10">
        <v>74</v>
      </c>
      <c r="B79" s="7">
        <v>42652</v>
      </c>
      <c r="C79" s="7">
        <v>38230</v>
      </c>
      <c r="D79" s="7"/>
      <c r="E79" s="7">
        <v>3688</v>
      </c>
      <c r="F79" s="7">
        <v>2941</v>
      </c>
      <c r="G79" s="4"/>
      <c r="H79" s="4">
        <f t="shared" si="7"/>
        <v>46340</v>
      </c>
      <c r="I79" s="4">
        <f t="shared" si="8"/>
        <v>41171</v>
      </c>
      <c r="J79" s="4"/>
      <c r="K79" s="4">
        <f t="shared" si="9"/>
        <v>6025709</v>
      </c>
      <c r="L79" s="4"/>
      <c r="M79" s="4"/>
      <c r="N79" s="4">
        <f t="shared" si="10"/>
        <v>493860.5</v>
      </c>
      <c r="O79" s="4"/>
      <c r="P79" s="4"/>
      <c r="Q79" s="4">
        <f t="shared" si="11"/>
        <v>6519569.5</v>
      </c>
    </row>
    <row r="80" spans="1:17" x14ac:dyDescent="0.25">
      <c r="A80" s="10">
        <v>75</v>
      </c>
      <c r="B80" s="7">
        <v>149460</v>
      </c>
      <c r="C80" s="7">
        <v>151133</v>
      </c>
      <c r="D80" s="7"/>
      <c r="E80" s="7">
        <v>9322</v>
      </c>
      <c r="F80" s="7">
        <v>8289</v>
      </c>
      <c r="G80" s="4"/>
      <c r="H80" s="4">
        <f t="shared" si="7"/>
        <v>158782</v>
      </c>
      <c r="I80" s="4">
        <f t="shared" si="8"/>
        <v>159422</v>
      </c>
      <c r="J80" s="4"/>
      <c r="K80" s="4">
        <f t="shared" si="9"/>
        <v>22694771.5</v>
      </c>
      <c r="L80" s="4"/>
      <c r="M80" s="4"/>
      <c r="N80" s="4">
        <f t="shared" si="10"/>
        <v>1329630.5</v>
      </c>
      <c r="O80" s="4"/>
      <c r="P80" s="4"/>
      <c r="Q80" s="4">
        <f t="shared" si="11"/>
        <v>24024402</v>
      </c>
    </row>
    <row r="81" spans="1:17" x14ac:dyDescent="0.25">
      <c r="A81" s="10">
        <v>76</v>
      </c>
      <c r="B81" s="7">
        <v>45629</v>
      </c>
      <c r="C81" s="7">
        <v>36698</v>
      </c>
      <c r="D81" s="7"/>
      <c r="E81" s="7">
        <v>4045</v>
      </c>
      <c r="F81" s="7">
        <v>2747</v>
      </c>
      <c r="G81" s="4"/>
      <c r="H81" s="4">
        <f t="shared" si="7"/>
        <v>49674</v>
      </c>
      <c r="I81" s="4">
        <f t="shared" si="8"/>
        <v>39445</v>
      </c>
      <c r="J81" s="4"/>
      <c r="K81" s="4">
        <f t="shared" si="9"/>
        <v>6298015.5</v>
      </c>
      <c r="L81" s="4"/>
      <c r="M81" s="4"/>
      <c r="N81" s="4">
        <f t="shared" si="10"/>
        <v>519588</v>
      </c>
      <c r="O81" s="4"/>
      <c r="P81" s="4"/>
      <c r="Q81" s="4">
        <f t="shared" si="11"/>
        <v>6817603.5</v>
      </c>
    </row>
    <row r="82" spans="1:17" x14ac:dyDescent="0.25">
      <c r="A82" s="10">
        <v>77</v>
      </c>
      <c r="B82" s="7">
        <v>37136</v>
      </c>
      <c r="C82" s="7">
        <v>29059</v>
      </c>
      <c r="D82" s="7"/>
      <c r="E82" s="7">
        <v>3689</v>
      </c>
      <c r="F82" s="7">
        <v>2404</v>
      </c>
      <c r="G82" s="4"/>
      <c r="H82" s="4">
        <f t="shared" si="7"/>
        <v>40825</v>
      </c>
      <c r="I82" s="4">
        <f t="shared" si="8"/>
        <v>31463</v>
      </c>
      <c r="J82" s="4"/>
      <c r="K82" s="4">
        <f t="shared" si="9"/>
        <v>5130112.5</v>
      </c>
      <c r="L82" s="4"/>
      <c r="M82" s="4"/>
      <c r="N82" s="4">
        <f t="shared" si="10"/>
        <v>472207.5</v>
      </c>
      <c r="O82" s="4"/>
      <c r="P82" s="4"/>
      <c r="Q82" s="4">
        <f t="shared" si="11"/>
        <v>5602320</v>
      </c>
    </row>
    <row r="83" spans="1:17" x14ac:dyDescent="0.25">
      <c r="A83" s="10">
        <v>78</v>
      </c>
      <c r="B83" s="7">
        <v>42429</v>
      </c>
      <c r="C83" s="7">
        <v>36768</v>
      </c>
      <c r="D83" s="7"/>
      <c r="E83" s="7">
        <v>3638</v>
      </c>
      <c r="F83" s="7">
        <v>2611</v>
      </c>
      <c r="G83" s="4"/>
      <c r="H83" s="4">
        <f t="shared" si="7"/>
        <v>46067</v>
      </c>
      <c r="I83" s="4">
        <f t="shared" si="8"/>
        <v>39379</v>
      </c>
      <c r="J83" s="4"/>
      <c r="K83" s="4">
        <f t="shared" si="9"/>
        <v>6216964.5</v>
      </c>
      <c r="L83" s="4"/>
      <c r="M83" s="4"/>
      <c r="N83" s="4">
        <f t="shared" si="10"/>
        <v>490546.5</v>
      </c>
      <c r="O83" s="4"/>
      <c r="P83" s="4"/>
      <c r="Q83" s="4">
        <f t="shared" si="11"/>
        <v>6707511</v>
      </c>
    </row>
    <row r="84" spans="1:17" x14ac:dyDescent="0.25">
      <c r="A84" s="10">
        <v>79</v>
      </c>
      <c r="B84" s="7">
        <v>17313</v>
      </c>
      <c r="C84" s="7">
        <v>15690</v>
      </c>
      <c r="D84" s="7"/>
      <c r="E84" s="7">
        <v>1737</v>
      </c>
      <c r="F84" s="7">
        <v>1260</v>
      </c>
      <c r="G84" s="4"/>
      <c r="H84" s="4">
        <f t="shared" si="7"/>
        <v>19050</v>
      </c>
      <c r="I84" s="4">
        <f t="shared" si="8"/>
        <v>16950</v>
      </c>
      <c r="J84" s="4"/>
      <c r="K84" s="4">
        <f t="shared" si="9"/>
        <v>2623738.5</v>
      </c>
      <c r="L84" s="4"/>
      <c r="M84" s="4"/>
      <c r="N84" s="4">
        <f t="shared" si="10"/>
        <v>238261.5</v>
      </c>
      <c r="O84" s="4"/>
      <c r="P84" s="4"/>
      <c r="Q84" s="4">
        <f t="shared" si="11"/>
        <v>2862000</v>
      </c>
    </row>
    <row r="85" spans="1:17" x14ac:dyDescent="0.25">
      <c r="A85" s="10">
        <v>80</v>
      </c>
      <c r="B85" s="7">
        <v>131060</v>
      </c>
      <c r="C85" s="7">
        <v>163226</v>
      </c>
      <c r="D85" s="7"/>
      <c r="E85" s="7">
        <v>10307</v>
      </c>
      <c r="F85" s="7">
        <v>11875</v>
      </c>
      <c r="G85" s="4"/>
      <c r="H85" s="4">
        <f t="shared" si="7"/>
        <v>141367</v>
      </c>
      <c r="I85" s="4">
        <f t="shared" si="8"/>
        <v>175101</v>
      </c>
      <c r="J85" s="4"/>
      <c r="K85" s="4">
        <f t="shared" si="9"/>
        <v>23690023</v>
      </c>
      <c r="L85" s="4"/>
      <c r="M85" s="4"/>
      <c r="N85" s="4">
        <f t="shared" si="10"/>
        <v>1785651</v>
      </c>
      <c r="O85" s="4"/>
      <c r="P85" s="4"/>
      <c r="Q85" s="4">
        <f t="shared" si="11"/>
        <v>25475674</v>
      </c>
    </row>
    <row r="86" spans="1:17" x14ac:dyDescent="0.25">
      <c r="A86" s="10">
        <v>81</v>
      </c>
      <c r="B86" s="7">
        <v>10969</v>
      </c>
      <c r="C86" s="7">
        <v>9583</v>
      </c>
      <c r="D86" s="7"/>
      <c r="E86" s="7">
        <v>1208</v>
      </c>
      <c r="F86" s="7">
        <v>875</v>
      </c>
      <c r="G86" s="4"/>
      <c r="H86" s="4">
        <f t="shared" si="7"/>
        <v>12177</v>
      </c>
      <c r="I86" s="4">
        <f t="shared" si="8"/>
        <v>10458</v>
      </c>
      <c r="J86" s="4"/>
      <c r="K86" s="4">
        <f t="shared" si="9"/>
        <v>1674988</v>
      </c>
      <c r="L86" s="4"/>
      <c r="M86" s="4"/>
      <c r="N86" s="4">
        <f t="shared" si="10"/>
        <v>169764.5</v>
      </c>
      <c r="O86" s="4"/>
      <c r="P86" s="4"/>
      <c r="Q86" s="4">
        <f t="shared" si="11"/>
        <v>1844752.5</v>
      </c>
    </row>
    <row r="87" spans="1:17" x14ac:dyDescent="0.25">
      <c r="A87" s="10">
        <v>82</v>
      </c>
      <c r="B87" s="7">
        <v>16538</v>
      </c>
      <c r="C87" s="7">
        <v>14100</v>
      </c>
      <c r="D87" s="7"/>
      <c r="E87" s="7">
        <v>1515</v>
      </c>
      <c r="F87" s="7">
        <v>1147</v>
      </c>
      <c r="G87" s="4"/>
      <c r="H87" s="4">
        <f t="shared" si="7"/>
        <v>18053</v>
      </c>
      <c r="I87" s="4">
        <f t="shared" si="8"/>
        <v>15247</v>
      </c>
      <c r="J87" s="4"/>
      <c r="K87" s="4">
        <f t="shared" si="9"/>
        <v>2527635</v>
      </c>
      <c r="L87" s="4"/>
      <c r="M87" s="4"/>
      <c r="N87" s="4">
        <f t="shared" si="10"/>
        <v>219615</v>
      </c>
      <c r="O87" s="4"/>
      <c r="P87" s="4"/>
      <c r="Q87" s="4">
        <f t="shared" si="11"/>
        <v>2747250</v>
      </c>
    </row>
    <row r="88" spans="1:17" x14ac:dyDescent="0.25">
      <c r="A88" s="10">
        <v>83</v>
      </c>
      <c r="B88" s="7">
        <v>11952</v>
      </c>
      <c r="C88" s="7">
        <v>10103</v>
      </c>
      <c r="D88" s="7"/>
      <c r="E88" s="7">
        <v>1194</v>
      </c>
      <c r="F88" s="7">
        <v>872</v>
      </c>
      <c r="G88" s="4"/>
      <c r="H88" s="4">
        <f t="shared" si="7"/>
        <v>13146</v>
      </c>
      <c r="I88" s="4">
        <f t="shared" si="8"/>
        <v>10975</v>
      </c>
      <c r="J88" s="4"/>
      <c r="K88" s="4">
        <f t="shared" si="9"/>
        <v>1841592.5</v>
      </c>
      <c r="L88" s="4"/>
      <c r="M88" s="4"/>
      <c r="N88" s="4">
        <f t="shared" si="10"/>
        <v>172511</v>
      </c>
      <c r="O88" s="4"/>
      <c r="P88" s="4"/>
      <c r="Q88" s="4">
        <f t="shared" si="11"/>
        <v>2014103.5</v>
      </c>
    </row>
    <row r="89" spans="1:17" x14ac:dyDescent="0.25">
      <c r="A89" s="10">
        <v>84</v>
      </c>
      <c r="B89" s="7">
        <v>10947</v>
      </c>
      <c r="C89" s="7">
        <v>8651</v>
      </c>
      <c r="D89" s="7"/>
      <c r="E89" s="7">
        <v>1047</v>
      </c>
      <c r="F89" s="7">
        <v>661</v>
      </c>
      <c r="G89" s="4"/>
      <c r="H89" s="4">
        <f t="shared" si="7"/>
        <v>11994</v>
      </c>
      <c r="I89" s="4">
        <f t="shared" si="8"/>
        <v>9312</v>
      </c>
      <c r="J89" s="4"/>
      <c r="K89" s="4">
        <f t="shared" si="9"/>
        <v>1656031</v>
      </c>
      <c r="L89" s="4"/>
      <c r="M89" s="4"/>
      <c r="N89" s="4">
        <f t="shared" si="10"/>
        <v>144326</v>
      </c>
      <c r="O89" s="4"/>
      <c r="P89" s="4"/>
      <c r="Q89" s="4">
        <f t="shared" si="11"/>
        <v>1800357</v>
      </c>
    </row>
    <row r="90" spans="1:17" x14ac:dyDescent="0.25">
      <c r="A90" s="10">
        <v>85</v>
      </c>
      <c r="B90" s="7">
        <v>33818</v>
      </c>
      <c r="C90" s="7">
        <v>32819</v>
      </c>
      <c r="D90" s="7"/>
      <c r="E90" s="7">
        <v>2628</v>
      </c>
      <c r="F90" s="7">
        <v>2066</v>
      </c>
      <c r="G90" s="4"/>
      <c r="H90" s="4">
        <f t="shared" si="7"/>
        <v>36446</v>
      </c>
      <c r="I90" s="4">
        <f t="shared" si="8"/>
        <v>34885</v>
      </c>
      <c r="J90" s="4"/>
      <c r="K90" s="4">
        <f t="shared" si="9"/>
        <v>5697463.5</v>
      </c>
      <c r="L90" s="4"/>
      <c r="M90" s="4"/>
      <c r="N90" s="4">
        <f t="shared" si="10"/>
        <v>401337</v>
      </c>
      <c r="O90" s="4"/>
      <c r="P90" s="4"/>
      <c r="Q90" s="4">
        <f t="shared" si="11"/>
        <v>6098800.5</v>
      </c>
    </row>
    <row r="91" spans="1:17" x14ac:dyDescent="0.25">
      <c r="A91" s="10">
        <v>86</v>
      </c>
      <c r="B91" s="7">
        <v>8708</v>
      </c>
      <c r="C91" s="7">
        <v>6685</v>
      </c>
      <c r="D91" s="7"/>
      <c r="E91" s="7">
        <v>949</v>
      </c>
      <c r="F91" s="7">
        <v>579</v>
      </c>
      <c r="G91" s="4"/>
      <c r="H91" s="4">
        <f t="shared" si="7"/>
        <v>9657</v>
      </c>
      <c r="I91" s="4">
        <f t="shared" si="8"/>
        <v>7264</v>
      </c>
      <c r="J91" s="4"/>
      <c r="K91" s="4">
        <f t="shared" si="9"/>
        <v>1331494.5</v>
      </c>
      <c r="L91" s="4"/>
      <c r="M91" s="4"/>
      <c r="N91" s="4">
        <f t="shared" si="10"/>
        <v>132172</v>
      </c>
      <c r="O91" s="4"/>
      <c r="P91" s="4"/>
      <c r="Q91" s="4">
        <f t="shared" si="11"/>
        <v>1463666.5</v>
      </c>
    </row>
    <row r="92" spans="1:17" x14ac:dyDescent="0.25">
      <c r="A92" s="10">
        <v>87</v>
      </c>
      <c r="B92" s="7">
        <v>7036</v>
      </c>
      <c r="C92" s="7">
        <v>5869</v>
      </c>
      <c r="D92" s="7"/>
      <c r="E92" s="7">
        <v>833</v>
      </c>
      <c r="F92" s="7">
        <v>519</v>
      </c>
      <c r="G92" s="4"/>
      <c r="H92" s="4">
        <f t="shared" si="7"/>
        <v>7869</v>
      </c>
      <c r="I92" s="4">
        <f t="shared" si="8"/>
        <v>6388</v>
      </c>
      <c r="J92" s="4"/>
      <c r="K92" s="4">
        <f t="shared" si="9"/>
        <v>1129187.5</v>
      </c>
      <c r="L92" s="4"/>
      <c r="M92" s="4"/>
      <c r="N92" s="4">
        <f t="shared" si="10"/>
        <v>118300</v>
      </c>
      <c r="O92" s="4"/>
      <c r="P92" s="4"/>
      <c r="Q92" s="4">
        <f t="shared" si="11"/>
        <v>1247487.5</v>
      </c>
    </row>
    <row r="93" spans="1:17" x14ac:dyDescent="0.25">
      <c r="A93" s="10">
        <v>88</v>
      </c>
      <c r="B93" s="7">
        <v>5592</v>
      </c>
      <c r="C93" s="7">
        <v>4856</v>
      </c>
      <c r="D93" s="7"/>
      <c r="E93" s="7">
        <v>721</v>
      </c>
      <c r="F93" s="7">
        <v>486</v>
      </c>
      <c r="G93" s="4"/>
      <c r="H93" s="4">
        <f t="shared" si="7"/>
        <v>6313</v>
      </c>
      <c r="I93" s="4">
        <f t="shared" si="8"/>
        <v>5342</v>
      </c>
      <c r="J93" s="4"/>
      <c r="K93" s="4">
        <f t="shared" si="9"/>
        <v>924648</v>
      </c>
      <c r="L93" s="4"/>
      <c r="M93" s="4"/>
      <c r="N93" s="4">
        <f t="shared" si="10"/>
        <v>106819.5</v>
      </c>
      <c r="O93" s="4"/>
      <c r="P93" s="4"/>
      <c r="Q93" s="4">
        <f t="shared" si="11"/>
        <v>1031467.5</v>
      </c>
    </row>
    <row r="94" spans="1:17" x14ac:dyDescent="0.25">
      <c r="A94" s="10">
        <v>89</v>
      </c>
      <c r="B94" s="7">
        <v>3253</v>
      </c>
      <c r="C94" s="7">
        <v>3295</v>
      </c>
      <c r="D94" s="7"/>
      <c r="E94" s="7">
        <v>482</v>
      </c>
      <c r="F94" s="7">
        <v>355</v>
      </c>
      <c r="G94" s="4"/>
      <c r="H94" s="4">
        <f t="shared" si="7"/>
        <v>3735</v>
      </c>
      <c r="I94" s="4">
        <f t="shared" si="8"/>
        <v>3650</v>
      </c>
      <c r="J94" s="4"/>
      <c r="K94" s="4">
        <f t="shared" si="9"/>
        <v>586046</v>
      </c>
      <c r="L94" s="4"/>
      <c r="M94" s="4"/>
      <c r="N94" s="4">
        <f t="shared" si="10"/>
        <v>74911.5</v>
      </c>
      <c r="O94" s="4"/>
      <c r="P94" s="4"/>
      <c r="Q94" s="4">
        <f t="shared" si="11"/>
        <v>660957.5</v>
      </c>
    </row>
    <row r="95" spans="1:17" x14ac:dyDescent="0.25">
      <c r="A95" s="10">
        <v>90</v>
      </c>
      <c r="B95" s="7">
        <v>22012</v>
      </c>
      <c r="C95" s="7">
        <v>29902</v>
      </c>
      <c r="D95" s="7"/>
      <c r="E95" s="7">
        <v>2464</v>
      </c>
      <c r="F95" s="7">
        <v>2723</v>
      </c>
      <c r="G95" s="4"/>
      <c r="H95" s="4">
        <f t="shared" si="7"/>
        <v>24476</v>
      </c>
      <c r="I95" s="4">
        <f t="shared" si="8"/>
        <v>32625</v>
      </c>
      <c r="J95" s="4"/>
      <c r="K95" s="4">
        <f t="shared" si="9"/>
        <v>4698217</v>
      </c>
      <c r="L95" s="4"/>
      <c r="M95" s="4"/>
      <c r="N95" s="4">
        <f t="shared" si="10"/>
        <v>469423.5</v>
      </c>
      <c r="O95" s="4"/>
      <c r="P95" s="4"/>
      <c r="Q95" s="4">
        <f t="shared" si="11"/>
        <v>5167640.5</v>
      </c>
    </row>
    <row r="96" spans="1:17" x14ac:dyDescent="0.25">
      <c r="A96" s="10">
        <v>91</v>
      </c>
      <c r="B96" s="7">
        <v>1301</v>
      </c>
      <c r="C96" s="7">
        <v>1367</v>
      </c>
      <c r="D96" s="7"/>
      <c r="E96" s="7">
        <v>259</v>
      </c>
      <c r="F96" s="7">
        <v>162</v>
      </c>
      <c r="G96" s="4"/>
      <c r="H96" s="4">
        <f t="shared" si="7"/>
        <v>1560</v>
      </c>
      <c r="I96" s="4">
        <f t="shared" si="8"/>
        <v>1529</v>
      </c>
      <c r="J96" s="4"/>
      <c r="K96" s="4">
        <f t="shared" si="9"/>
        <v>244122</v>
      </c>
      <c r="L96" s="4"/>
      <c r="M96" s="4"/>
      <c r="N96" s="4">
        <f t="shared" si="10"/>
        <v>38521.5</v>
      </c>
      <c r="O96" s="4"/>
      <c r="P96" s="4"/>
      <c r="Q96" s="4">
        <f t="shared" si="11"/>
        <v>282643.5</v>
      </c>
    </row>
    <row r="97" spans="1:17" x14ac:dyDescent="0.25">
      <c r="A97" s="10">
        <v>92</v>
      </c>
      <c r="B97" s="7">
        <v>1675</v>
      </c>
      <c r="C97" s="7">
        <v>1816</v>
      </c>
      <c r="D97" s="7"/>
      <c r="E97" s="7">
        <v>266</v>
      </c>
      <c r="F97" s="7">
        <v>181</v>
      </c>
      <c r="G97" s="4"/>
      <c r="H97" s="4">
        <f t="shared" si="7"/>
        <v>1941</v>
      </c>
      <c r="I97" s="4">
        <f t="shared" si="8"/>
        <v>1997</v>
      </c>
      <c r="J97" s="4"/>
      <c r="K97" s="4">
        <f t="shared" si="9"/>
        <v>322917.5</v>
      </c>
      <c r="L97" s="4"/>
      <c r="M97" s="4"/>
      <c r="N97" s="4">
        <f t="shared" si="10"/>
        <v>41347.5</v>
      </c>
      <c r="O97" s="4"/>
      <c r="P97" s="4"/>
      <c r="Q97" s="4">
        <f t="shared" si="11"/>
        <v>364265</v>
      </c>
    </row>
    <row r="98" spans="1:17" x14ac:dyDescent="0.25">
      <c r="A98" s="10">
        <v>93</v>
      </c>
      <c r="B98" s="7">
        <v>1425</v>
      </c>
      <c r="C98" s="7">
        <v>1386</v>
      </c>
      <c r="D98" s="7"/>
      <c r="E98" s="7">
        <v>245</v>
      </c>
      <c r="F98" s="7">
        <v>141</v>
      </c>
      <c r="G98" s="4"/>
      <c r="H98" s="4">
        <f t="shared" si="7"/>
        <v>1670</v>
      </c>
      <c r="I98" s="4">
        <f t="shared" si="8"/>
        <v>1527</v>
      </c>
      <c r="J98" s="4"/>
      <c r="K98" s="4">
        <f t="shared" si="9"/>
        <v>262828.5</v>
      </c>
      <c r="L98" s="4"/>
      <c r="M98" s="4"/>
      <c r="N98" s="4">
        <f t="shared" si="10"/>
        <v>36091</v>
      </c>
      <c r="O98" s="4"/>
      <c r="P98" s="4"/>
      <c r="Q98" s="4">
        <f t="shared" si="11"/>
        <v>298919.5</v>
      </c>
    </row>
    <row r="99" spans="1:17" x14ac:dyDescent="0.25">
      <c r="A99" s="10">
        <v>94</v>
      </c>
      <c r="B99" s="7">
        <v>1192</v>
      </c>
      <c r="C99" s="7">
        <v>1041</v>
      </c>
      <c r="D99" s="7"/>
      <c r="E99" s="7">
        <v>199</v>
      </c>
      <c r="F99" s="7">
        <v>101</v>
      </c>
      <c r="G99" s="4"/>
      <c r="H99" s="4">
        <f t="shared" si="7"/>
        <v>1391</v>
      </c>
      <c r="I99" s="4">
        <f t="shared" si="8"/>
        <v>1142</v>
      </c>
      <c r="J99" s="4"/>
      <c r="K99" s="4">
        <f t="shared" si="9"/>
        <v>211018.5</v>
      </c>
      <c r="L99" s="4"/>
      <c r="M99" s="4"/>
      <c r="N99" s="4">
        <f t="shared" si="10"/>
        <v>28350</v>
      </c>
      <c r="O99" s="4"/>
      <c r="P99" s="4"/>
      <c r="Q99" s="4">
        <f t="shared" si="11"/>
        <v>239368.5</v>
      </c>
    </row>
    <row r="100" spans="1:17" x14ac:dyDescent="0.25">
      <c r="A100" s="10">
        <v>95</v>
      </c>
      <c r="B100" s="7">
        <v>4720</v>
      </c>
      <c r="C100" s="7">
        <v>5317</v>
      </c>
      <c r="D100" s="7"/>
      <c r="E100" s="7">
        <v>524</v>
      </c>
      <c r="F100" s="7">
        <v>428</v>
      </c>
      <c r="G100" s="4"/>
      <c r="H100" s="4">
        <f t="shared" si="7"/>
        <v>5244</v>
      </c>
      <c r="I100" s="4">
        <f t="shared" si="8"/>
        <v>5745</v>
      </c>
      <c r="J100" s="4"/>
      <c r="K100" s="4">
        <f t="shared" si="9"/>
        <v>958533.5</v>
      </c>
      <c r="L100" s="4"/>
      <c r="M100" s="4"/>
      <c r="N100" s="4">
        <f t="shared" si="10"/>
        <v>90916</v>
      </c>
      <c r="O100" s="4"/>
      <c r="P100" s="4"/>
      <c r="Q100" s="4">
        <f t="shared" si="11"/>
        <v>1049449.5</v>
      </c>
    </row>
    <row r="101" spans="1:17" x14ac:dyDescent="0.25">
      <c r="A101" s="10">
        <v>96</v>
      </c>
      <c r="B101" s="7">
        <v>1839</v>
      </c>
      <c r="C101" s="7">
        <v>1646</v>
      </c>
      <c r="D101" s="7"/>
      <c r="E101" s="7">
        <v>315</v>
      </c>
      <c r="F101" s="7">
        <v>181</v>
      </c>
      <c r="G101" s="4"/>
      <c r="H101" s="4">
        <f t="shared" ref="H101:H114" si="12">B101+E101</f>
        <v>2154</v>
      </c>
      <c r="I101" s="4">
        <f t="shared" ref="I101:I114" si="13">C101+F101</f>
        <v>1827</v>
      </c>
      <c r="J101" s="4"/>
      <c r="K101" s="4">
        <f t="shared" si="9"/>
        <v>336302.5</v>
      </c>
      <c r="L101" s="4"/>
      <c r="M101" s="4"/>
      <c r="N101" s="4">
        <f t="shared" si="10"/>
        <v>47864</v>
      </c>
      <c r="O101" s="4"/>
      <c r="P101" s="4"/>
      <c r="Q101" s="4">
        <f t="shared" si="11"/>
        <v>384166.5</v>
      </c>
    </row>
    <row r="102" spans="1:17" x14ac:dyDescent="0.25">
      <c r="A102" s="10">
        <v>97</v>
      </c>
      <c r="B102" s="7">
        <v>1432</v>
      </c>
      <c r="C102" s="7">
        <v>1213</v>
      </c>
      <c r="D102" s="7"/>
      <c r="E102" s="7">
        <v>206</v>
      </c>
      <c r="F102" s="7">
        <v>107</v>
      </c>
      <c r="G102" s="4"/>
      <c r="H102" s="4">
        <f t="shared" si="12"/>
        <v>1638</v>
      </c>
      <c r="I102" s="4">
        <f t="shared" si="13"/>
        <v>1320</v>
      </c>
      <c r="J102" s="4"/>
      <c r="K102" s="4">
        <f t="shared" si="9"/>
        <v>257887.5</v>
      </c>
      <c r="L102" s="4"/>
      <c r="M102" s="4"/>
      <c r="N102" s="4">
        <f t="shared" si="10"/>
        <v>30517.5</v>
      </c>
      <c r="O102" s="4"/>
      <c r="P102" s="4"/>
      <c r="Q102" s="4">
        <f t="shared" si="11"/>
        <v>288405</v>
      </c>
    </row>
    <row r="103" spans="1:17" x14ac:dyDescent="0.25">
      <c r="A103" s="10">
        <v>98</v>
      </c>
      <c r="B103" s="7">
        <v>1400</v>
      </c>
      <c r="C103" s="7">
        <v>1331</v>
      </c>
      <c r="D103" s="7"/>
      <c r="E103" s="7">
        <v>183</v>
      </c>
      <c r="F103" s="7">
        <v>106</v>
      </c>
      <c r="G103" s="4"/>
      <c r="H103" s="4">
        <f t="shared" si="12"/>
        <v>1583</v>
      </c>
      <c r="I103" s="4">
        <f t="shared" si="13"/>
        <v>1437</v>
      </c>
      <c r="J103" s="4"/>
      <c r="K103" s="4">
        <f t="shared" si="9"/>
        <v>269003.5</v>
      </c>
      <c r="L103" s="4"/>
      <c r="M103" s="4"/>
      <c r="N103" s="4">
        <f t="shared" si="10"/>
        <v>28466.5</v>
      </c>
      <c r="O103" s="4"/>
      <c r="P103" s="4"/>
      <c r="Q103" s="4">
        <f t="shared" si="11"/>
        <v>297470</v>
      </c>
    </row>
    <row r="104" spans="1:17" x14ac:dyDescent="0.25">
      <c r="A104" s="10">
        <v>99</v>
      </c>
      <c r="B104" s="7">
        <v>609</v>
      </c>
      <c r="C104" s="7">
        <v>699</v>
      </c>
      <c r="D104" s="7"/>
      <c r="E104" s="7">
        <v>108</v>
      </c>
      <c r="F104" s="7">
        <v>88</v>
      </c>
      <c r="G104" s="4"/>
      <c r="H104" s="4">
        <f t="shared" si="12"/>
        <v>717</v>
      </c>
      <c r="I104" s="4">
        <f t="shared" si="13"/>
        <v>787</v>
      </c>
      <c r="J104" s="4"/>
      <c r="K104" s="4">
        <f t="shared" si="9"/>
        <v>130146</v>
      </c>
      <c r="L104" s="4"/>
      <c r="M104" s="4"/>
      <c r="N104" s="4">
        <f t="shared" si="10"/>
        <v>19502</v>
      </c>
      <c r="O104" s="4"/>
      <c r="P104" s="4"/>
      <c r="Q104" s="4">
        <f t="shared" si="11"/>
        <v>149648</v>
      </c>
    </row>
    <row r="105" spans="1:17" x14ac:dyDescent="0.25">
      <c r="A105" s="10">
        <v>100</v>
      </c>
      <c r="B105" s="7">
        <v>2044</v>
      </c>
      <c r="C105" s="7">
        <v>3241</v>
      </c>
      <c r="D105" s="7"/>
      <c r="E105" s="7">
        <v>356</v>
      </c>
      <c r="F105" s="7">
        <v>394</v>
      </c>
      <c r="G105" s="4"/>
      <c r="H105" s="4">
        <f t="shared" si="12"/>
        <v>2400</v>
      </c>
      <c r="I105" s="4">
        <f t="shared" si="13"/>
        <v>3635</v>
      </c>
      <c r="J105" s="4"/>
      <c r="K105" s="4">
        <f t="shared" si="9"/>
        <v>531142.5</v>
      </c>
      <c r="L105" s="4"/>
      <c r="M105" s="4"/>
      <c r="N105" s="4">
        <f t="shared" si="10"/>
        <v>75375</v>
      </c>
      <c r="O105" s="4"/>
      <c r="P105" s="4"/>
      <c r="Q105" s="4">
        <f t="shared" si="11"/>
        <v>606517.5</v>
      </c>
    </row>
    <row r="106" spans="1:17" x14ac:dyDescent="0.25">
      <c r="A106" s="10">
        <v>101</v>
      </c>
      <c r="B106" s="7">
        <v>230</v>
      </c>
      <c r="C106" s="7">
        <v>258</v>
      </c>
      <c r="D106" s="7"/>
      <c r="E106" s="7">
        <v>41</v>
      </c>
      <c r="F106" s="7">
        <v>36</v>
      </c>
      <c r="G106" s="4"/>
      <c r="H106" s="4">
        <f t="shared" si="12"/>
        <v>271</v>
      </c>
      <c r="I106" s="4">
        <f t="shared" si="13"/>
        <v>294</v>
      </c>
      <c r="J106" s="4"/>
      <c r="K106" s="4">
        <f t="shared" si="9"/>
        <v>49532</v>
      </c>
      <c r="L106" s="4"/>
      <c r="M106" s="4"/>
      <c r="N106" s="4">
        <f t="shared" si="10"/>
        <v>7815.5</v>
      </c>
      <c r="O106" s="4"/>
      <c r="P106" s="4"/>
      <c r="Q106" s="4">
        <f t="shared" si="11"/>
        <v>57347.5</v>
      </c>
    </row>
    <row r="107" spans="1:17" x14ac:dyDescent="0.25">
      <c r="A107" s="10">
        <v>102</v>
      </c>
      <c r="B107" s="7">
        <v>278</v>
      </c>
      <c r="C107" s="7">
        <v>358</v>
      </c>
      <c r="D107" s="7"/>
      <c r="E107" s="7">
        <v>74</v>
      </c>
      <c r="F107" s="7">
        <v>52</v>
      </c>
      <c r="G107" s="4"/>
      <c r="H107" s="4">
        <f t="shared" si="12"/>
        <v>352</v>
      </c>
      <c r="I107" s="4">
        <f t="shared" si="13"/>
        <v>410</v>
      </c>
      <c r="J107" s="4"/>
      <c r="K107" s="4">
        <f t="shared" si="9"/>
        <v>65190</v>
      </c>
      <c r="L107" s="4"/>
      <c r="M107" s="4"/>
      <c r="N107" s="4">
        <f t="shared" si="10"/>
        <v>12915</v>
      </c>
      <c r="O107" s="4"/>
      <c r="P107" s="4"/>
      <c r="Q107" s="4">
        <f t="shared" si="11"/>
        <v>78105</v>
      </c>
    </row>
    <row r="108" spans="1:17" x14ac:dyDescent="0.25">
      <c r="A108" s="10">
        <v>103</v>
      </c>
      <c r="B108" s="7">
        <v>202</v>
      </c>
      <c r="C108" s="7">
        <v>226</v>
      </c>
      <c r="D108" s="7"/>
      <c r="E108" s="7">
        <v>53</v>
      </c>
      <c r="F108" s="7">
        <v>26</v>
      </c>
      <c r="G108" s="4"/>
      <c r="H108" s="4">
        <f t="shared" si="12"/>
        <v>255</v>
      </c>
      <c r="I108" s="4">
        <f t="shared" si="13"/>
        <v>252</v>
      </c>
      <c r="J108" s="4"/>
      <c r="K108" s="4">
        <f t="shared" si="9"/>
        <v>44298</v>
      </c>
      <c r="L108" s="4"/>
      <c r="M108" s="4"/>
      <c r="N108" s="4">
        <f t="shared" si="10"/>
        <v>8176.5</v>
      </c>
      <c r="O108" s="4"/>
      <c r="P108" s="4"/>
      <c r="Q108" s="4">
        <f t="shared" si="11"/>
        <v>52474.5</v>
      </c>
    </row>
    <row r="109" spans="1:17" x14ac:dyDescent="0.25">
      <c r="A109" s="10">
        <v>104</v>
      </c>
      <c r="B109" s="7">
        <v>125</v>
      </c>
      <c r="C109" s="7">
        <v>143</v>
      </c>
      <c r="D109" s="7"/>
      <c r="E109" s="7">
        <v>24</v>
      </c>
      <c r="F109" s="7">
        <v>22</v>
      </c>
      <c r="G109" s="4"/>
      <c r="H109" s="4">
        <f t="shared" si="12"/>
        <v>149</v>
      </c>
      <c r="I109" s="4">
        <f t="shared" si="13"/>
        <v>165</v>
      </c>
      <c r="J109" s="4"/>
      <c r="K109" s="4">
        <f t="shared" si="9"/>
        <v>28006</v>
      </c>
      <c r="L109" s="4"/>
      <c r="M109" s="4"/>
      <c r="N109" s="4">
        <f t="shared" si="10"/>
        <v>4807</v>
      </c>
      <c r="O109" s="4"/>
      <c r="P109" s="4"/>
      <c r="Q109" s="4">
        <f t="shared" si="11"/>
        <v>32813</v>
      </c>
    </row>
    <row r="110" spans="1:17" x14ac:dyDescent="0.25">
      <c r="A110" s="10">
        <v>105</v>
      </c>
      <c r="B110" s="7">
        <v>249</v>
      </c>
      <c r="C110" s="7">
        <v>350</v>
      </c>
      <c r="D110" s="7"/>
      <c r="E110" s="7">
        <v>69</v>
      </c>
      <c r="F110" s="7">
        <v>35</v>
      </c>
      <c r="G110" s="4"/>
      <c r="H110" s="4">
        <f t="shared" si="12"/>
        <v>318</v>
      </c>
      <c r="I110" s="4">
        <f t="shared" si="13"/>
        <v>385</v>
      </c>
      <c r="J110" s="4"/>
      <c r="K110" s="4">
        <f t="shared" si="9"/>
        <v>63194.5</v>
      </c>
      <c r="L110" s="4"/>
      <c r="M110" s="4"/>
      <c r="N110" s="4">
        <f t="shared" si="10"/>
        <v>10972</v>
      </c>
      <c r="O110" s="4"/>
      <c r="P110" s="4"/>
      <c r="Q110" s="4">
        <f t="shared" si="11"/>
        <v>74166.5</v>
      </c>
    </row>
    <row r="111" spans="1:17" x14ac:dyDescent="0.25">
      <c r="A111" s="10">
        <v>106</v>
      </c>
      <c r="B111" s="7">
        <v>83</v>
      </c>
      <c r="C111" s="7">
        <v>91</v>
      </c>
      <c r="D111" s="7"/>
      <c r="E111" s="7">
        <v>32</v>
      </c>
      <c r="F111" s="7">
        <v>19</v>
      </c>
      <c r="G111" s="4"/>
      <c r="H111" s="4">
        <f t="shared" si="12"/>
        <v>115</v>
      </c>
      <c r="I111" s="4">
        <f t="shared" si="13"/>
        <v>110</v>
      </c>
      <c r="J111" s="4"/>
      <c r="K111" s="4">
        <f t="shared" si="9"/>
        <v>18531</v>
      </c>
      <c r="L111" s="4"/>
      <c r="M111" s="4"/>
      <c r="N111" s="4">
        <f t="shared" si="10"/>
        <v>5431.5</v>
      </c>
      <c r="O111" s="4"/>
      <c r="P111" s="4"/>
      <c r="Q111" s="4">
        <f t="shared" si="11"/>
        <v>23962.5</v>
      </c>
    </row>
    <row r="112" spans="1:17" x14ac:dyDescent="0.25">
      <c r="A112" s="10">
        <v>107</v>
      </c>
      <c r="B112" s="7">
        <v>70</v>
      </c>
      <c r="C112" s="7">
        <v>69</v>
      </c>
      <c r="D112" s="7"/>
      <c r="E112" s="7">
        <v>21</v>
      </c>
      <c r="F112" s="7">
        <v>12</v>
      </c>
      <c r="G112" s="4"/>
      <c r="H112" s="4">
        <f t="shared" si="12"/>
        <v>91</v>
      </c>
      <c r="I112" s="4">
        <f t="shared" si="13"/>
        <v>81</v>
      </c>
      <c r="J112" s="4"/>
      <c r="K112" s="4">
        <f t="shared" si="9"/>
        <v>14942.5</v>
      </c>
      <c r="L112" s="4"/>
      <c r="M112" s="4"/>
      <c r="N112" s="4">
        <f t="shared" si="10"/>
        <v>3547.5</v>
      </c>
      <c r="O112" s="4"/>
      <c r="P112" s="4"/>
      <c r="Q112" s="4">
        <f t="shared" si="11"/>
        <v>18490</v>
      </c>
    </row>
    <row r="113" spans="1:17" x14ac:dyDescent="0.25">
      <c r="A113" s="10">
        <v>108</v>
      </c>
      <c r="B113" s="7">
        <v>45</v>
      </c>
      <c r="C113" s="7">
        <v>50</v>
      </c>
      <c r="D113" s="7"/>
      <c r="E113" s="7">
        <v>16</v>
      </c>
      <c r="F113" s="7">
        <v>7</v>
      </c>
      <c r="G113" s="4"/>
      <c r="H113" s="4">
        <f t="shared" si="12"/>
        <v>61</v>
      </c>
      <c r="I113" s="4">
        <f t="shared" si="13"/>
        <v>57</v>
      </c>
      <c r="J113" s="4"/>
      <c r="K113" s="4">
        <f t="shared" si="9"/>
        <v>10307.5</v>
      </c>
      <c r="L113" s="4"/>
      <c r="M113" s="4"/>
      <c r="N113" s="4">
        <f t="shared" si="10"/>
        <v>2495.5</v>
      </c>
      <c r="O113" s="4"/>
      <c r="P113" s="4"/>
      <c r="Q113" s="4">
        <f t="shared" si="11"/>
        <v>12803</v>
      </c>
    </row>
    <row r="114" spans="1:17" x14ac:dyDescent="0.25">
      <c r="A114" s="10">
        <v>109</v>
      </c>
      <c r="B114" s="7">
        <v>65</v>
      </c>
      <c r="C114" s="7">
        <v>56</v>
      </c>
      <c r="D114" s="7"/>
      <c r="E114" s="7">
        <v>12</v>
      </c>
      <c r="F114" s="7">
        <v>4</v>
      </c>
      <c r="G114" s="4"/>
      <c r="H114" s="4">
        <f t="shared" si="12"/>
        <v>77</v>
      </c>
      <c r="I114" s="4">
        <f t="shared" si="13"/>
        <v>60</v>
      </c>
      <c r="J114" s="4"/>
      <c r="K114" s="4">
        <f t="shared" si="9"/>
        <v>13249.5</v>
      </c>
      <c r="L114" s="4"/>
      <c r="M114" s="4"/>
      <c r="N114" s="4">
        <f t="shared" si="10"/>
        <v>1752</v>
      </c>
      <c r="O114" s="4"/>
      <c r="P114" s="4"/>
      <c r="Q114" s="4">
        <f t="shared" si="11"/>
        <v>15001.5</v>
      </c>
    </row>
    <row r="116" spans="1:17" x14ac:dyDescent="0.25">
      <c r="A116" t="s">
        <v>116</v>
      </c>
      <c r="B116" s="4">
        <f>SUM(B5:B114)</f>
        <v>45733333</v>
      </c>
      <c r="C116" s="4">
        <f>SUM(C5:C114)</f>
        <v>47677665</v>
      </c>
      <c r="E116" s="4">
        <f>SUM(E5:E114)</f>
        <v>2962789</v>
      </c>
      <c r="F116" s="4">
        <f>SUM(F5:F114)</f>
        <v>2793364</v>
      </c>
      <c r="H116" s="4">
        <f>SUM(H5:H114)</f>
        <v>48696122</v>
      </c>
      <c r="I116" s="4">
        <f>SUM(I5:I114)</f>
        <v>50471029</v>
      </c>
      <c r="K116" s="16">
        <f>SUM(K5:K114) / (B116 + C116)</f>
        <v>25.150917132905484</v>
      </c>
      <c r="L116" s="17"/>
      <c r="M116" s="17"/>
      <c r="N116" s="16">
        <f>SUM(N5:N114) / (E116 + F116)</f>
        <v>26.350505363564867</v>
      </c>
      <c r="O116" s="17"/>
      <c r="P116" s="17"/>
      <c r="Q116" s="16">
        <f>SUM(Q5:Q114) / (H116 + I116)</f>
        <v>25.220547179983015</v>
      </c>
    </row>
  </sheetData>
  <mergeCells count="5">
    <mergeCell ref="K1:Q1"/>
    <mergeCell ref="B1:I1"/>
    <mergeCell ref="B2:C2"/>
    <mergeCell ref="E2:F2"/>
    <mergeCell ref="H2:I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E48D-FCF7-4BC3-892B-762E6C61C4F1}">
  <sheetPr codeName="Sheet9"/>
  <dimension ref="A1:BB119"/>
  <sheetViews>
    <sheetView topLeftCell="G4" workbookViewId="0">
      <selection sqref="A1:BB119"/>
    </sheetView>
  </sheetViews>
  <sheetFormatPr defaultRowHeight="15" x14ac:dyDescent="0.25"/>
  <cols>
    <col min="3" max="3" width="11.85546875" customWidth="1"/>
    <col min="4" max="4" width="13.140625" customWidth="1"/>
    <col min="18" max="18" width="16.140625" bestFit="1" customWidth="1"/>
    <col min="19" max="19" width="9.5703125" bestFit="1" customWidth="1"/>
    <col min="21" max="21" width="10.85546875" customWidth="1"/>
    <col min="22" max="22" width="10.42578125" customWidth="1"/>
    <col min="24" max="24" width="10.85546875" customWidth="1"/>
    <col min="25" max="25" width="10.42578125" customWidth="1"/>
    <col min="27" max="28" width="9.140625" bestFit="1" customWidth="1"/>
    <col min="30" max="31" width="9.140625" bestFit="1" customWidth="1"/>
    <col min="33" max="34" width="9.140625" bestFit="1" customWidth="1"/>
    <col min="36" max="37" width="9.140625" bestFit="1" customWidth="1"/>
    <col min="39" max="40" width="9.140625" bestFit="1" customWidth="1"/>
    <col min="42" max="43" width="9.140625" bestFit="1" customWidth="1"/>
    <col min="44" max="45" width="9.140625" customWidth="1"/>
  </cols>
  <sheetData>
    <row r="1" spans="1:54" x14ac:dyDescent="0.25">
      <c r="B1" s="6"/>
      <c r="C1" s="33" t="s">
        <v>134</v>
      </c>
      <c r="D1" s="33"/>
      <c r="E1" s="33"/>
      <c r="F1" s="33"/>
      <c r="G1" s="33"/>
      <c r="H1" s="33"/>
      <c r="I1" s="33"/>
      <c r="J1" s="33"/>
      <c r="M1" s="15"/>
      <c r="N1" s="15"/>
      <c r="O1" s="15"/>
      <c r="P1" s="15"/>
      <c r="Q1" s="15"/>
      <c r="R1" s="25" t="s">
        <v>155</v>
      </c>
      <c r="S1" s="25"/>
      <c r="T1" s="25"/>
      <c r="U1" s="25"/>
      <c r="V1" s="25"/>
      <c r="W1" s="25"/>
      <c r="X1" s="25"/>
      <c r="Y1" s="25"/>
      <c r="AA1" s="33" t="s">
        <v>160</v>
      </c>
      <c r="AB1" s="33"/>
      <c r="AC1" s="33"/>
      <c r="AD1" s="33"/>
      <c r="AE1" s="33"/>
      <c r="AF1" s="33"/>
      <c r="AG1" s="33"/>
      <c r="AH1" s="33"/>
      <c r="AJ1" s="33" t="s">
        <v>170</v>
      </c>
      <c r="AK1" s="33"/>
      <c r="AL1" s="33"/>
      <c r="AM1" s="33"/>
      <c r="AN1" s="33"/>
      <c r="AO1" s="33"/>
      <c r="AP1" s="33"/>
      <c r="AQ1" s="33"/>
      <c r="AR1" s="6"/>
      <c r="AS1" s="6"/>
      <c r="AU1" s="33" t="s">
        <v>171</v>
      </c>
      <c r="AV1" s="33"/>
      <c r="AW1" s="33"/>
      <c r="AX1" s="33"/>
      <c r="AY1" s="33"/>
      <c r="AZ1" s="33"/>
      <c r="BA1" s="33"/>
      <c r="BB1" s="33"/>
    </row>
    <row r="2" spans="1:54" x14ac:dyDescent="0.25">
      <c r="C2" s="33" t="s">
        <v>129</v>
      </c>
      <c r="D2" s="33"/>
      <c r="F2" s="33" t="s">
        <v>132</v>
      </c>
      <c r="G2" s="33"/>
      <c r="I2" s="33" t="s">
        <v>133</v>
      </c>
      <c r="J2" s="33"/>
      <c r="M2" s="33" t="s">
        <v>158</v>
      </c>
      <c r="N2" s="33"/>
      <c r="O2" s="2"/>
      <c r="P2" s="2"/>
      <c r="Q2" s="2"/>
      <c r="R2" s="33" t="s">
        <v>129</v>
      </c>
      <c r="S2" s="33"/>
      <c r="U2" s="33" t="s">
        <v>132</v>
      </c>
      <c r="V2" s="33"/>
      <c r="X2" s="33" t="s">
        <v>133</v>
      </c>
      <c r="Y2" s="33"/>
      <c r="AA2" s="33" t="s">
        <v>129</v>
      </c>
      <c r="AB2" s="33"/>
      <c r="AD2" s="33" t="s">
        <v>132</v>
      </c>
      <c r="AE2" s="33"/>
      <c r="AG2" s="33" t="s">
        <v>133</v>
      </c>
      <c r="AH2" s="33"/>
      <c r="AJ2" s="33" t="s">
        <v>129</v>
      </c>
      <c r="AK2" s="33"/>
      <c r="AM2" s="33" t="s">
        <v>132</v>
      </c>
      <c r="AN2" s="33"/>
      <c r="AP2" s="33" t="s">
        <v>133</v>
      </c>
      <c r="AQ2" s="33"/>
      <c r="AR2" s="6"/>
      <c r="AS2" s="6"/>
      <c r="AU2" s="33" t="s">
        <v>129</v>
      </c>
      <c r="AV2" s="33"/>
      <c r="AX2" s="33" t="s">
        <v>132</v>
      </c>
      <c r="AY2" s="33"/>
      <c r="BA2" s="33" t="s">
        <v>133</v>
      </c>
      <c r="BB2" s="33"/>
    </row>
    <row r="3" spans="1:54" x14ac:dyDescent="0.25">
      <c r="O3" s="6" t="s">
        <v>161</v>
      </c>
      <c r="AS3" s="6" t="s">
        <v>161</v>
      </c>
    </row>
    <row r="4" spans="1:54" x14ac:dyDescent="0.25">
      <c r="A4" s="6" t="s">
        <v>16</v>
      </c>
      <c r="C4" s="6" t="s">
        <v>0</v>
      </c>
      <c r="D4" s="6" t="s">
        <v>1</v>
      </c>
      <c r="F4" s="6" t="s">
        <v>0</v>
      </c>
      <c r="G4" s="6" t="s">
        <v>1</v>
      </c>
      <c r="I4" s="6" t="s">
        <v>0</v>
      </c>
      <c r="J4" s="6" t="s">
        <v>1</v>
      </c>
      <c r="M4" s="6" t="s">
        <v>156</v>
      </c>
      <c r="N4" s="6" t="s">
        <v>157</v>
      </c>
      <c r="O4" s="6" t="s">
        <v>16</v>
      </c>
      <c r="P4" s="6" t="s">
        <v>159</v>
      </c>
      <c r="R4" s="19" t="s">
        <v>130</v>
      </c>
      <c r="S4" s="19" t="s">
        <v>131</v>
      </c>
      <c r="T4" s="20"/>
      <c r="U4" s="19" t="s">
        <v>135</v>
      </c>
      <c r="V4" s="19" t="s">
        <v>136</v>
      </c>
      <c r="W4" s="20"/>
      <c r="X4" s="19" t="s">
        <v>137</v>
      </c>
      <c r="Y4" s="19" t="s">
        <v>138</v>
      </c>
      <c r="AA4" s="19" t="s">
        <v>130</v>
      </c>
      <c r="AB4" s="19" t="s">
        <v>131</v>
      </c>
      <c r="AC4" s="20"/>
      <c r="AD4" s="19" t="s">
        <v>135</v>
      </c>
      <c r="AE4" s="19" t="s">
        <v>136</v>
      </c>
      <c r="AF4" s="20"/>
      <c r="AG4" s="19" t="s">
        <v>137</v>
      </c>
      <c r="AH4" s="19" t="s">
        <v>138</v>
      </c>
      <c r="AJ4" s="19" t="s">
        <v>162</v>
      </c>
      <c r="AK4" s="19" t="s">
        <v>163</v>
      </c>
      <c r="AL4" s="20"/>
      <c r="AM4" s="19" t="s">
        <v>135</v>
      </c>
      <c r="AN4" s="19" t="s">
        <v>136</v>
      </c>
      <c r="AO4" s="20"/>
      <c r="AP4" s="19" t="s">
        <v>137</v>
      </c>
      <c r="AQ4" s="19" t="s">
        <v>164</v>
      </c>
      <c r="AR4" s="19"/>
      <c r="AS4" s="6" t="s">
        <v>16</v>
      </c>
      <c r="AU4" s="19" t="s">
        <v>162</v>
      </c>
      <c r="AV4" s="19" t="s">
        <v>163</v>
      </c>
      <c r="AW4" s="20"/>
      <c r="AX4" s="19" t="s">
        <v>135</v>
      </c>
      <c r="AY4" s="19" t="s">
        <v>136</v>
      </c>
      <c r="AZ4" s="20"/>
      <c r="BA4" s="19" t="s">
        <v>137</v>
      </c>
      <c r="BB4" s="19" t="s">
        <v>164</v>
      </c>
    </row>
    <row r="5" spans="1:54" x14ac:dyDescent="0.25">
      <c r="A5" s="10">
        <v>0</v>
      </c>
      <c r="C5" s="4">
        <v>1799585</v>
      </c>
      <c r="D5" s="4">
        <v>1792949</v>
      </c>
      <c r="F5" s="4">
        <v>233223</v>
      </c>
      <c r="G5" s="4">
        <v>219777</v>
      </c>
      <c r="I5" s="4">
        <v>362490.68634299998</v>
      </c>
      <c r="J5" s="4">
        <v>349707.73266799998</v>
      </c>
      <c r="M5">
        <v>0</v>
      </c>
      <c r="N5">
        <v>4</v>
      </c>
      <c r="O5">
        <f>(M5+N5+1)/2</f>
        <v>2.5</v>
      </c>
      <c r="P5">
        <f>N5-M5+1</f>
        <v>5</v>
      </c>
      <c r="R5" s="23">
        <f>SUM(C5:C9)</f>
        <v>7440027</v>
      </c>
      <c r="S5" s="23">
        <f>SUM(D5:D9)</f>
        <v>7515847</v>
      </c>
      <c r="T5" s="23"/>
      <c r="U5" s="23">
        <f>SUM(F5:F9)</f>
        <v>1006030</v>
      </c>
      <c r="V5" s="23">
        <f>SUM(G5:G9)</f>
        <v>976417</v>
      </c>
      <c r="W5" s="23"/>
      <c r="X5" s="23">
        <f>SUM(I5:I9)</f>
        <v>1336518.3399049998</v>
      </c>
      <c r="Y5" s="23">
        <f>SUM(J5:J9)</f>
        <v>1275714.840179</v>
      </c>
      <c r="AA5" s="24">
        <f>R5/(R$18 + S$18)</f>
        <v>7.5025115927753128E-2</v>
      </c>
      <c r="AB5" s="24">
        <f>S5/(R$18 + S$18)</f>
        <v>7.5789683622150245E-2</v>
      </c>
      <c r="AC5" s="24"/>
      <c r="AD5" s="24">
        <f>U5/(U$18 + V$18)</f>
        <v>7.9264672686465074E-2</v>
      </c>
      <c r="AE5" s="24">
        <f>V5/(U$18 + V$18)</f>
        <v>7.6931477103565668E-2</v>
      </c>
      <c r="AF5" s="24"/>
      <c r="AG5" s="24">
        <f>X5/(X$18 + Y$18)</f>
        <v>9.8397645812484266E-2</v>
      </c>
      <c r="AH5" s="24">
        <f>Y5/(X$18 + Y$18)</f>
        <v>9.3921148145700517E-2</v>
      </c>
      <c r="AJ5" s="26">
        <f>100 *AA5/$P5</f>
        <v>1.5005023185550626</v>
      </c>
      <c r="AK5" s="26">
        <f>100*AB5/$P5</f>
        <v>1.515793672443005</v>
      </c>
      <c r="AL5" s="26"/>
      <c r="AM5" s="26">
        <f>100* AD5/$P5</f>
        <v>1.5852934537293015</v>
      </c>
      <c r="AN5" s="26">
        <f>100* AE5/$P5</f>
        <v>1.5386295420713134</v>
      </c>
      <c r="AO5" s="26"/>
      <c r="AP5" s="26">
        <f>100 * AG5/$P5</f>
        <v>1.9679529162496852</v>
      </c>
      <c r="AQ5" s="26">
        <f>100*AH5/$P5</f>
        <v>1.8784229629140103</v>
      </c>
      <c r="AR5" s="26"/>
      <c r="AS5" s="28">
        <f>O6</f>
        <v>10</v>
      </c>
      <c r="AU5" s="26">
        <f>AJ6</f>
        <v>1.1611808833753829</v>
      </c>
      <c r="AV5" s="26">
        <f>AK6</f>
        <v>1.1740672069927673</v>
      </c>
      <c r="AX5" s="26">
        <f>AM6</f>
        <v>1.2933562061925126</v>
      </c>
      <c r="AY5" s="26">
        <f>AN6</f>
        <v>1.2140793609253702</v>
      </c>
      <c r="BA5" s="26">
        <f>AP6</f>
        <v>1.1040278601258002</v>
      </c>
      <c r="BB5" s="26">
        <f>AQ6</f>
        <v>1.0992086535555097</v>
      </c>
    </row>
    <row r="6" spans="1:54" x14ac:dyDescent="0.25">
      <c r="A6" s="10">
        <v>1</v>
      </c>
      <c r="C6" s="4">
        <v>1430584</v>
      </c>
      <c r="D6" s="4">
        <v>1450048</v>
      </c>
      <c r="F6" s="4">
        <v>201415</v>
      </c>
      <c r="G6" s="4">
        <v>193585</v>
      </c>
      <c r="I6" s="4">
        <v>293376.33229200001</v>
      </c>
      <c r="J6" s="4">
        <v>280443.35522099998</v>
      </c>
      <c r="M6">
        <v>5</v>
      </c>
      <c r="N6">
        <v>14</v>
      </c>
      <c r="O6">
        <f t="shared" ref="O6:O16" si="0">(M6+N6+1)/2</f>
        <v>10</v>
      </c>
      <c r="P6">
        <f t="shared" ref="P6:P16" si="1">N6-M6+1</f>
        <v>10</v>
      </c>
      <c r="R6" s="23">
        <f>SUM(C10:C19)</f>
        <v>11515100</v>
      </c>
      <c r="S6" s="23">
        <f>SUM(D10:D19)</f>
        <v>11642890</v>
      </c>
      <c r="T6" s="23"/>
      <c r="U6" s="23">
        <f>SUM(F10:F19)</f>
        <v>1641532.223646</v>
      </c>
      <c r="V6" s="23">
        <f>SUM(G10:G19)</f>
        <v>1540913.7741640001</v>
      </c>
      <c r="W6" s="23"/>
      <c r="X6" s="23">
        <f>SUM(I10:I19)</f>
        <v>1499582.0993889999</v>
      </c>
      <c r="Y6" s="23">
        <f>SUM(J10:J19)</f>
        <v>1493036.253793</v>
      </c>
      <c r="AA6" s="24">
        <f t="shared" ref="AA6:AA16" si="2">R6/(R$18 + S$18)</f>
        <v>0.11611808833753831</v>
      </c>
      <c r="AB6" s="24">
        <f t="shared" ref="AB6:AB16" si="3">S6/(R$18 + S$18)</f>
        <v>0.11740672069927673</v>
      </c>
      <c r="AC6" s="24"/>
      <c r="AD6" s="24">
        <f t="shared" ref="AD6:AD16" si="4">U6/(U$18 + V$18)</f>
        <v>0.12933562061925127</v>
      </c>
      <c r="AE6" s="24">
        <f t="shared" ref="AE6:AE16" si="5">V6/(U$18 + V$18)</f>
        <v>0.12140793609253703</v>
      </c>
      <c r="AF6" s="24"/>
      <c r="AG6" s="24">
        <f t="shared" ref="AG6:AG16" si="6">X6/(X$18 + Y$18)</f>
        <v>0.11040278601258002</v>
      </c>
      <c r="AH6" s="24">
        <f t="shared" ref="AH6:AH16" si="7">Y6/(X$18 + Y$18)</f>
        <v>0.10992086535555096</v>
      </c>
      <c r="AJ6" s="26">
        <f t="shared" ref="AJ6:AJ16" si="8">100 *AA6/$P6</f>
        <v>1.1611808833753829</v>
      </c>
      <c r="AK6" s="26">
        <f t="shared" ref="AK6:AK16" si="9">100*AB6/$P6</f>
        <v>1.1740672069927673</v>
      </c>
      <c r="AL6" s="26"/>
      <c r="AM6" s="26">
        <f t="shared" ref="AM6:AM16" si="10">100* AD6/$P6</f>
        <v>1.2933562061925126</v>
      </c>
      <c r="AN6" s="26">
        <f t="shared" ref="AN6:AN16" si="11">100* AE6/$P6</f>
        <v>1.2140793609253702</v>
      </c>
      <c r="AO6" s="26"/>
      <c r="AP6" s="26">
        <f t="shared" ref="AP6:AP16" si="12">100 * AG6/$P6</f>
        <v>1.1040278601258002</v>
      </c>
      <c r="AQ6" s="26">
        <f t="shared" ref="AQ6:AQ16" si="13">100*AH6/$P6</f>
        <v>1.0992086535555097</v>
      </c>
      <c r="AR6" s="26"/>
      <c r="AS6" s="28">
        <f t="shared" ref="AS6:AS15" si="14">O7</f>
        <v>20</v>
      </c>
      <c r="AU6" s="26">
        <f t="shared" ref="AU6:AU15" si="15">AJ7</f>
        <v>0.890272424988795</v>
      </c>
      <c r="AV6" s="26">
        <f t="shared" ref="AV6:AV15" si="16">AK7</f>
        <v>0.95421073456068117</v>
      </c>
      <c r="AX6" s="26">
        <f t="shared" ref="AX6:AX15" si="17">AM7</f>
        <v>0.87978898055999388</v>
      </c>
      <c r="AY6" s="26">
        <f t="shared" ref="AY6:AY15" si="18">AN7</f>
        <v>1.0279849764936873</v>
      </c>
      <c r="BA6" s="26">
        <f t="shared" ref="BA6:BA15" si="19">AP7</f>
        <v>0.96904604771148239</v>
      </c>
      <c r="BB6" s="26">
        <f t="shared" ref="BB6:BB15" si="20">AQ7</f>
        <v>1.0815418309455558</v>
      </c>
    </row>
    <row r="7" spans="1:54" x14ac:dyDescent="0.25">
      <c r="A7" s="10">
        <v>2</v>
      </c>
      <c r="C7" s="4">
        <v>1450430</v>
      </c>
      <c r="D7" s="4">
        <v>1460857</v>
      </c>
      <c r="F7" s="4">
        <v>189934</v>
      </c>
      <c r="G7" s="4">
        <v>185418</v>
      </c>
      <c r="I7" s="4">
        <v>256667.84484800001</v>
      </c>
      <c r="J7" s="4">
        <v>244143.28192800001</v>
      </c>
      <c r="M7">
        <f>M6+10</f>
        <v>15</v>
      </c>
      <c r="N7">
        <f>N6+10</f>
        <v>24</v>
      </c>
      <c r="O7">
        <f t="shared" si="0"/>
        <v>20</v>
      </c>
      <c r="P7">
        <f t="shared" si="1"/>
        <v>10</v>
      </c>
      <c r="R7" s="23">
        <f>SUM(C20:C29)</f>
        <v>8828578</v>
      </c>
      <c r="S7" s="23">
        <f>SUM(D20:D29)</f>
        <v>9462636</v>
      </c>
      <c r="T7" s="23"/>
      <c r="U7" s="23">
        <f>SUM(F20:F29)</f>
        <v>1116631.253388</v>
      </c>
      <c r="V7" s="23">
        <f>SUM(G20:G29)</f>
        <v>1304722.1301129998</v>
      </c>
      <c r="W7" s="23"/>
      <c r="X7" s="23">
        <f>SUM(I20:I29)</f>
        <v>1316238.619618</v>
      </c>
      <c r="Y7" s="23">
        <f>SUM(J20:J29)</f>
        <v>1469039.7117709999</v>
      </c>
      <c r="AA7" s="24">
        <f t="shared" si="2"/>
        <v>8.90272424988795E-2</v>
      </c>
      <c r="AB7" s="24">
        <f t="shared" si="3"/>
        <v>9.5421073456068123E-2</v>
      </c>
      <c r="AC7" s="24"/>
      <c r="AD7" s="24">
        <f t="shared" si="4"/>
        <v>8.7978898055999386E-2</v>
      </c>
      <c r="AE7" s="24">
        <f t="shared" si="5"/>
        <v>0.10279849764936873</v>
      </c>
      <c r="AF7" s="24"/>
      <c r="AG7" s="24">
        <f t="shared" si="6"/>
        <v>9.6904604771148234E-2</v>
      </c>
      <c r="AH7" s="24">
        <f t="shared" si="7"/>
        <v>0.10815418309455557</v>
      </c>
      <c r="AJ7" s="26">
        <f t="shared" si="8"/>
        <v>0.890272424988795</v>
      </c>
      <c r="AK7" s="26">
        <f t="shared" si="9"/>
        <v>0.95421073456068117</v>
      </c>
      <c r="AL7" s="26"/>
      <c r="AM7" s="26">
        <f t="shared" si="10"/>
        <v>0.87978898055999388</v>
      </c>
      <c r="AN7" s="26">
        <f t="shared" si="11"/>
        <v>1.0279849764936873</v>
      </c>
      <c r="AO7" s="26"/>
      <c r="AP7" s="26">
        <f t="shared" si="12"/>
        <v>0.96904604771148239</v>
      </c>
      <c r="AQ7" s="26">
        <f t="shared" si="13"/>
        <v>1.0815418309455558</v>
      </c>
      <c r="AR7" s="26"/>
      <c r="AS7" s="28">
        <f t="shared" si="14"/>
        <v>30</v>
      </c>
      <c r="AU7" s="26">
        <f t="shared" si="15"/>
        <v>0.67417183337252473</v>
      </c>
      <c r="AV7" s="26">
        <f t="shared" si="16"/>
        <v>0.71309681973217121</v>
      </c>
      <c r="AX7" s="26">
        <f t="shared" si="17"/>
        <v>0.7632899820502802</v>
      </c>
      <c r="AY7" s="26">
        <f t="shared" si="18"/>
        <v>0.81879101282037436</v>
      </c>
      <c r="BA7" s="26">
        <f t="shared" si="19"/>
        <v>0.7598680565771343</v>
      </c>
      <c r="BB7" s="26">
        <f t="shared" si="20"/>
        <v>0.81209939049189861</v>
      </c>
    </row>
    <row r="8" spans="1:54" x14ac:dyDescent="0.25">
      <c r="A8" s="10">
        <v>3</v>
      </c>
      <c r="C8" s="4">
        <v>1428134</v>
      </c>
      <c r="D8" s="4">
        <v>1448117</v>
      </c>
      <c r="F8" s="4">
        <v>189977</v>
      </c>
      <c r="G8" s="4">
        <v>187240</v>
      </c>
      <c r="I8" s="4">
        <v>224846.11173900001</v>
      </c>
      <c r="J8" s="4">
        <v>213057.304137</v>
      </c>
      <c r="M8">
        <f>M7+10</f>
        <v>25</v>
      </c>
      <c r="N8">
        <f>N7+10</f>
        <v>34</v>
      </c>
      <c r="O8">
        <f t="shared" si="0"/>
        <v>30</v>
      </c>
      <c r="P8">
        <f t="shared" si="1"/>
        <v>10</v>
      </c>
      <c r="R8" s="23">
        <f>SUM(C30:C39)</f>
        <v>6685570</v>
      </c>
      <c r="S8" s="23">
        <f>SUM(D30:D39)</f>
        <v>7071578</v>
      </c>
      <c r="T8" s="23"/>
      <c r="U8" s="23">
        <f>SUM(F30:F39)</f>
        <v>968770.31673299999</v>
      </c>
      <c r="V8" s="23">
        <f>SUM(G30:G39)</f>
        <v>1039212.41924</v>
      </c>
      <c r="W8" s="23"/>
      <c r="X8" s="23">
        <f>SUM(I30:I39)</f>
        <v>1032115.7433570002</v>
      </c>
      <c r="Y8" s="23">
        <f>SUM(J30:J39)</f>
        <v>1103060.668023</v>
      </c>
      <c r="AA8" s="24">
        <f t="shared" si="2"/>
        <v>6.7417183337252468E-2</v>
      </c>
      <c r="AB8" s="24">
        <f t="shared" si="3"/>
        <v>7.1309681973217118E-2</v>
      </c>
      <c r="AC8" s="24"/>
      <c r="AD8" s="24">
        <f t="shared" si="4"/>
        <v>7.6328998205028017E-2</v>
      </c>
      <c r="AE8" s="24">
        <f t="shared" si="5"/>
        <v>8.1879101282037431E-2</v>
      </c>
      <c r="AF8" s="24"/>
      <c r="AG8" s="24">
        <f t="shared" si="6"/>
        <v>7.598680565771343E-2</v>
      </c>
      <c r="AH8" s="24">
        <f t="shared" si="7"/>
        <v>8.1209939049189855E-2</v>
      </c>
      <c r="AJ8" s="26">
        <f t="shared" si="8"/>
        <v>0.67417183337252473</v>
      </c>
      <c r="AK8" s="26">
        <f t="shared" si="9"/>
        <v>0.71309681973217121</v>
      </c>
      <c r="AL8" s="26"/>
      <c r="AM8" s="26">
        <f t="shared" si="10"/>
        <v>0.7632899820502802</v>
      </c>
      <c r="AN8" s="26">
        <f t="shared" si="11"/>
        <v>0.81879101282037436</v>
      </c>
      <c r="AO8" s="26"/>
      <c r="AP8" s="26">
        <f t="shared" si="12"/>
        <v>0.7598680565771343</v>
      </c>
      <c r="AQ8" s="26">
        <f t="shared" si="13"/>
        <v>0.81209939049189861</v>
      </c>
      <c r="AR8" s="26"/>
      <c r="AS8" s="28">
        <f t="shared" si="14"/>
        <v>40</v>
      </c>
      <c r="AU8" s="26">
        <f t="shared" si="15"/>
        <v>0.55299965207228752</v>
      </c>
      <c r="AV8" s="26">
        <f t="shared" si="16"/>
        <v>0.56539690244806962</v>
      </c>
      <c r="AX8" s="26">
        <f t="shared" si="17"/>
        <v>0.55232554746194007</v>
      </c>
      <c r="AY8" s="26">
        <f t="shared" si="18"/>
        <v>0.54912724635971288</v>
      </c>
      <c r="BA8" s="26">
        <f t="shared" si="19"/>
        <v>0.52454819647953144</v>
      </c>
      <c r="BB8" s="26">
        <f t="shared" si="20"/>
        <v>0.50939213218573831</v>
      </c>
    </row>
    <row r="9" spans="1:54" x14ac:dyDescent="0.25">
      <c r="A9" s="10">
        <v>4</v>
      </c>
      <c r="C9" s="4">
        <v>1331294</v>
      </c>
      <c r="D9" s="4">
        <v>1363876</v>
      </c>
      <c r="F9" s="4">
        <v>191481</v>
      </c>
      <c r="G9" s="4">
        <v>190397</v>
      </c>
      <c r="I9" s="4">
        <v>199137.36468299999</v>
      </c>
      <c r="J9" s="4">
        <v>188363.16622499999</v>
      </c>
      <c r="M9">
        <f t="shared" ref="M9:M16" si="21">M8+10</f>
        <v>35</v>
      </c>
      <c r="N9">
        <f t="shared" ref="N9:N15" si="22">N8+10</f>
        <v>44</v>
      </c>
      <c r="O9">
        <f t="shared" si="0"/>
        <v>40</v>
      </c>
      <c r="P9">
        <f t="shared" si="1"/>
        <v>10</v>
      </c>
      <c r="R9" s="23">
        <f>SUM(C40:C49)</f>
        <v>5483940</v>
      </c>
      <c r="S9" s="23">
        <f>SUM(D40:D49)</f>
        <v>5606880</v>
      </c>
      <c r="T9" s="23"/>
      <c r="U9" s="23">
        <f>SUM(F40:F49)</f>
        <v>701013.51797799987</v>
      </c>
      <c r="V9" s="23">
        <f>SUM(G40:G49)</f>
        <v>696954.22302499996</v>
      </c>
      <c r="W9" s="23"/>
      <c r="X9" s="23">
        <f>SUM(I40:I49)</f>
        <v>712484.81502799992</v>
      </c>
      <c r="Y9" s="23">
        <f>SUM(J40:J49)</f>
        <v>691898.59294699994</v>
      </c>
      <c r="AA9" s="24">
        <f t="shared" si="2"/>
        <v>5.5299965207228755E-2</v>
      </c>
      <c r="AB9" s="24">
        <f t="shared" si="3"/>
        <v>5.653969024480697E-2</v>
      </c>
      <c r="AC9" s="24"/>
      <c r="AD9" s="24">
        <f t="shared" si="4"/>
        <v>5.5232554746194006E-2</v>
      </c>
      <c r="AE9" s="24">
        <f t="shared" si="5"/>
        <v>5.4912724635971293E-2</v>
      </c>
      <c r="AF9" s="24"/>
      <c r="AG9" s="24">
        <f t="shared" si="6"/>
        <v>5.2454819647953142E-2</v>
      </c>
      <c r="AH9" s="24">
        <f t="shared" si="7"/>
        <v>5.093921321857383E-2</v>
      </c>
      <c r="AJ9" s="26">
        <f t="shared" si="8"/>
        <v>0.55299965207228752</v>
      </c>
      <c r="AK9" s="26">
        <f t="shared" si="9"/>
        <v>0.56539690244806962</v>
      </c>
      <c r="AL9" s="26"/>
      <c r="AM9" s="26">
        <f t="shared" si="10"/>
        <v>0.55232554746194007</v>
      </c>
      <c r="AN9" s="26">
        <f t="shared" si="11"/>
        <v>0.54912724635971288</v>
      </c>
      <c r="AO9" s="26"/>
      <c r="AP9" s="26">
        <f t="shared" si="12"/>
        <v>0.52454819647953144</v>
      </c>
      <c r="AQ9" s="26">
        <f t="shared" si="13"/>
        <v>0.50939213218573831</v>
      </c>
      <c r="AR9" s="26"/>
      <c r="AS9" s="28">
        <f t="shared" si="14"/>
        <v>50</v>
      </c>
      <c r="AU9" s="26">
        <f t="shared" si="15"/>
        <v>0.39580062151830903</v>
      </c>
      <c r="AV9" s="26">
        <f t="shared" si="16"/>
        <v>0.41748905340640469</v>
      </c>
      <c r="AX9" s="26">
        <f t="shared" si="17"/>
        <v>0.33140708024053389</v>
      </c>
      <c r="AY9" s="26">
        <f t="shared" si="18"/>
        <v>0.34133377081143279</v>
      </c>
      <c r="BA9" s="26">
        <f t="shared" si="19"/>
        <v>0.3275788754442604</v>
      </c>
      <c r="BB9" s="26">
        <f t="shared" si="20"/>
        <v>0.32773879888163232</v>
      </c>
    </row>
    <row r="10" spans="1:54" x14ac:dyDescent="0.25">
      <c r="A10" s="10">
        <v>5</v>
      </c>
      <c r="C10" s="4">
        <v>1253530</v>
      </c>
      <c r="D10" s="4">
        <v>1269384</v>
      </c>
      <c r="F10" s="4">
        <v>192191</v>
      </c>
      <c r="G10" s="4">
        <v>182763</v>
      </c>
      <c r="I10" s="4">
        <v>178814.43098</v>
      </c>
      <c r="J10" s="4">
        <v>169290.518797</v>
      </c>
      <c r="M10">
        <f t="shared" si="21"/>
        <v>45</v>
      </c>
      <c r="N10">
        <f t="shared" si="22"/>
        <v>54</v>
      </c>
      <c r="O10">
        <f t="shared" si="0"/>
        <v>50</v>
      </c>
      <c r="P10">
        <f t="shared" si="1"/>
        <v>10</v>
      </c>
      <c r="R10" s="23">
        <f>SUM(C50:C59)</f>
        <v>3925042</v>
      </c>
      <c r="S10" s="23">
        <f>SUM(D50:D59)</f>
        <v>4140120</v>
      </c>
      <c r="T10" s="23"/>
      <c r="U10" s="23">
        <f>SUM(F50:F59)</f>
        <v>420623.02616600005</v>
      </c>
      <c r="V10" s="23">
        <f>SUM(G50:G59)</f>
        <v>433222.01658200001</v>
      </c>
      <c r="W10" s="23"/>
      <c r="X10" s="23">
        <f>SUM(I50:I59)</f>
        <v>444944.765885</v>
      </c>
      <c r="Y10" s="23">
        <f>SUM(J50:J59)</f>
        <v>445161.98714599997</v>
      </c>
      <c r="AA10" s="24">
        <f t="shared" si="2"/>
        <v>3.9580062151830901E-2</v>
      </c>
      <c r="AB10" s="24">
        <f t="shared" si="3"/>
        <v>4.174890534064047E-2</v>
      </c>
      <c r="AC10" s="24"/>
      <c r="AD10" s="24">
        <f t="shared" si="4"/>
        <v>3.3140708024053389E-2</v>
      </c>
      <c r="AE10" s="24">
        <f t="shared" si="5"/>
        <v>3.4133377081143279E-2</v>
      </c>
      <c r="AF10" s="24"/>
      <c r="AG10" s="24">
        <f t="shared" si="6"/>
        <v>3.2757887544426038E-2</v>
      </c>
      <c r="AH10" s="24">
        <f t="shared" si="7"/>
        <v>3.2773879888163229E-2</v>
      </c>
      <c r="AJ10" s="26">
        <f t="shared" si="8"/>
        <v>0.39580062151830903</v>
      </c>
      <c r="AK10" s="26">
        <f t="shared" si="9"/>
        <v>0.41748905340640469</v>
      </c>
      <c r="AL10" s="26"/>
      <c r="AM10" s="26">
        <f t="shared" si="10"/>
        <v>0.33140708024053389</v>
      </c>
      <c r="AN10" s="26">
        <f t="shared" si="11"/>
        <v>0.34133377081143279</v>
      </c>
      <c r="AO10" s="26"/>
      <c r="AP10" s="26">
        <f t="shared" si="12"/>
        <v>0.3275788754442604</v>
      </c>
      <c r="AQ10" s="26">
        <f t="shared" si="13"/>
        <v>0.32773879888163232</v>
      </c>
      <c r="AR10" s="26"/>
      <c r="AS10" s="28">
        <f t="shared" si="14"/>
        <v>60</v>
      </c>
      <c r="AU10" s="26">
        <f t="shared" si="15"/>
        <v>0.27811749880764447</v>
      </c>
      <c r="AV10" s="26">
        <f t="shared" si="16"/>
        <v>0.28993270160599854</v>
      </c>
      <c r="AX10" s="26">
        <f t="shared" si="17"/>
        <v>0.22732583281329241</v>
      </c>
      <c r="AY10" s="26">
        <f t="shared" si="18"/>
        <v>0.2159115379102273</v>
      </c>
      <c r="BA10" s="26">
        <f t="shared" si="19"/>
        <v>0.18625664519991963</v>
      </c>
      <c r="BB10" s="26">
        <f t="shared" si="20"/>
        <v>0.17375823526841613</v>
      </c>
    </row>
    <row r="11" spans="1:54" x14ac:dyDescent="0.25">
      <c r="A11" s="10">
        <v>6</v>
      </c>
      <c r="C11" s="4">
        <v>1232195</v>
      </c>
      <c r="D11" s="4">
        <v>1247881</v>
      </c>
      <c r="F11" s="4">
        <v>189853.22169999999</v>
      </c>
      <c r="G11" s="4">
        <v>180673.685192</v>
      </c>
      <c r="I11" s="4">
        <v>163309.117964</v>
      </c>
      <c r="J11" s="4">
        <v>155251.632381</v>
      </c>
      <c r="M11">
        <f t="shared" si="21"/>
        <v>55</v>
      </c>
      <c r="N11">
        <f t="shared" si="22"/>
        <v>64</v>
      </c>
      <c r="O11">
        <f t="shared" si="0"/>
        <v>60</v>
      </c>
      <c r="P11">
        <f t="shared" si="1"/>
        <v>10</v>
      </c>
      <c r="R11" s="23">
        <f>SUM(C60:C69)</f>
        <v>2758012</v>
      </c>
      <c r="S11" s="23">
        <f>SUM(D60:D69)</f>
        <v>2875180</v>
      </c>
      <c r="T11" s="23"/>
      <c r="U11" s="23">
        <f>SUM(F60:F69)</f>
        <v>288522.74264700006</v>
      </c>
      <c r="V11" s="23">
        <f>SUM(G60:G69)</f>
        <v>274035.67960599996</v>
      </c>
      <c r="W11" s="23"/>
      <c r="X11" s="23">
        <f>SUM(I60:I69)</f>
        <v>252989.205365</v>
      </c>
      <c r="Y11" s="23">
        <f>SUM(J60:J69)</f>
        <v>236012.829604</v>
      </c>
      <c r="AA11" s="24">
        <f t="shared" si="2"/>
        <v>2.7811749880764448E-2</v>
      </c>
      <c r="AB11" s="24">
        <f t="shared" si="3"/>
        <v>2.8993270160599854E-2</v>
      </c>
      <c r="AC11" s="24"/>
      <c r="AD11" s="24">
        <f t="shared" si="4"/>
        <v>2.2732583281329242E-2</v>
      </c>
      <c r="AE11" s="24">
        <f t="shared" si="5"/>
        <v>2.1591153791022732E-2</v>
      </c>
      <c r="AF11" s="24"/>
      <c r="AG11" s="24">
        <f t="shared" si="6"/>
        <v>1.8625664519991963E-2</v>
      </c>
      <c r="AH11" s="24">
        <f t="shared" si="7"/>
        <v>1.7375823526841614E-2</v>
      </c>
      <c r="AJ11" s="26">
        <f t="shared" si="8"/>
        <v>0.27811749880764447</v>
      </c>
      <c r="AK11" s="26">
        <f t="shared" si="9"/>
        <v>0.28993270160599854</v>
      </c>
      <c r="AL11" s="26"/>
      <c r="AM11" s="26">
        <f t="shared" si="10"/>
        <v>0.22732583281329241</v>
      </c>
      <c r="AN11" s="26">
        <f t="shared" si="11"/>
        <v>0.2159115379102273</v>
      </c>
      <c r="AO11" s="26"/>
      <c r="AP11" s="26">
        <f t="shared" si="12"/>
        <v>0.18625664519991963</v>
      </c>
      <c r="AQ11" s="26">
        <f t="shared" si="13"/>
        <v>0.17375823526841613</v>
      </c>
      <c r="AR11" s="26"/>
      <c r="AS11" s="28">
        <f t="shared" si="14"/>
        <v>70</v>
      </c>
      <c r="AU11" s="26">
        <f t="shared" si="15"/>
        <v>0.14503139250214014</v>
      </c>
      <c r="AV11" s="26">
        <f t="shared" si="16"/>
        <v>0.15481255481464826</v>
      </c>
      <c r="AX11" s="26">
        <f t="shared" si="17"/>
        <v>8.2888464797029479E-2</v>
      </c>
      <c r="AY11" s="26">
        <f t="shared" si="18"/>
        <v>6.9954559620276829E-2</v>
      </c>
      <c r="BA11" s="26">
        <f t="shared" si="19"/>
        <v>7.6042872205085404E-2</v>
      </c>
      <c r="BB11" s="26">
        <f t="shared" si="20"/>
        <v>6.3031573144374325E-2</v>
      </c>
    </row>
    <row r="12" spans="1:54" x14ac:dyDescent="0.25">
      <c r="A12" s="10">
        <v>7</v>
      </c>
      <c r="C12" s="4">
        <v>1179192</v>
      </c>
      <c r="D12" s="4">
        <v>1223008</v>
      </c>
      <c r="F12" s="4">
        <v>185803.44218300001</v>
      </c>
      <c r="G12" s="4">
        <v>175537.181763</v>
      </c>
      <c r="I12" s="4">
        <v>152207.642918</v>
      </c>
      <c r="J12" s="4">
        <v>145833.090818</v>
      </c>
      <c r="M12">
        <f t="shared" si="21"/>
        <v>65</v>
      </c>
      <c r="N12">
        <f t="shared" si="22"/>
        <v>74</v>
      </c>
      <c r="O12">
        <f t="shared" si="0"/>
        <v>70</v>
      </c>
      <c r="P12">
        <f t="shared" si="1"/>
        <v>10</v>
      </c>
      <c r="R12" s="23">
        <f>SUM(C70:C79)</f>
        <v>1438235</v>
      </c>
      <c r="S12" s="23">
        <f>SUM(D70:D79)</f>
        <v>1535232</v>
      </c>
      <c r="T12" s="23"/>
      <c r="U12" s="23">
        <f>SUM(F70:F79)</f>
        <v>105202.32963000001</v>
      </c>
      <c r="V12" s="23">
        <f>SUM(G70:G79)</f>
        <v>88786.571911000006</v>
      </c>
      <c r="W12" s="23"/>
      <c r="X12" s="23">
        <f>SUM(I70:I79)</f>
        <v>103287.72856499998</v>
      </c>
      <c r="Y12" s="23">
        <f>SUM(J70:J79)</f>
        <v>85614.704300000012</v>
      </c>
      <c r="AA12" s="24">
        <f t="shared" si="2"/>
        <v>1.4503139250214014E-2</v>
      </c>
      <c r="AB12" s="24">
        <f t="shared" si="3"/>
        <v>1.5481255481464826E-2</v>
      </c>
      <c r="AC12" s="24"/>
      <c r="AD12" s="24">
        <f t="shared" si="4"/>
        <v>8.2888464797029483E-3</v>
      </c>
      <c r="AE12" s="24">
        <f t="shared" si="5"/>
        <v>6.9954559620276826E-3</v>
      </c>
      <c r="AF12" s="24"/>
      <c r="AG12" s="24">
        <f t="shared" si="6"/>
        <v>7.6042872205085415E-3</v>
      </c>
      <c r="AH12" s="24">
        <f t="shared" si="7"/>
        <v>6.3031573144374329E-3</v>
      </c>
      <c r="AJ12" s="26">
        <f t="shared" si="8"/>
        <v>0.14503139250214014</v>
      </c>
      <c r="AK12" s="26">
        <f t="shared" si="9"/>
        <v>0.15481255481464826</v>
      </c>
      <c r="AL12" s="26"/>
      <c r="AM12" s="26">
        <f t="shared" si="10"/>
        <v>8.2888464797029479E-2</v>
      </c>
      <c r="AN12" s="26">
        <f t="shared" si="11"/>
        <v>6.9954559620276829E-2</v>
      </c>
      <c r="AO12" s="26"/>
      <c r="AP12" s="26">
        <f t="shared" si="12"/>
        <v>7.6042872205085404E-2</v>
      </c>
      <c r="AQ12" s="26">
        <f t="shared" si="13"/>
        <v>6.3031573144374325E-2</v>
      </c>
      <c r="AR12" s="26"/>
      <c r="AS12" s="28">
        <f t="shared" si="14"/>
        <v>80</v>
      </c>
      <c r="AU12" s="26">
        <f t="shared" si="15"/>
        <v>5.1542773473445859E-2</v>
      </c>
      <c r="AV12" s="26">
        <f t="shared" si="16"/>
        <v>5.1201632282448048E-2</v>
      </c>
      <c r="AX12" s="26">
        <f t="shared" si="17"/>
        <v>2.7335011584828976E-2</v>
      </c>
      <c r="AY12" s="26">
        <f t="shared" si="18"/>
        <v>2.5843416895718598E-2</v>
      </c>
      <c r="BA12" s="26">
        <f t="shared" si="19"/>
        <v>2.233913931986688E-2</v>
      </c>
      <c r="BB12" s="26">
        <f t="shared" si="20"/>
        <v>2.0988230534600479E-2</v>
      </c>
    </row>
    <row r="13" spans="1:54" x14ac:dyDescent="0.25">
      <c r="A13" s="10">
        <v>8</v>
      </c>
      <c r="C13" s="4">
        <v>1215578</v>
      </c>
      <c r="D13" s="4">
        <v>1235027</v>
      </c>
      <c r="F13" s="4">
        <v>179878.61007600001</v>
      </c>
      <c r="G13" s="4">
        <v>168720.57441599999</v>
      </c>
      <c r="I13" s="4">
        <v>145216.29037599999</v>
      </c>
      <c r="J13" s="4">
        <v>140761.01751599999</v>
      </c>
      <c r="M13">
        <f t="shared" si="21"/>
        <v>75</v>
      </c>
      <c r="N13">
        <f t="shared" si="22"/>
        <v>84</v>
      </c>
      <c r="O13">
        <f t="shared" si="0"/>
        <v>80</v>
      </c>
      <c r="P13">
        <f t="shared" si="1"/>
        <v>10</v>
      </c>
      <c r="R13" s="23">
        <f>SUM(C80:C89)</f>
        <v>511135</v>
      </c>
      <c r="S13" s="23">
        <f>SUM(D80:D89)</f>
        <v>507752</v>
      </c>
      <c r="T13" s="23"/>
      <c r="U13" s="23">
        <f>SUM(F80:F89)</f>
        <v>34693.692376000006</v>
      </c>
      <c r="V13" s="23">
        <f>SUM(G80:G89)</f>
        <v>32800.555176000002</v>
      </c>
      <c r="W13" s="23"/>
      <c r="X13" s="23">
        <f>SUM(I80:I89)</f>
        <v>30342.869640999994</v>
      </c>
      <c r="Y13" s="23">
        <f>SUM(J80:J89)</f>
        <v>28507.953417000001</v>
      </c>
      <c r="AA13" s="24">
        <f t="shared" si="2"/>
        <v>5.1542773473445859E-3</v>
      </c>
      <c r="AB13" s="24">
        <f t="shared" si="3"/>
        <v>5.1201632282448046E-3</v>
      </c>
      <c r="AC13" s="24"/>
      <c r="AD13" s="24">
        <f t="shared" si="4"/>
        <v>2.7335011584828975E-3</v>
      </c>
      <c r="AE13" s="24">
        <f t="shared" si="5"/>
        <v>2.5843416895718597E-3</v>
      </c>
      <c r="AF13" s="24"/>
      <c r="AG13" s="24">
        <f t="shared" si="6"/>
        <v>2.233913931986688E-3</v>
      </c>
      <c r="AH13" s="24">
        <f t="shared" si="7"/>
        <v>2.0988230534600481E-3</v>
      </c>
      <c r="AJ13" s="26">
        <f t="shared" si="8"/>
        <v>5.1542773473445859E-2</v>
      </c>
      <c r="AK13" s="26">
        <f t="shared" si="9"/>
        <v>5.1201632282448048E-2</v>
      </c>
      <c r="AL13" s="26"/>
      <c r="AM13" s="26">
        <f t="shared" si="10"/>
        <v>2.7335011584828976E-2</v>
      </c>
      <c r="AN13" s="26">
        <f t="shared" si="11"/>
        <v>2.5843416895718598E-2</v>
      </c>
      <c r="AO13" s="26"/>
      <c r="AP13" s="26">
        <f t="shared" si="12"/>
        <v>2.233913931986688E-2</v>
      </c>
      <c r="AQ13" s="26">
        <f t="shared" si="13"/>
        <v>2.0988230534600479E-2</v>
      </c>
      <c r="AR13" s="26"/>
      <c r="AS13" s="28">
        <f t="shared" si="14"/>
        <v>90</v>
      </c>
      <c r="AU13" s="26">
        <f t="shared" si="15"/>
        <v>9.5856338557109497E-3</v>
      </c>
      <c r="AV13" s="26">
        <f t="shared" si="16"/>
        <v>9.7158180938363339E-3</v>
      </c>
      <c r="AX13" s="26">
        <f t="shared" si="17"/>
        <v>7.0977118247794154E-3</v>
      </c>
      <c r="AY13" s="26">
        <f t="shared" si="18"/>
        <v>6.6557183257068952E-3</v>
      </c>
      <c r="BA13" s="26">
        <f t="shared" si="19"/>
        <v>6.4352938801536513E-3</v>
      </c>
      <c r="BB13" s="26">
        <f t="shared" si="20"/>
        <v>7.025979663887327E-3</v>
      </c>
    </row>
    <row r="14" spans="1:54" x14ac:dyDescent="0.25">
      <c r="A14" s="10">
        <v>9</v>
      </c>
      <c r="C14" s="4">
        <v>1095634</v>
      </c>
      <c r="D14" s="4">
        <v>1093997</v>
      </c>
      <c r="F14" s="4">
        <v>172151.88931100001</v>
      </c>
      <c r="G14" s="4">
        <v>160161.59430299999</v>
      </c>
      <c r="I14" s="4">
        <v>142035.864199</v>
      </c>
      <c r="J14" s="4">
        <v>139759.632977</v>
      </c>
      <c r="M14">
        <f t="shared" si="21"/>
        <v>85</v>
      </c>
      <c r="N14">
        <f t="shared" si="22"/>
        <v>94</v>
      </c>
      <c r="O14">
        <f t="shared" si="0"/>
        <v>90</v>
      </c>
      <c r="P14">
        <f t="shared" si="1"/>
        <v>10</v>
      </c>
      <c r="R14" s="23">
        <f>SUM(C90:C99)</f>
        <v>95058</v>
      </c>
      <c r="S14" s="23">
        <f>SUM(D90:D99)</f>
        <v>96349</v>
      </c>
      <c r="T14" s="23"/>
      <c r="U14" s="23">
        <f>SUM(F90:F99)</f>
        <v>9008.4406899999994</v>
      </c>
      <c r="V14" s="23">
        <f>SUM(G90:G99)</f>
        <v>8447.4609939999991</v>
      </c>
      <c r="W14" s="23"/>
      <c r="X14" s="23">
        <f>SUM(I90:I99)</f>
        <v>8740.9492599999994</v>
      </c>
      <c r="Y14" s="23">
        <f>SUM(J90:J99)</f>
        <v>9543.2676250000004</v>
      </c>
      <c r="AA14" s="24">
        <f t="shared" si="2"/>
        <v>9.5856338557109497E-4</v>
      </c>
      <c r="AB14" s="24">
        <f t="shared" si="3"/>
        <v>9.7158180938363347E-4</v>
      </c>
      <c r="AC14" s="24"/>
      <c r="AD14" s="24">
        <f t="shared" si="4"/>
        <v>7.0977118247794149E-4</v>
      </c>
      <c r="AE14" s="24">
        <f t="shared" si="5"/>
        <v>6.6557183257068958E-4</v>
      </c>
      <c r="AF14" s="24"/>
      <c r="AG14" s="24">
        <f t="shared" si="6"/>
        <v>6.4352938801536517E-4</v>
      </c>
      <c r="AH14" s="24">
        <f t="shared" si="7"/>
        <v>7.0259796638873272E-4</v>
      </c>
      <c r="AJ14" s="26">
        <f t="shared" si="8"/>
        <v>9.5856338557109497E-3</v>
      </c>
      <c r="AK14" s="26">
        <f t="shared" si="9"/>
        <v>9.7158180938363339E-3</v>
      </c>
      <c r="AL14" s="26"/>
      <c r="AM14" s="26">
        <f t="shared" si="10"/>
        <v>7.0977118247794154E-3</v>
      </c>
      <c r="AN14" s="26">
        <f t="shared" si="11"/>
        <v>6.6557183257068952E-3</v>
      </c>
      <c r="AO14" s="26"/>
      <c r="AP14" s="26">
        <f t="shared" si="12"/>
        <v>6.4352938801536513E-3</v>
      </c>
      <c r="AQ14" s="26">
        <f t="shared" si="13"/>
        <v>7.025979663887327E-3</v>
      </c>
      <c r="AR14" s="26"/>
      <c r="AS14" s="28">
        <f t="shared" si="14"/>
        <v>100</v>
      </c>
      <c r="AU14" s="26">
        <f t="shared" si="15"/>
        <v>1.4886986114988825E-3</v>
      </c>
      <c r="AV14" s="26">
        <f t="shared" si="16"/>
        <v>1.6005299980837405E-3</v>
      </c>
      <c r="AX14" s="26">
        <f t="shared" si="17"/>
        <v>1.7148318004168307E-3</v>
      </c>
      <c r="AY14" s="26">
        <f t="shared" si="18"/>
        <v>1.7447291817272402E-3</v>
      </c>
      <c r="BA14" s="26">
        <f t="shared" si="19"/>
        <v>1.992424788502368E-3</v>
      </c>
      <c r="BB14" s="26">
        <f t="shared" si="20"/>
        <v>2.5682638758206021E-3</v>
      </c>
    </row>
    <row r="15" spans="1:54" x14ac:dyDescent="0.25">
      <c r="A15" s="10">
        <v>10</v>
      </c>
      <c r="C15" s="4">
        <v>1204078</v>
      </c>
      <c r="D15" s="4">
        <v>1215355</v>
      </c>
      <c r="F15" s="4">
        <v>162796.83673000001</v>
      </c>
      <c r="G15" s="4">
        <v>150109.96432500001</v>
      </c>
      <c r="I15" s="4">
        <v>143650.85876599999</v>
      </c>
      <c r="J15" s="4">
        <v>144006.02971599999</v>
      </c>
      <c r="M15">
        <f t="shared" si="21"/>
        <v>95</v>
      </c>
      <c r="N15">
        <f t="shared" si="22"/>
        <v>104</v>
      </c>
      <c r="O15">
        <f t="shared" si="0"/>
        <v>100</v>
      </c>
      <c r="P15">
        <f t="shared" si="1"/>
        <v>10</v>
      </c>
      <c r="R15" s="23">
        <f>SUM(C100:C109)</f>
        <v>14763</v>
      </c>
      <c r="S15" s="23">
        <f>SUM(D100:D109)</f>
        <v>15872</v>
      </c>
      <c r="T15" s="23"/>
      <c r="U15" s="23">
        <f>SUM(F100:F109)</f>
        <v>2176.470523</v>
      </c>
      <c r="V15" s="23">
        <f>SUM(G100:G109)</f>
        <v>2214.4163840000001</v>
      </c>
      <c r="W15" s="23"/>
      <c r="X15" s="23">
        <f>SUM(I100:I109)</f>
        <v>2706.2764040000002</v>
      </c>
      <c r="Y15" s="23">
        <f>SUM(J100:J109)</f>
        <v>3488.4287560000002</v>
      </c>
      <c r="AA15" s="24">
        <f t="shared" si="2"/>
        <v>1.4886986114988823E-4</v>
      </c>
      <c r="AB15" s="24">
        <f t="shared" si="3"/>
        <v>1.6005299980837405E-4</v>
      </c>
      <c r="AC15" s="24"/>
      <c r="AD15" s="24">
        <f t="shared" si="4"/>
        <v>1.7148318004168308E-4</v>
      </c>
      <c r="AE15" s="24">
        <f t="shared" si="5"/>
        <v>1.7447291817272403E-4</v>
      </c>
      <c r="AF15" s="24"/>
      <c r="AG15" s="24">
        <f t="shared" si="6"/>
        <v>1.9924247885023683E-4</v>
      </c>
      <c r="AH15" s="24">
        <f t="shared" si="7"/>
        <v>2.5682638758206018E-4</v>
      </c>
      <c r="AJ15" s="26">
        <f t="shared" si="8"/>
        <v>1.4886986114988825E-3</v>
      </c>
      <c r="AK15" s="26">
        <f t="shared" si="9"/>
        <v>1.6005299980837405E-3</v>
      </c>
      <c r="AL15" s="26"/>
      <c r="AM15" s="26">
        <f t="shared" si="10"/>
        <v>1.7148318004168307E-3</v>
      </c>
      <c r="AN15" s="26">
        <f t="shared" si="11"/>
        <v>1.7447291817272402E-3</v>
      </c>
      <c r="AO15" s="26"/>
      <c r="AP15" s="26">
        <f t="shared" si="12"/>
        <v>1.992424788502368E-3</v>
      </c>
      <c r="AQ15" s="26">
        <f t="shared" si="13"/>
        <v>2.5682638758206021E-3</v>
      </c>
      <c r="AR15" s="26"/>
      <c r="AS15" s="27">
        <f t="shared" si="14"/>
        <v>107.5</v>
      </c>
      <c r="AU15" s="26">
        <f t="shared" si="15"/>
        <v>1.3351195296515072E-4</v>
      </c>
      <c r="AV15" s="26">
        <f t="shared" si="16"/>
        <v>1.3976402327016535E-4</v>
      </c>
      <c r="AX15" s="26">
        <f t="shared" si="17"/>
        <v>7.2464691438382017E-5</v>
      </c>
      <c r="AY15" s="26">
        <f t="shared" si="18"/>
        <v>9.2582168265387317E-5</v>
      </c>
      <c r="BA15" s="26">
        <f t="shared" si="19"/>
        <v>1.081179707714792E-3</v>
      </c>
      <c r="BB15" s="26">
        <f t="shared" si="20"/>
        <v>1.5659405702452441E-3</v>
      </c>
    </row>
    <row r="16" spans="1:54" x14ac:dyDescent="0.25">
      <c r="A16" s="10">
        <v>11</v>
      </c>
      <c r="C16" s="4">
        <v>981933</v>
      </c>
      <c r="D16" s="4">
        <v>969224</v>
      </c>
      <c r="F16" s="4">
        <v>150970.82108200001</v>
      </c>
      <c r="G16" s="4">
        <v>137158.939973</v>
      </c>
      <c r="I16" s="4">
        <v>143934.28624399999</v>
      </c>
      <c r="J16" s="4">
        <v>146672.55347000001</v>
      </c>
      <c r="M16">
        <f t="shared" si="21"/>
        <v>105</v>
      </c>
      <c r="N16">
        <v>109</v>
      </c>
      <c r="O16">
        <f t="shared" si="0"/>
        <v>107.5</v>
      </c>
      <c r="P16">
        <f t="shared" si="1"/>
        <v>5</v>
      </c>
      <c r="R16" s="23">
        <f>SUM(C110:C114)</f>
        <v>662</v>
      </c>
      <c r="S16" s="23">
        <f>SUM(D110:D114)</f>
        <v>693</v>
      </c>
      <c r="T16" s="23"/>
      <c r="U16" s="23">
        <f>SUM(F110:F114)</f>
        <v>45.986219999999996</v>
      </c>
      <c r="V16" s="23">
        <f>SUM(G110:G114)</f>
        <v>58.752805999999993</v>
      </c>
      <c r="W16" s="23"/>
      <c r="X16" s="23">
        <f>SUM(I110:I114)</f>
        <v>734.27392299999997</v>
      </c>
      <c r="Y16" s="23">
        <f>SUM(J110:J114)</f>
        <v>1063.4951040000001</v>
      </c>
      <c r="AA16" s="24">
        <f t="shared" si="2"/>
        <v>6.6755976482575362E-6</v>
      </c>
      <c r="AB16" s="24">
        <f t="shared" si="3"/>
        <v>6.9882011635082667E-6</v>
      </c>
      <c r="AC16" s="24"/>
      <c r="AD16" s="24">
        <f t="shared" si="4"/>
        <v>3.6232345719191011E-6</v>
      </c>
      <c r="AE16" s="24">
        <f t="shared" si="5"/>
        <v>4.629108413269366E-6</v>
      </c>
      <c r="AF16" s="24"/>
      <c r="AG16" s="24">
        <f t="shared" si="6"/>
        <v>5.4058985385739601E-5</v>
      </c>
      <c r="AH16" s="24">
        <f t="shared" si="7"/>
        <v>7.8297028512262212E-5</v>
      </c>
      <c r="AJ16" s="26">
        <f t="shared" si="8"/>
        <v>1.3351195296515072E-4</v>
      </c>
      <c r="AK16" s="26">
        <f t="shared" si="9"/>
        <v>1.3976402327016535E-4</v>
      </c>
      <c r="AL16" s="26"/>
      <c r="AM16" s="26">
        <f t="shared" si="10"/>
        <v>7.2464691438382017E-5</v>
      </c>
      <c r="AN16" s="26">
        <f t="shared" si="11"/>
        <v>9.2582168265387317E-5</v>
      </c>
      <c r="AO16" s="26"/>
      <c r="AP16" s="26">
        <f t="shared" si="12"/>
        <v>1.081179707714792E-3</v>
      </c>
      <c r="AQ16" s="26">
        <f t="shared" si="13"/>
        <v>1.5659405702452441E-3</v>
      </c>
      <c r="AR16" s="26"/>
      <c r="AS16" s="26"/>
    </row>
    <row r="17" spans="1:34" x14ac:dyDescent="0.25">
      <c r="A17" s="10">
        <v>12</v>
      </c>
      <c r="C17" s="4">
        <v>1276307</v>
      </c>
      <c r="D17" s="4">
        <v>1281067</v>
      </c>
      <c r="F17" s="4">
        <v>142182.52061400001</v>
      </c>
      <c r="G17" s="4">
        <v>130136.512389</v>
      </c>
      <c r="I17" s="4">
        <v>143952.45323799999</v>
      </c>
      <c r="J17" s="4">
        <v>148936.05990200001</v>
      </c>
      <c r="R17" s="21"/>
      <c r="S17" s="21"/>
      <c r="T17" s="21"/>
      <c r="U17" s="21"/>
      <c r="V17" s="21"/>
      <c r="W17" s="21"/>
      <c r="X17" s="21"/>
      <c r="Y17" s="21"/>
      <c r="AA17" s="24"/>
      <c r="AB17" s="24"/>
      <c r="AC17" s="24"/>
      <c r="AD17" s="24"/>
      <c r="AE17" s="24"/>
      <c r="AF17" s="24"/>
      <c r="AG17" s="24"/>
      <c r="AH17" s="24"/>
    </row>
    <row r="18" spans="1:34" x14ac:dyDescent="0.25">
      <c r="A18" s="10">
        <v>13</v>
      </c>
      <c r="C18" s="4">
        <v>1052707</v>
      </c>
      <c r="D18" s="4">
        <v>1058899</v>
      </c>
      <c r="F18" s="4">
        <v>135317.71759300001</v>
      </c>
      <c r="G18" s="4">
        <v>127204.51951100001</v>
      </c>
      <c r="I18" s="4">
        <v>143594.29219400001</v>
      </c>
      <c r="J18" s="4">
        <v>150665.163157</v>
      </c>
      <c r="N18" t="s">
        <v>119</v>
      </c>
      <c r="R18" s="22">
        <f>SUM(R5:R16)</f>
        <v>48696122</v>
      </c>
      <c r="S18" s="22">
        <f>SUM(S5:S16)</f>
        <v>50471029</v>
      </c>
      <c r="T18" s="22"/>
      <c r="U18" s="22">
        <f>SUM(U5:U16)</f>
        <v>6294249.9999969983</v>
      </c>
      <c r="V18" s="22">
        <f>SUM(V5:V16)</f>
        <v>6397785.0000009993</v>
      </c>
      <c r="W18" s="22"/>
      <c r="X18" s="22">
        <f>SUM(X5:X16)</f>
        <v>6740685.6863400005</v>
      </c>
      <c r="Y18" s="22">
        <f>SUM(Y5:Y16)</f>
        <v>6842142.7326650014</v>
      </c>
      <c r="AA18" s="24">
        <f>SUM(AA5:AA16)</f>
        <v>0.4910509327831753</v>
      </c>
      <c r="AB18" s="24">
        <f>SUM(AB5:AB16)</f>
        <v>0.50894906721682476</v>
      </c>
      <c r="AC18" s="24"/>
      <c r="AD18" s="24">
        <f>SUM(AD5:AD16)</f>
        <v>0.49592126085359783</v>
      </c>
      <c r="AE18" s="24">
        <f>SUM(AE5:AE16)</f>
        <v>0.50407873914640233</v>
      </c>
      <c r="AF18" s="24"/>
      <c r="AG18" s="24">
        <f>SUM(AG5:AG16)</f>
        <v>0.49626524597104366</v>
      </c>
      <c r="AH18" s="24">
        <f>SUM(AH5:AH16)</f>
        <v>0.50373475402895607</v>
      </c>
    </row>
    <row r="19" spans="1:34" x14ac:dyDescent="0.25">
      <c r="A19" s="10">
        <v>14</v>
      </c>
      <c r="C19" s="4">
        <v>1023946</v>
      </c>
      <c r="D19" s="4">
        <v>1049048</v>
      </c>
      <c r="F19" s="4">
        <v>130386.164357</v>
      </c>
      <c r="G19" s="4">
        <v>128447.80229199999</v>
      </c>
      <c r="I19" s="4">
        <v>142866.86251000001</v>
      </c>
      <c r="J19" s="4">
        <v>151860.55505900001</v>
      </c>
      <c r="R19" s="21"/>
      <c r="S19" s="21"/>
      <c r="T19" s="21"/>
      <c r="U19" s="21"/>
      <c r="V19" s="21"/>
      <c r="W19" s="21"/>
      <c r="X19" s="21"/>
      <c r="Y19" s="21"/>
      <c r="AB19" s="24">
        <f>AB18+AA18</f>
        <v>1</v>
      </c>
      <c r="AE19" s="24">
        <f>AE18+AD18</f>
        <v>1.0000000000000002</v>
      </c>
      <c r="AH19" s="24">
        <f>AH18+AG18</f>
        <v>0.99999999999999978</v>
      </c>
    </row>
    <row r="20" spans="1:34" x14ac:dyDescent="0.25">
      <c r="A20" s="10">
        <v>15</v>
      </c>
      <c r="C20" s="4">
        <v>992837</v>
      </c>
      <c r="D20" s="4">
        <v>1022042</v>
      </c>
      <c r="F20" s="4">
        <v>127230.77635299999</v>
      </c>
      <c r="G20" s="4">
        <v>133647.22583499999</v>
      </c>
      <c r="I20" s="4">
        <v>141772.347718</v>
      </c>
      <c r="J20" s="4">
        <v>152518.354162</v>
      </c>
      <c r="R20" s="22"/>
      <c r="S20" s="22"/>
      <c r="T20" s="22"/>
      <c r="U20" s="22"/>
      <c r="V20" s="22"/>
      <c r="W20" s="22"/>
      <c r="X20" s="22"/>
      <c r="Y20" s="22"/>
    </row>
    <row r="21" spans="1:34" x14ac:dyDescent="0.25">
      <c r="A21" s="10">
        <v>16</v>
      </c>
      <c r="C21" s="4">
        <v>984612</v>
      </c>
      <c r="D21" s="4">
        <v>1094871</v>
      </c>
      <c r="F21" s="4">
        <v>126591.61705099999</v>
      </c>
      <c r="G21" s="4">
        <v>145392.73318099999</v>
      </c>
      <c r="I21" s="4">
        <v>140313.43857</v>
      </c>
      <c r="J21" s="4">
        <v>152636.08783199999</v>
      </c>
      <c r="R21" s="21"/>
      <c r="S21" s="21"/>
      <c r="T21" s="21"/>
      <c r="U21" s="21"/>
      <c r="V21" s="21"/>
      <c r="W21" s="21"/>
      <c r="X21" s="21"/>
      <c r="Y21" s="21"/>
    </row>
    <row r="22" spans="1:34" x14ac:dyDescent="0.25">
      <c r="A22" s="10">
        <v>17</v>
      </c>
      <c r="C22" s="4">
        <v>978629</v>
      </c>
      <c r="D22" s="4">
        <v>1098460</v>
      </c>
      <c r="F22" s="4">
        <v>123934.428118</v>
      </c>
      <c r="G22" s="4">
        <v>150130.57107000001</v>
      </c>
      <c r="I22" s="4">
        <v>138493.879109</v>
      </c>
      <c r="J22" s="4">
        <v>152213.35030600001</v>
      </c>
      <c r="R22" s="21"/>
      <c r="S22" s="21"/>
      <c r="T22" s="21"/>
      <c r="U22" s="21"/>
      <c r="V22" s="21"/>
      <c r="W22" s="21"/>
      <c r="X22" s="21"/>
      <c r="Y22" s="21"/>
    </row>
    <row r="23" spans="1:34" x14ac:dyDescent="0.25">
      <c r="A23" s="10">
        <v>18</v>
      </c>
      <c r="C23" s="4">
        <v>998723</v>
      </c>
      <c r="D23" s="4">
        <v>1089350</v>
      </c>
      <c r="F23" s="4">
        <v>120078.583491</v>
      </c>
      <c r="G23" s="4">
        <v>149992.543592</v>
      </c>
      <c r="I23" s="4">
        <v>136317.86293599999</v>
      </c>
      <c r="J23" s="4">
        <v>151251.434331</v>
      </c>
      <c r="R23" s="21"/>
      <c r="S23" s="21"/>
      <c r="T23" s="21"/>
      <c r="U23" s="21"/>
      <c r="V23" s="21"/>
      <c r="W23" s="21"/>
      <c r="X23" s="21"/>
      <c r="Y23" s="21"/>
    </row>
    <row r="24" spans="1:34" x14ac:dyDescent="0.25">
      <c r="A24" s="10">
        <v>19</v>
      </c>
      <c r="C24" s="4">
        <v>848201</v>
      </c>
      <c r="D24" s="4">
        <v>897488</v>
      </c>
      <c r="F24" s="4">
        <v>114974.166843</v>
      </c>
      <c r="G24" s="4">
        <v>144728.62731400001</v>
      </c>
      <c r="I24" s="4">
        <v>133799.718715</v>
      </c>
      <c r="J24" s="4">
        <v>149757.412063</v>
      </c>
      <c r="R24" s="21"/>
      <c r="S24" s="21"/>
      <c r="T24" s="21"/>
      <c r="U24" s="21"/>
      <c r="V24" s="21"/>
      <c r="W24" s="21"/>
      <c r="X24" s="21"/>
      <c r="Y24" s="21"/>
    </row>
    <row r="25" spans="1:34" x14ac:dyDescent="0.25">
      <c r="A25" s="10">
        <v>20</v>
      </c>
      <c r="C25" s="4">
        <v>879164</v>
      </c>
      <c r="D25" s="4">
        <v>1192042</v>
      </c>
      <c r="F25" s="4">
        <v>108806.204497</v>
      </c>
      <c r="G25" s="4">
        <v>134808.52484299999</v>
      </c>
      <c r="I25" s="4">
        <v>130861.82105899999</v>
      </c>
      <c r="J25" s="4">
        <v>147701.29585200001</v>
      </c>
      <c r="R25" s="21"/>
      <c r="S25" s="21"/>
      <c r="T25" s="21"/>
      <c r="U25" s="21"/>
      <c r="V25" s="21"/>
      <c r="W25" s="21"/>
      <c r="X25" s="21"/>
      <c r="Y25" s="21"/>
    </row>
    <row r="26" spans="1:34" x14ac:dyDescent="0.25">
      <c r="A26" s="10">
        <v>21</v>
      </c>
      <c r="C26" s="4">
        <v>800179</v>
      </c>
      <c r="D26" s="4">
        <v>636809</v>
      </c>
      <c r="F26" s="4">
        <v>100408.055322</v>
      </c>
      <c r="G26" s="4">
        <v>117906.64745400001</v>
      </c>
      <c r="I26" s="4">
        <v>127995.420564</v>
      </c>
      <c r="J26" s="4">
        <v>145293.174467</v>
      </c>
      <c r="R26" s="21"/>
      <c r="S26" s="21"/>
      <c r="T26" s="21"/>
      <c r="U26" s="21"/>
      <c r="V26" s="21"/>
      <c r="W26" s="21"/>
      <c r="X26" s="21"/>
      <c r="Y26" s="21"/>
    </row>
    <row r="27" spans="1:34" x14ac:dyDescent="0.25">
      <c r="A27" s="10">
        <v>22</v>
      </c>
      <c r="C27" s="4">
        <v>863687</v>
      </c>
      <c r="D27" s="4">
        <v>885528</v>
      </c>
      <c r="F27" s="4">
        <v>96943.393911000006</v>
      </c>
      <c r="G27" s="4">
        <v>109901.117318</v>
      </c>
      <c r="I27" s="4">
        <v>125115.07411</v>
      </c>
      <c r="J27" s="4">
        <v>142503.64629199999</v>
      </c>
      <c r="R27" s="21"/>
      <c r="S27" s="21"/>
      <c r="T27" s="21"/>
      <c r="U27" s="21"/>
      <c r="V27" s="21"/>
      <c r="W27" s="21"/>
      <c r="X27" s="21"/>
      <c r="Y27" s="21"/>
    </row>
    <row r="28" spans="1:34" x14ac:dyDescent="0.25">
      <c r="A28" s="10">
        <v>23</v>
      </c>
      <c r="C28" s="4">
        <v>791814</v>
      </c>
      <c r="D28" s="4">
        <v>825830</v>
      </c>
      <c r="F28" s="4">
        <v>96983.601095999999</v>
      </c>
      <c r="G28" s="4">
        <v>107454.259011</v>
      </c>
      <c r="I28" s="4">
        <v>122229.80628600001</v>
      </c>
      <c r="J28" s="4">
        <v>139343.67662899999</v>
      </c>
      <c r="R28" s="21"/>
      <c r="S28" s="21"/>
      <c r="T28" s="21"/>
      <c r="U28" s="21"/>
      <c r="V28" s="21"/>
      <c r="W28" s="21"/>
      <c r="X28" s="21"/>
      <c r="Y28" s="21"/>
    </row>
    <row r="29" spans="1:34" x14ac:dyDescent="0.25">
      <c r="A29" s="10">
        <v>24</v>
      </c>
      <c r="C29" s="4">
        <v>690732</v>
      </c>
      <c r="D29" s="4">
        <v>720216</v>
      </c>
      <c r="F29" s="4">
        <v>100680.426706</v>
      </c>
      <c r="G29" s="4">
        <v>110759.880495</v>
      </c>
      <c r="I29" s="4">
        <v>119339.250551</v>
      </c>
      <c r="J29" s="4">
        <v>135821.27983700001</v>
      </c>
      <c r="R29" s="21"/>
      <c r="S29" s="21"/>
      <c r="T29" s="21"/>
      <c r="U29" s="21"/>
      <c r="V29" s="21"/>
      <c r="W29" s="21"/>
      <c r="X29" s="21"/>
      <c r="Y29" s="21"/>
    </row>
    <row r="30" spans="1:34" x14ac:dyDescent="0.25">
      <c r="A30" s="10">
        <v>25</v>
      </c>
      <c r="C30" s="4">
        <v>795114</v>
      </c>
      <c r="D30" s="4">
        <v>1072869</v>
      </c>
      <c r="F30" s="4">
        <v>107877.522964</v>
      </c>
      <c r="G30" s="4">
        <v>119557.09572300001</v>
      </c>
      <c r="I30" s="4">
        <v>116443.507318</v>
      </c>
      <c r="J30" s="4">
        <v>131945.60446900001</v>
      </c>
      <c r="R30" s="21"/>
      <c r="S30" s="21"/>
      <c r="T30" s="21"/>
      <c r="U30" s="21"/>
      <c r="V30" s="21"/>
      <c r="W30" s="21"/>
      <c r="X30" s="21"/>
      <c r="Y30" s="21"/>
    </row>
    <row r="31" spans="1:34" x14ac:dyDescent="0.25">
      <c r="A31" s="10">
        <v>26</v>
      </c>
      <c r="C31" s="4">
        <v>748462</v>
      </c>
      <c r="D31" s="4">
        <v>727473</v>
      </c>
      <c r="F31" s="4">
        <v>121622.406678</v>
      </c>
      <c r="G31" s="4">
        <v>138383.28240900001</v>
      </c>
      <c r="I31" s="4">
        <v>113542.710836</v>
      </c>
      <c r="J31" s="4">
        <v>127726.75391100001</v>
      </c>
      <c r="R31" s="21"/>
      <c r="S31" s="21"/>
      <c r="T31" s="21"/>
      <c r="U31" s="21"/>
      <c r="V31" s="21"/>
      <c r="W31" s="21"/>
      <c r="X31" s="21"/>
      <c r="Y31" s="21"/>
    </row>
    <row r="32" spans="1:34" x14ac:dyDescent="0.25">
      <c r="A32" s="10">
        <v>27</v>
      </c>
      <c r="C32" s="4">
        <v>785934</v>
      </c>
      <c r="D32" s="4">
        <v>760804</v>
      </c>
      <c r="F32" s="4">
        <v>126433.939229</v>
      </c>
      <c r="G32" s="4">
        <v>144767.14484600001</v>
      </c>
      <c r="I32" s="4">
        <v>110636.99037</v>
      </c>
      <c r="J32" s="4">
        <v>123175.656735</v>
      </c>
      <c r="R32" s="21"/>
      <c r="S32" s="21"/>
      <c r="T32" s="21"/>
      <c r="U32" s="21"/>
      <c r="V32" s="21"/>
      <c r="W32" s="21"/>
      <c r="X32" s="21"/>
      <c r="Y32" s="21"/>
    </row>
    <row r="33" spans="1:25" x14ac:dyDescent="0.25">
      <c r="A33" s="10">
        <v>28</v>
      </c>
      <c r="C33" s="4">
        <v>785014</v>
      </c>
      <c r="D33" s="4">
        <v>807738</v>
      </c>
      <c r="F33" s="4">
        <v>124620.85107600001</v>
      </c>
      <c r="G33" s="4">
        <v>141996.95731999999</v>
      </c>
      <c r="I33" s="4">
        <v>107726.566362</v>
      </c>
      <c r="J33" s="4">
        <v>118303.315307</v>
      </c>
      <c r="R33" s="21"/>
      <c r="S33" s="21"/>
      <c r="T33" s="21"/>
      <c r="U33" s="21"/>
      <c r="V33" s="21"/>
      <c r="W33" s="21"/>
      <c r="X33" s="21"/>
      <c r="Y33" s="21"/>
    </row>
    <row r="34" spans="1:25" x14ac:dyDescent="0.25">
      <c r="A34" s="10">
        <v>29</v>
      </c>
      <c r="C34" s="4">
        <v>505001</v>
      </c>
      <c r="D34" s="4">
        <v>439289</v>
      </c>
      <c r="F34" s="4">
        <v>115993.873353</v>
      </c>
      <c r="G34" s="4">
        <v>129840.940088</v>
      </c>
      <c r="I34" s="4">
        <v>104809.852545</v>
      </c>
      <c r="J34" s="4">
        <v>113137.59650100001</v>
      </c>
      <c r="R34" s="21"/>
      <c r="S34" s="21"/>
      <c r="T34" s="21"/>
      <c r="U34" s="21"/>
      <c r="V34" s="21"/>
      <c r="W34" s="21"/>
      <c r="X34" s="21"/>
      <c r="Y34" s="21"/>
    </row>
    <row r="35" spans="1:25" x14ac:dyDescent="0.25">
      <c r="A35" s="10">
        <v>30</v>
      </c>
      <c r="C35" s="4">
        <v>1055694</v>
      </c>
      <c r="D35" s="4">
        <v>1376799</v>
      </c>
      <c r="F35" s="4">
        <v>101378.929665</v>
      </c>
      <c r="G35" s="4">
        <v>109577.67533699999</v>
      </c>
      <c r="I35" s="4">
        <v>101903.47406199999</v>
      </c>
      <c r="J35" s="4">
        <v>107545.51033400001</v>
      </c>
      <c r="R35" s="21"/>
      <c r="S35" s="21"/>
      <c r="T35" s="21"/>
      <c r="U35" s="21"/>
      <c r="V35" s="21"/>
      <c r="W35" s="21"/>
      <c r="X35" s="21"/>
      <c r="Y35" s="21"/>
    </row>
    <row r="36" spans="1:25" x14ac:dyDescent="0.25">
      <c r="A36" s="10">
        <v>31</v>
      </c>
      <c r="C36" s="4">
        <v>401717</v>
      </c>
      <c r="D36" s="4">
        <v>339826</v>
      </c>
      <c r="F36" s="4">
        <v>78293.921172000002</v>
      </c>
      <c r="G36" s="4">
        <v>78150.729697000002</v>
      </c>
      <c r="I36" s="4">
        <v>98912.591004999995</v>
      </c>
      <c r="J36" s="4">
        <v>102385.095978</v>
      </c>
      <c r="R36" s="21"/>
      <c r="S36" s="21"/>
      <c r="T36" s="21"/>
      <c r="U36" s="21"/>
      <c r="V36" s="21"/>
      <c r="W36" s="21"/>
      <c r="X36" s="21"/>
      <c r="Y36" s="21"/>
    </row>
    <row r="37" spans="1:25" x14ac:dyDescent="0.25">
      <c r="A37" s="10">
        <v>32</v>
      </c>
      <c r="C37" s="4">
        <v>602761</v>
      </c>
      <c r="D37" s="4">
        <v>581295</v>
      </c>
      <c r="F37" s="4">
        <v>66870.878748000003</v>
      </c>
      <c r="G37" s="4">
        <v>62945.733689000001</v>
      </c>
      <c r="I37" s="4">
        <v>95856.114881999994</v>
      </c>
      <c r="J37" s="4">
        <v>97489.884602000006</v>
      </c>
      <c r="R37" s="21"/>
      <c r="S37" s="21"/>
      <c r="T37" s="21"/>
      <c r="U37" s="21"/>
      <c r="V37" s="21"/>
      <c r="W37" s="21"/>
      <c r="X37" s="21"/>
      <c r="Y37" s="21"/>
    </row>
    <row r="38" spans="1:25" x14ac:dyDescent="0.25">
      <c r="A38" s="10">
        <v>33</v>
      </c>
      <c r="C38" s="4">
        <v>573913</v>
      </c>
      <c r="D38" s="4">
        <v>527699</v>
      </c>
      <c r="F38" s="4">
        <v>62019.321947999997</v>
      </c>
      <c r="G38" s="4">
        <v>56262.150917999999</v>
      </c>
      <c r="I38" s="4">
        <v>92734.367490999997</v>
      </c>
      <c r="J38" s="4">
        <v>92862.336878000002</v>
      </c>
      <c r="R38" s="21"/>
      <c r="S38" s="21"/>
      <c r="T38" s="21"/>
      <c r="U38" s="21"/>
      <c r="V38" s="21"/>
      <c r="W38" s="21"/>
      <c r="X38" s="21"/>
      <c r="Y38" s="21"/>
    </row>
    <row r="39" spans="1:25" x14ac:dyDescent="0.25">
      <c r="A39" s="10">
        <v>34</v>
      </c>
      <c r="C39" s="4">
        <v>431960</v>
      </c>
      <c r="D39" s="4">
        <v>437786</v>
      </c>
      <c r="F39" s="4">
        <v>63658.671900000001</v>
      </c>
      <c r="G39" s="4">
        <v>57730.709213000002</v>
      </c>
      <c r="I39" s="4">
        <v>89549.568486000004</v>
      </c>
      <c r="J39" s="4">
        <v>88488.913308000003</v>
      </c>
      <c r="R39" s="21"/>
      <c r="S39" s="21"/>
      <c r="T39" s="21"/>
      <c r="U39" s="21"/>
      <c r="V39" s="21"/>
      <c r="W39" s="21"/>
      <c r="X39" s="21"/>
      <c r="Y39" s="21"/>
    </row>
    <row r="40" spans="1:25" x14ac:dyDescent="0.25">
      <c r="A40" s="10">
        <v>35</v>
      </c>
      <c r="C40" s="4">
        <v>813420</v>
      </c>
      <c r="D40" s="4">
        <v>952338</v>
      </c>
      <c r="F40" s="4">
        <v>71520.206233000004</v>
      </c>
      <c r="G40" s="4">
        <v>67003.676483000003</v>
      </c>
      <c r="I40" s="4">
        <v>86303.887029999998</v>
      </c>
      <c r="J40" s="4">
        <v>84357.602375000002</v>
      </c>
      <c r="R40" s="21"/>
      <c r="S40" s="21"/>
      <c r="T40" s="21"/>
      <c r="U40" s="21"/>
      <c r="V40" s="21"/>
      <c r="W40" s="21"/>
      <c r="X40" s="21"/>
      <c r="Y40" s="21"/>
    </row>
    <row r="41" spans="1:25" x14ac:dyDescent="0.25">
      <c r="A41" s="10">
        <v>36</v>
      </c>
      <c r="C41" s="4">
        <v>570698</v>
      </c>
      <c r="D41" s="4">
        <v>543752</v>
      </c>
      <c r="F41" s="4">
        <v>90490.455258000002</v>
      </c>
      <c r="G41" s="4">
        <v>90597.887896</v>
      </c>
      <c r="I41" s="4">
        <v>82999.53529</v>
      </c>
      <c r="J41" s="4">
        <v>80457.117631999994</v>
      </c>
      <c r="R41" s="21"/>
      <c r="S41" s="21"/>
      <c r="T41" s="21"/>
      <c r="U41" s="21"/>
      <c r="V41" s="21"/>
      <c r="W41" s="21"/>
      <c r="X41" s="21"/>
      <c r="Y41" s="21"/>
    </row>
    <row r="42" spans="1:25" x14ac:dyDescent="0.25">
      <c r="A42" s="10">
        <v>37</v>
      </c>
      <c r="C42" s="4">
        <v>584686</v>
      </c>
      <c r="D42" s="4">
        <v>542612</v>
      </c>
      <c r="F42" s="4">
        <v>98985.654559999995</v>
      </c>
      <c r="G42" s="4">
        <v>101809.05334499999</v>
      </c>
      <c r="I42" s="4">
        <v>79638.741829999999</v>
      </c>
      <c r="J42" s="4">
        <v>76776.786017000006</v>
      </c>
      <c r="R42" s="21"/>
      <c r="S42" s="21"/>
      <c r="T42" s="21"/>
      <c r="U42" s="21"/>
      <c r="V42" s="21"/>
      <c r="W42" s="21"/>
      <c r="X42" s="21"/>
      <c r="Y42" s="21"/>
    </row>
    <row r="43" spans="1:25" x14ac:dyDescent="0.25">
      <c r="A43" s="10">
        <v>38</v>
      </c>
      <c r="C43" s="4">
        <v>632533</v>
      </c>
      <c r="D43" s="4">
        <v>605566</v>
      </c>
      <c r="F43" s="4">
        <v>99818.165691000002</v>
      </c>
      <c r="G43" s="4">
        <v>103854.011554</v>
      </c>
      <c r="I43" s="4">
        <v>76223.445089000001</v>
      </c>
      <c r="J43" s="4">
        <v>73306.583901000005</v>
      </c>
      <c r="R43" s="21"/>
      <c r="S43" s="21"/>
      <c r="T43" s="21"/>
      <c r="U43" s="21"/>
      <c r="V43" s="21"/>
      <c r="W43" s="21"/>
      <c r="X43" s="21"/>
      <c r="Y43" s="21"/>
    </row>
    <row r="44" spans="1:25" x14ac:dyDescent="0.25">
      <c r="A44" s="10">
        <v>39</v>
      </c>
      <c r="C44" s="4">
        <v>399785</v>
      </c>
      <c r="D44" s="4">
        <v>340628</v>
      </c>
      <c r="F44" s="4">
        <v>92534.057245999997</v>
      </c>
      <c r="G44" s="4">
        <v>96068.193660999998</v>
      </c>
      <c r="I44" s="4">
        <v>72762.274833999996</v>
      </c>
      <c r="J44" s="4">
        <v>70036.168974</v>
      </c>
      <c r="R44" s="21"/>
      <c r="S44" s="21"/>
      <c r="T44" s="21"/>
      <c r="U44" s="21"/>
      <c r="V44" s="21"/>
      <c r="W44" s="21"/>
      <c r="X44" s="21"/>
      <c r="Y44" s="21"/>
    </row>
    <row r="45" spans="1:25" x14ac:dyDescent="0.25">
      <c r="A45" s="10">
        <v>40</v>
      </c>
      <c r="C45" s="4">
        <v>905505</v>
      </c>
      <c r="D45" s="4">
        <v>1199144</v>
      </c>
      <c r="F45" s="4">
        <v>78094.667243999997</v>
      </c>
      <c r="G45" s="4">
        <v>79630.853543999998</v>
      </c>
      <c r="I45" s="4">
        <v>69196.775120999999</v>
      </c>
      <c r="J45" s="4">
        <v>66964.760410000003</v>
      </c>
      <c r="R45" s="21"/>
      <c r="S45" s="21"/>
      <c r="T45" s="21"/>
      <c r="U45" s="21"/>
      <c r="V45" s="21"/>
      <c r="W45" s="21"/>
      <c r="X45" s="21"/>
      <c r="Y45" s="21"/>
    </row>
    <row r="46" spans="1:25" x14ac:dyDescent="0.25">
      <c r="A46" s="10">
        <v>41</v>
      </c>
      <c r="C46" s="4">
        <v>308069</v>
      </c>
      <c r="D46" s="4">
        <v>256184</v>
      </c>
      <c r="F46" s="4">
        <v>54302.256128000001</v>
      </c>
      <c r="G46" s="4">
        <v>52064.004329000003</v>
      </c>
      <c r="I46" s="4">
        <v>65879.750505999997</v>
      </c>
      <c r="J46" s="4">
        <v>64036.881703999999</v>
      </c>
      <c r="R46" s="21"/>
      <c r="S46" s="21"/>
      <c r="T46" s="21"/>
      <c r="U46" s="21"/>
      <c r="V46" s="21"/>
      <c r="W46" s="21"/>
      <c r="X46" s="21"/>
      <c r="Y46" s="21"/>
    </row>
    <row r="47" spans="1:25" x14ac:dyDescent="0.25">
      <c r="A47" s="10">
        <v>42</v>
      </c>
      <c r="C47" s="4">
        <v>503889</v>
      </c>
      <c r="D47" s="4">
        <v>452626</v>
      </c>
      <c r="F47" s="4">
        <v>42487.023473000001</v>
      </c>
      <c r="G47" s="4">
        <v>39179.037229000001</v>
      </c>
      <c r="I47" s="4">
        <v>62738.754665</v>
      </c>
      <c r="J47" s="4">
        <v>61254.392017999999</v>
      </c>
      <c r="R47" s="21"/>
      <c r="S47" s="21"/>
      <c r="T47" s="21"/>
      <c r="U47" s="21"/>
      <c r="V47" s="21"/>
      <c r="W47" s="21"/>
      <c r="X47" s="21"/>
      <c r="Y47" s="21"/>
    </row>
    <row r="48" spans="1:25" x14ac:dyDescent="0.25">
      <c r="A48" s="10">
        <v>43</v>
      </c>
      <c r="C48" s="4">
        <v>423710</v>
      </c>
      <c r="D48" s="4">
        <v>385797</v>
      </c>
      <c r="F48" s="4">
        <v>36590.668890000001</v>
      </c>
      <c r="G48" s="4">
        <v>33197.206420000002</v>
      </c>
      <c r="I48" s="4">
        <v>59771.684042000001</v>
      </c>
      <c r="J48" s="4">
        <v>58610.128688999997</v>
      </c>
      <c r="R48" s="21"/>
      <c r="S48" s="21"/>
      <c r="T48" s="21"/>
      <c r="U48" s="21"/>
      <c r="V48" s="21"/>
      <c r="W48" s="21"/>
      <c r="X48" s="21"/>
      <c r="Y48" s="21"/>
    </row>
    <row r="49" spans="1:25" x14ac:dyDescent="0.25">
      <c r="A49" s="10">
        <v>44</v>
      </c>
      <c r="C49" s="4">
        <v>341645</v>
      </c>
      <c r="D49" s="4">
        <v>328233</v>
      </c>
      <c r="F49" s="4">
        <v>36190.363254999997</v>
      </c>
      <c r="G49" s="4">
        <v>33550.298563999997</v>
      </c>
      <c r="I49" s="4">
        <v>56969.966621</v>
      </c>
      <c r="J49" s="4">
        <v>56098.171226999999</v>
      </c>
      <c r="R49" s="21"/>
      <c r="S49" s="21"/>
      <c r="T49" s="21"/>
      <c r="U49" s="21"/>
      <c r="V49" s="21"/>
      <c r="W49" s="21"/>
      <c r="X49" s="21"/>
      <c r="Y49" s="21"/>
    </row>
    <row r="50" spans="1:25" x14ac:dyDescent="0.25">
      <c r="A50" s="10">
        <v>45</v>
      </c>
      <c r="C50" s="4">
        <v>715609</v>
      </c>
      <c r="D50" s="4">
        <v>796360</v>
      </c>
      <c r="F50" s="4">
        <v>40882.688255000001</v>
      </c>
      <c r="G50" s="4">
        <v>39868.453458000004</v>
      </c>
      <c r="I50" s="4">
        <v>54325.834146000001</v>
      </c>
      <c r="J50" s="4">
        <v>53712.852355000003</v>
      </c>
      <c r="R50" s="21"/>
      <c r="S50" s="21"/>
      <c r="T50" s="21"/>
      <c r="U50" s="21"/>
      <c r="V50" s="21"/>
      <c r="W50" s="21"/>
      <c r="X50" s="21"/>
      <c r="Y50" s="21"/>
    </row>
    <row r="51" spans="1:25" x14ac:dyDescent="0.25">
      <c r="A51" s="10">
        <v>46</v>
      </c>
      <c r="C51" s="4">
        <v>383680</v>
      </c>
      <c r="D51" s="4">
        <v>340053</v>
      </c>
      <c r="F51" s="4">
        <v>54510.386771999998</v>
      </c>
      <c r="G51" s="4">
        <v>57373.256565000003</v>
      </c>
      <c r="I51" s="4">
        <v>51831.976800999997</v>
      </c>
      <c r="J51" s="4">
        <v>51448.781155999997</v>
      </c>
      <c r="R51" s="21"/>
      <c r="S51" s="21"/>
      <c r="T51" s="21"/>
      <c r="U51" s="21"/>
      <c r="V51" s="21"/>
      <c r="W51" s="21"/>
      <c r="X51" s="21"/>
      <c r="Y51" s="21"/>
    </row>
    <row r="52" spans="1:25" x14ac:dyDescent="0.25">
      <c r="A52" s="10">
        <v>47</v>
      </c>
      <c r="C52" s="4">
        <v>360612</v>
      </c>
      <c r="D52" s="4">
        <v>335352</v>
      </c>
      <c r="F52" s="4">
        <v>60828.770919000002</v>
      </c>
      <c r="G52" s="4">
        <v>65900.869676999995</v>
      </c>
      <c r="I52" s="4">
        <v>49481.503230000002</v>
      </c>
      <c r="J52" s="4">
        <v>49300.859450000004</v>
      </c>
      <c r="R52" s="21"/>
      <c r="S52" s="21"/>
      <c r="T52" s="21"/>
      <c r="U52" s="21"/>
      <c r="V52" s="21"/>
      <c r="W52" s="21"/>
      <c r="X52" s="21"/>
      <c r="Y52" s="21"/>
    </row>
    <row r="53" spans="1:25" x14ac:dyDescent="0.25">
      <c r="A53" s="10">
        <v>48</v>
      </c>
      <c r="C53" s="4">
        <v>440852</v>
      </c>
      <c r="D53" s="4">
        <v>419733</v>
      </c>
      <c r="F53" s="4">
        <v>61885.868154999996</v>
      </c>
      <c r="G53" s="4">
        <v>67739.591021</v>
      </c>
      <c r="I53" s="4">
        <v>47268.068851999997</v>
      </c>
      <c r="J53" s="4">
        <v>47264.476724</v>
      </c>
      <c r="R53" s="21"/>
      <c r="S53" s="21"/>
      <c r="T53" s="21"/>
      <c r="U53" s="21"/>
      <c r="V53" s="21"/>
      <c r="W53" s="21"/>
      <c r="X53" s="21"/>
      <c r="Y53" s="21"/>
    </row>
    <row r="54" spans="1:25" x14ac:dyDescent="0.25">
      <c r="A54" s="10">
        <v>49</v>
      </c>
      <c r="C54" s="4">
        <v>244786</v>
      </c>
      <c r="D54" s="4">
        <v>223859</v>
      </c>
      <c r="F54" s="4">
        <v>57296.935395</v>
      </c>
      <c r="G54" s="4">
        <v>62341.210620999998</v>
      </c>
      <c r="I54" s="4">
        <v>45182.686017</v>
      </c>
      <c r="J54" s="4">
        <v>45330.696266999999</v>
      </c>
      <c r="R54" s="21"/>
      <c r="S54" s="21"/>
      <c r="T54" s="21"/>
      <c r="U54" s="21"/>
      <c r="V54" s="21"/>
      <c r="W54" s="21"/>
      <c r="X54" s="21"/>
      <c r="Y54" s="21"/>
    </row>
    <row r="55" spans="1:25" x14ac:dyDescent="0.25">
      <c r="A55" s="10">
        <v>50</v>
      </c>
      <c r="C55" s="4">
        <v>812835</v>
      </c>
      <c r="D55" s="4">
        <v>1082324</v>
      </c>
      <c r="F55" s="4">
        <v>47737.038759000003</v>
      </c>
      <c r="G55" s="4">
        <v>50604.072116000003</v>
      </c>
      <c r="I55" s="4">
        <v>43247.216828999997</v>
      </c>
      <c r="J55" s="4">
        <v>43537.002263000002</v>
      </c>
      <c r="R55" s="21"/>
      <c r="S55" s="21"/>
      <c r="T55" s="21"/>
      <c r="U55" s="21"/>
      <c r="V55" s="21"/>
      <c r="W55" s="21"/>
      <c r="X55" s="21"/>
      <c r="Y55" s="21"/>
    </row>
    <row r="56" spans="1:25" x14ac:dyDescent="0.25">
      <c r="A56" s="10">
        <v>51</v>
      </c>
      <c r="C56" s="4">
        <v>183378</v>
      </c>
      <c r="D56" s="4">
        <v>170897</v>
      </c>
      <c r="F56" s="4">
        <v>31747.128594000002</v>
      </c>
      <c r="G56" s="4">
        <v>30852.890082000002</v>
      </c>
      <c r="I56" s="4">
        <v>41297.058779999999</v>
      </c>
      <c r="J56" s="4">
        <v>41638.188101</v>
      </c>
      <c r="R56" s="21"/>
      <c r="S56" s="21"/>
      <c r="T56" s="21"/>
      <c r="U56" s="21"/>
      <c r="V56" s="21"/>
      <c r="W56" s="21"/>
      <c r="X56" s="21"/>
      <c r="Y56" s="21"/>
    </row>
    <row r="57" spans="1:25" x14ac:dyDescent="0.25">
      <c r="A57" s="10">
        <v>52</v>
      </c>
      <c r="C57" s="4">
        <v>313188</v>
      </c>
      <c r="D57" s="4">
        <v>295658</v>
      </c>
      <c r="F57" s="4">
        <v>24192.629803</v>
      </c>
      <c r="G57" s="4">
        <v>22053.578691999999</v>
      </c>
      <c r="I57" s="4">
        <v>39360.345169</v>
      </c>
      <c r="J57" s="4">
        <v>39680.400708000001</v>
      </c>
      <c r="R57" s="21"/>
      <c r="S57" s="21"/>
      <c r="T57" s="21"/>
      <c r="U57" s="21"/>
      <c r="V57" s="21"/>
      <c r="W57" s="21"/>
      <c r="X57" s="21"/>
      <c r="Y57" s="21"/>
    </row>
    <row r="58" spans="1:25" x14ac:dyDescent="0.25">
      <c r="A58" s="10">
        <v>53</v>
      </c>
      <c r="C58" s="4">
        <v>259360</v>
      </c>
      <c r="D58" s="4">
        <v>253700</v>
      </c>
      <c r="F58" s="4">
        <v>20669.874688</v>
      </c>
      <c r="G58" s="4">
        <v>18077.861263999999</v>
      </c>
      <c r="I58" s="4">
        <v>37433.595945000001</v>
      </c>
      <c r="J58" s="4">
        <v>37662.107510000002</v>
      </c>
      <c r="R58" s="21"/>
      <c r="S58" s="21"/>
      <c r="T58" s="21"/>
      <c r="U58" s="21"/>
      <c r="V58" s="21"/>
      <c r="W58" s="21"/>
      <c r="X58" s="21"/>
      <c r="Y58" s="21"/>
    </row>
    <row r="59" spans="1:25" x14ac:dyDescent="0.25">
      <c r="A59" s="10">
        <v>54</v>
      </c>
      <c r="C59" s="4">
        <v>210742</v>
      </c>
      <c r="D59" s="4">
        <v>222184</v>
      </c>
      <c r="F59" s="4">
        <v>20871.704826000001</v>
      </c>
      <c r="G59" s="4">
        <v>18410.233086</v>
      </c>
      <c r="I59" s="4">
        <v>35516.480115999999</v>
      </c>
      <c r="J59" s="4">
        <v>35586.622611999999</v>
      </c>
      <c r="R59" s="21"/>
      <c r="S59" s="21"/>
      <c r="T59" s="21"/>
      <c r="U59" s="21"/>
      <c r="V59" s="21"/>
      <c r="W59" s="21"/>
      <c r="X59" s="21"/>
      <c r="Y59" s="21"/>
    </row>
    <row r="60" spans="1:25" x14ac:dyDescent="0.25">
      <c r="A60" s="10">
        <v>55</v>
      </c>
      <c r="C60" s="4">
        <v>542450</v>
      </c>
      <c r="D60" s="4">
        <v>585136</v>
      </c>
      <c r="F60" s="4">
        <v>24590.662089000001</v>
      </c>
      <c r="G60" s="4">
        <v>22818.436876</v>
      </c>
      <c r="I60" s="4">
        <v>33608.512054999999</v>
      </c>
      <c r="J60" s="4">
        <v>33457.108808999998</v>
      </c>
      <c r="R60" s="21"/>
      <c r="S60" s="21"/>
      <c r="T60" s="21"/>
      <c r="U60" s="21"/>
      <c r="V60" s="21"/>
      <c r="W60" s="21"/>
      <c r="X60" s="21"/>
      <c r="Y60" s="21"/>
    </row>
    <row r="61" spans="1:25" x14ac:dyDescent="0.25">
      <c r="A61" s="10">
        <v>56</v>
      </c>
      <c r="C61" s="4">
        <v>288780</v>
      </c>
      <c r="D61" s="4">
        <v>258577</v>
      </c>
      <c r="F61" s="4">
        <v>34727.802004999998</v>
      </c>
      <c r="G61" s="4">
        <v>35218.050477999997</v>
      </c>
      <c r="I61" s="4">
        <v>31709.199503</v>
      </c>
      <c r="J61" s="4">
        <v>31276.802095999999</v>
      </c>
      <c r="R61" s="21"/>
      <c r="S61" s="21"/>
      <c r="T61" s="21"/>
      <c r="U61" s="21"/>
      <c r="V61" s="21"/>
      <c r="W61" s="21"/>
      <c r="X61" s="21"/>
      <c r="Y61" s="21"/>
    </row>
    <row r="62" spans="1:25" x14ac:dyDescent="0.25">
      <c r="A62" s="10">
        <v>57</v>
      </c>
      <c r="C62" s="4">
        <v>232543</v>
      </c>
      <c r="D62" s="4">
        <v>208310</v>
      </c>
      <c r="F62" s="4">
        <v>40074.094840999998</v>
      </c>
      <c r="G62" s="4">
        <v>41713.233390000001</v>
      </c>
      <c r="I62" s="4">
        <v>29818.047525999998</v>
      </c>
      <c r="J62" s="4">
        <v>29048.993923999999</v>
      </c>
      <c r="R62" s="21"/>
      <c r="S62" s="21"/>
      <c r="T62" s="21"/>
      <c r="U62" s="21"/>
      <c r="V62" s="21"/>
      <c r="W62" s="21"/>
      <c r="X62" s="21"/>
      <c r="Y62" s="21"/>
    </row>
    <row r="63" spans="1:25" x14ac:dyDescent="0.25">
      <c r="A63" s="10">
        <v>58</v>
      </c>
      <c r="C63" s="4">
        <v>252281</v>
      </c>
      <c r="D63" s="4">
        <v>233912</v>
      </c>
      <c r="F63" s="4">
        <v>41932.799822000001</v>
      </c>
      <c r="G63" s="4">
        <v>43757.461073999999</v>
      </c>
      <c r="I63" s="4">
        <v>27934.450091999999</v>
      </c>
      <c r="J63" s="4">
        <v>26776.700038999999</v>
      </c>
      <c r="R63" s="21"/>
      <c r="S63" s="21"/>
      <c r="T63" s="21"/>
      <c r="U63" s="21"/>
      <c r="V63" s="21"/>
      <c r="W63" s="21"/>
      <c r="X63" s="21"/>
      <c r="Y63" s="21"/>
    </row>
    <row r="64" spans="1:25" x14ac:dyDescent="0.25">
      <c r="A64" s="10">
        <v>59</v>
      </c>
      <c r="C64" s="4">
        <v>140690</v>
      </c>
      <c r="D64" s="4">
        <v>125306</v>
      </c>
      <c r="F64" s="4">
        <v>39938.113801</v>
      </c>
      <c r="G64" s="4">
        <v>40882.706444000003</v>
      </c>
      <c r="I64" s="4">
        <v>26060.093985</v>
      </c>
      <c r="J64" s="4">
        <v>24470.073939000002</v>
      </c>
      <c r="R64" s="21"/>
      <c r="S64" s="21"/>
      <c r="T64" s="21"/>
      <c r="U64" s="21"/>
      <c r="V64" s="21"/>
      <c r="W64" s="21"/>
      <c r="X64" s="21"/>
      <c r="Y64" s="21"/>
    </row>
    <row r="65" spans="1:25" x14ac:dyDescent="0.25">
      <c r="A65" s="10">
        <v>60</v>
      </c>
      <c r="C65" s="4">
        <v>686050</v>
      </c>
      <c r="D65" s="4">
        <v>907775</v>
      </c>
      <c r="F65" s="4">
        <v>34425.189531000004</v>
      </c>
      <c r="G65" s="4">
        <v>33609.548613999999</v>
      </c>
      <c r="I65" s="4">
        <v>24173.533825999999</v>
      </c>
      <c r="J65" s="4">
        <v>22067.874524999999</v>
      </c>
      <c r="R65" s="21"/>
      <c r="S65" s="21"/>
      <c r="T65" s="21"/>
      <c r="U65" s="21"/>
      <c r="V65" s="21"/>
      <c r="W65" s="21"/>
      <c r="X65" s="21"/>
      <c r="Y65" s="21"/>
    </row>
    <row r="66" spans="1:25" x14ac:dyDescent="0.25">
      <c r="A66" s="10">
        <v>61</v>
      </c>
      <c r="C66" s="4">
        <v>118251</v>
      </c>
      <c r="D66" s="4">
        <v>102415</v>
      </c>
      <c r="F66" s="4">
        <v>24538.547885</v>
      </c>
      <c r="G66" s="4">
        <v>20972.852368</v>
      </c>
      <c r="I66" s="4">
        <v>22395.265661000001</v>
      </c>
      <c r="J66" s="4">
        <v>19947.821038999999</v>
      </c>
      <c r="R66" s="21"/>
      <c r="S66" s="21"/>
      <c r="T66" s="21"/>
      <c r="U66" s="21"/>
      <c r="V66" s="21"/>
      <c r="W66" s="21"/>
      <c r="X66" s="21"/>
      <c r="Y66" s="21"/>
    </row>
    <row r="67" spans="1:25" x14ac:dyDescent="0.25">
      <c r="A67" s="10">
        <v>62</v>
      </c>
      <c r="C67" s="4">
        <v>197306</v>
      </c>
      <c r="D67" s="4">
        <v>177053</v>
      </c>
      <c r="F67" s="4">
        <v>19011.858893000001</v>
      </c>
      <c r="G67" s="4">
        <v>14649.963769</v>
      </c>
      <c r="I67" s="4">
        <v>20696.546868000001</v>
      </c>
      <c r="J67" s="4">
        <v>18018.703555</v>
      </c>
      <c r="R67" s="21"/>
      <c r="S67" s="21"/>
      <c r="T67" s="21"/>
      <c r="U67" s="21"/>
      <c r="V67" s="21"/>
      <c r="W67" s="21"/>
      <c r="X67" s="21"/>
      <c r="Y67" s="21"/>
    </row>
    <row r="68" spans="1:25" x14ac:dyDescent="0.25">
      <c r="A68" s="10">
        <v>63</v>
      </c>
      <c r="C68" s="4">
        <v>176982</v>
      </c>
      <c r="D68" s="4">
        <v>158971</v>
      </c>
      <c r="F68" s="4">
        <v>15501.054174000001</v>
      </c>
      <c r="G68" s="4">
        <v>10965.217237999999</v>
      </c>
      <c r="I68" s="4">
        <v>19073.495696999998</v>
      </c>
      <c r="J68" s="4">
        <v>16268.700435999999</v>
      </c>
      <c r="R68" s="21"/>
      <c r="S68" s="21"/>
      <c r="T68" s="21"/>
      <c r="U68" s="21"/>
      <c r="V68" s="21"/>
      <c r="W68" s="21"/>
      <c r="X68" s="21"/>
      <c r="Y68" s="21"/>
    </row>
    <row r="69" spans="1:25" x14ac:dyDescent="0.25">
      <c r="A69" s="10">
        <v>64</v>
      </c>
      <c r="C69" s="4">
        <v>122679</v>
      </c>
      <c r="D69" s="4">
        <v>117725</v>
      </c>
      <c r="F69" s="4">
        <v>13782.619606</v>
      </c>
      <c r="G69" s="4">
        <v>9448.2093550000009</v>
      </c>
      <c r="I69" s="4">
        <v>17520.060151999998</v>
      </c>
      <c r="J69" s="4">
        <v>14680.051242</v>
      </c>
      <c r="R69" s="21"/>
      <c r="S69" s="21"/>
      <c r="T69" s="21"/>
      <c r="U69" s="21"/>
      <c r="V69" s="21"/>
      <c r="W69" s="21"/>
      <c r="X69" s="21"/>
      <c r="Y69" s="21"/>
    </row>
    <row r="70" spans="1:25" x14ac:dyDescent="0.25">
      <c r="A70" s="10">
        <v>65</v>
      </c>
      <c r="C70" s="4">
        <v>357326</v>
      </c>
      <c r="D70" s="4">
        <v>390908</v>
      </c>
      <c r="F70" s="4">
        <v>13578.919441</v>
      </c>
      <c r="G70" s="4">
        <v>9700.7572710000004</v>
      </c>
      <c r="I70" s="4">
        <v>16030.563787999999</v>
      </c>
      <c r="J70" s="4">
        <v>13236.980432</v>
      </c>
      <c r="R70" s="21"/>
      <c r="S70" s="21"/>
      <c r="T70" s="21"/>
      <c r="U70" s="21"/>
      <c r="V70" s="21"/>
      <c r="W70" s="21"/>
      <c r="X70" s="21"/>
      <c r="Y70" s="21"/>
    </row>
    <row r="71" spans="1:25" x14ac:dyDescent="0.25">
      <c r="A71" s="10">
        <v>66</v>
      </c>
      <c r="C71" s="4">
        <v>140457</v>
      </c>
      <c r="D71" s="4">
        <v>113437</v>
      </c>
      <c r="F71" s="4">
        <v>15561.851756</v>
      </c>
      <c r="G71" s="4">
        <v>12641.339871</v>
      </c>
      <c r="I71" s="4">
        <v>14599.576945000001</v>
      </c>
      <c r="J71" s="4">
        <v>11925.186046999999</v>
      </c>
      <c r="R71" s="21"/>
      <c r="S71" s="21"/>
      <c r="T71" s="21"/>
      <c r="U71" s="21"/>
      <c r="V71" s="21"/>
      <c r="W71" s="21"/>
      <c r="X71" s="21"/>
      <c r="Y71" s="21"/>
    </row>
    <row r="72" spans="1:25" x14ac:dyDescent="0.25">
      <c r="A72" s="10">
        <v>67</v>
      </c>
      <c r="C72" s="4">
        <v>148740</v>
      </c>
      <c r="D72" s="4">
        <v>127023</v>
      </c>
      <c r="F72" s="4">
        <v>15909.230755</v>
      </c>
      <c r="G72" s="4">
        <v>13752.533964</v>
      </c>
      <c r="I72" s="4">
        <v>13221.867883000001</v>
      </c>
      <c r="J72" s="4">
        <v>10731.656105</v>
      </c>
      <c r="R72" s="21"/>
      <c r="S72" s="21"/>
      <c r="T72" s="21"/>
      <c r="U72" s="21"/>
      <c r="V72" s="21"/>
      <c r="W72" s="21"/>
      <c r="X72" s="21"/>
      <c r="Y72" s="21"/>
    </row>
    <row r="73" spans="1:25" x14ac:dyDescent="0.25">
      <c r="A73" s="10">
        <v>68</v>
      </c>
      <c r="C73" s="4">
        <v>114114</v>
      </c>
      <c r="D73" s="4">
        <v>108737</v>
      </c>
      <c r="F73" s="4">
        <v>15244.811537</v>
      </c>
      <c r="G73" s="4">
        <v>13678.124947</v>
      </c>
      <c r="I73" s="4">
        <v>11892.246015999999</v>
      </c>
      <c r="J73" s="4">
        <v>9644.5283629999994</v>
      </c>
      <c r="R73" s="21"/>
      <c r="S73" s="21"/>
      <c r="T73" s="21"/>
      <c r="U73" s="21"/>
      <c r="V73" s="21"/>
      <c r="W73" s="21"/>
      <c r="X73" s="21"/>
      <c r="Y73" s="21"/>
    </row>
    <row r="74" spans="1:25" x14ac:dyDescent="0.25">
      <c r="A74" s="10">
        <v>69</v>
      </c>
      <c r="C74" s="4">
        <v>61105</v>
      </c>
      <c r="D74" s="4">
        <v>60508</v>
      </c>
      <c r="F74" s="4">
        <v>13542.817402999999</v>
      </c>
      <c r="G74" s="4">
        <v>12343.416348999999</v>
      </c>
      <c r="I74" s="4">
        <v>10608.843163</v>
      </c>
      <c r="J74" s="4">
        <v>8653.4982550000004</v>
      </c>
      <c r="R74" s="21"/>
      <c r="S74" s="21"/>
      <c r="T74" s="21"/>
      <c r="U74" s="21"/>
      <c r="V74" s="21"/>
      <c r="W74" s="21"/>
      <c r="X74" s="21"/>
      <c r="Y74" s="21"/>
    </row>
    <row r="75" spans="1:25" x14ac:dyDescent="0.25">
      <c r="A75" s="10">
        <v>70</v>
      </c>
      <c r="C75" s="4">
        <v>379260</v>
      </c>
      <c r="D75" s="4">
        <v>522328</v>
      </c>
      <c r="F75" s="4">
        <v>10970.288549999999</v>
      </c>
      <c r="G75" s="4">
        <v>9928.5848679999999</v>
      </c>
      <c r="I75" s="4">
        <v>9338.101208</v>
      </c>
      <c r="J75" s="4">
        <v>7744.123697</v>
      </c>
      <c r="R75" s="21"/>
      <c r="S75" s="21"/>
      <c r="T75" s="21"/>
      <c r="U75" s="21"/>
      <c r="V75" s="21"/>
      <c r="W75" s="21"/>
      <c r="X75" s="21"/>
      <c r="Y75" s="21"/>
    </row>
    <row r="76" spans="1:25" x14ac:dyDescent="0.25">
      <c r="A76" s="10">
        <v>71</v>
      </c>
      <c r="C76" s="4">
        <v>47362</v>
      </c>
      <c r="D76" s="4">
        <v>43292</v>
      </c>
      <c r="F76" s="4">
        <v>7238.4803279999996</v>
      </c>
      <c r="G76" s="4">
        <v>6141.7464620000001</v>
      </c>
      <c r="I76" s="4">
        <v>8242.5354169999991</v>
      </c>
      <c r="J76" s="4">
        <v>6934.0979189999998</v>
      </c>
      <c r="R76" s="21"/>
      <c r="S76" s="21"/>
      <c r="T76" s="21"/>
      <c r="U76" s="21"/>
      <c r="V76" s="21"/>
      <c r="W76" s="21"/>
      <c r="X76" s="21"/>
      <c r="Y76" s="21"/>
    </row>
    <row r="77" spans="1:25" x14ac:dyDescent="0.25">
      <c r="A77" s="10">
        <v>72</v>
      </c>
      <c r="C77" s="4">
        <v>80630</v>
      </c>
      <c r="D77" s="4">
        <v>71854</v>
      </c>
      <c r="F77" s="4">
        <v>5280.2503980000001</v>
      </c>
      <c r="G77" s="4">
        <v>4298.0961989999996</v>
      </c>
      <c r="I77" s="4">
        <v>7273.0569020000003</v>
      </c>
      <c r="J77" s="4">
        <v>6208.4626930000004</v>
      </c>
      <c r="R77" s="21"/>
      <c r="S77" s="21"/>
      <c r="T77" s="21"/>
      <c r="U77" s="21"/>
      <c r="V77" s="21"/>
      <c r="W77" s="21"/>
      <c r="X77" s="21"/>
      <c r="Y77" s="21"/>
    </row>
    <row r="78" spans="1:25" x14ac:dyDescent="0.25">
      <c r="A78" s="10">
        <v>73</v>
      </c>
      <c r="C78" s="4">
        <v>62901</v>
      </c>
      <c r="D78" s="4">
        <v>55974</v>
      </c>
      <c r="F78" s="4">
        <v>4150.8634860000002</v>
      </c>
      <c r="G78" s="4">
        <v>3298.23918</v>
      </c>
      <c r="I78" s="4">
        <v>6417.7912409999999</v>
      </c>
      <c r="J78" s="4">
        <v>5558.8605470000002</v>
      </c>
      <c r="R78" s="21"/>
      <c r="S78" s="21"/>
      <c r="T78" s="21"/>
      <c r="U78" s="21"/>
      <c r="V78" s="21"/>
      <c r="W78" s="21"/>
      <c r="X78" s="21"/>
      <c r="Y78" s="21"/>
    </row>
    <row r="79" spans="1:25" x14ac:dyDescent="0.25">
      <c r="A79" s="10">
        <v>74</v>
      </c>
      <c r="C79" s="4">
        <v>46340</v>
      </c>
      <c r="D79" s="4">
        <v>41171</v>
      </c>
      <c r="F79" s="4">
        <v>3724.8159759999999</v>
      </c>
      <c r="G79" s="4">
        <v>3003.7328000000002</v>
      </c>
      <c r="I79" s="4">
        <v>5663.1460020000004</v>
      </c>
      <c r="J79" s="4">
        <v>4977.3102419999996</v>
      </c>
      <c r="R79" s="21"/>
      <c r="S79" s="21"/>
      <c r="T79" s="21"/>
      <c r="U79" s="21"/>
      <c r="V79" s="21"/>
      <c r="W79" s="21"/>
      <c r="X79" s="21"/>
      <c r="Y79" s="21"/>
    </row>
    <row r="80" spans="1:25" x14ac:dyDescent="0.25">
      <c r="A80" s="10">
        <v>75</v>
      </c>
      <c r="C80" s="4">
        <v>158782</v>
      </c>
      <c r="D80" s="4">
        <v>159422</v>
      </c>
      <c r="F80" s="4">
        <v>3895.5898120000002</v>
      </c>
      <c r="G80" s="4">
        <v>3313.1853580000002</v>
      </c>
      <c r="I80" s="4">
        <v>4997.2812459999996</v>
      </c>
      <c r="J80" s="4">
        <v>4456.6912629999997</v>
      </c>
      <c r="R80" s="21"/>
      <c r="S80" s="21"/>
      <c r="T80" s="21"/>
      <c r="U80" s="21"/>
      <c r="V80" s="21"/>
      <c r="W80" s="21"/>
      <c r="X80" s="21"/>
      <c r="Y80" s="21"/>
    </row>
    <row r="81" spans="1:25" x14ac:dyDescent="0.25">
      <c r="A81" s="10">
        <v>76</v>
      </c>
      <c r="C81" s="4">
        <v>49674</v>
      </c>
      <c r="D81" s="4">
        <v>39445</v>
      </c>
      <c r="F81" s="4">
        <v>5002.5620129999998</v>
      </c>
      <c r="G81" s="4">
        <v>4640.7005159999999</v>
      </c>
      <c r="I81" s="4">
        <v>4409.7620559999996</v>
      </c>
      <c r="J81" s="4">
        <v>3990.631065</v>
      </c>
      <c r="R81" s="21"/>
      <c r="S81" s="21"/>
      <c r="T81" s="21"/>
      <c r="U81" s="21"/>
      <c r="V81" s="21"/>
      <c r="W81" s="21"/>
      <c r="X81" s="21"/>
      <c r="Y81" s="21"/>
    </row>
    <row r="82" spans="1:25" x14ac:dyDescent="0.25">
      <c r="A82" s="10">
        <v>77</v>
      </c>
      <c r="C82" s="4">
        <v>40825</v>
      </c>
      <c r="D82" s="4">
        <v>31463</v>
      </c>
      <c r="F82" s="4">
        <v>5417.2605649999996</v>
      </c>
      <c r="G82" s="4">
        <v>5226.4474060000002</v>
      </c>
      <c r="I82" s="4">
        <v>3891.3772170000002</v>
      </c>
      <c r="J82" s="4">
        <v>3573.4242509999999</v>
      </c>
      <c r="R82" s="21"/>
      <c r="S82" s="21"/>
      <c r="T82" s="21"/>
      <c r="U82" s="21"/>
      <c r="V82" s="21"/>
      <c r="W82" s="21"/>
      <c r="X82" s="21"/>
      <c r="Y82" s="21"/>
    </row>
    <row r="83" spans="1:25" x14ac:dyDescent="0.25">
      <c r="A83" s="10">
        <v>78</v>
      </c>
      <c r="C83" s="4">
        <v>46067</v>
      </c>
      <c r="D83" s="4">
        <v>39379</v>
      </c>
      <c r="F83" s="4">
        <v>5370.3514850000001</v>
      </c>
      <c r="G83" s="4">
        <v>5292.8957600000003</v>
      </c>
      <c r="I83" s="4">
        <v>3433.9999509999998</v>
      </c>
      <c r="J83" s="4">
        <v>3199.9635499999999</v>
      </c>
      <c r="R83" s="21"/>
      <c r="S83" s="21"/>
      <c r="T83" s="21"/>
      <c r="U83" s="21"/>
      <c r="V83" s="21"/>
      <c r="W83" s="21"/>
      <c r="X83" s="21"/>
      <c r="Y83" s="21"/>
    </row>
    <row r="84" spans="1:25" x14ac:dyDescent="0.25">
      <c r="A84" s="10">
        <v>79</v>
      </c>
      <c r="C84" s="4">
        <v>19050</v>
      </c>
      <c r="D84" s="4">
        <v>16950</v>
      </c>
      <c r="F84" s="4">
        <v>4836.7394530000001</v>
      </c>
      <c r="G84" s="4">
        <v>4801.9636620000001</v>
      </c>
      <c r="I84" s="4">
        <v>3030.4598390000001</v>
      </c>
      <c r="J84" s="4">
        <v>2865.6771840000001</v>
      </c>
      <c r="R84" s="21"/>
      <c r="S84" s="21"/>
      <c r="T84" s="21"/>
      <c r="U84" s="21"/>
      <c r="V84" s="21"/>
      <c r="W84" s="21"/>
      <c r="X84" s="21"/>
      <c r="Y84" s="21"/>
    </row>
    <row r="85" spans="1:25" x14ac:dyDescent="0.25">
      <c r="A85" s="10">
        <v>80</v>
      </c>
      <c r="C85" s="4">
        <v>141367</v>
      </c>
      <c r="D85" s="4">
        <v>175101</v>
      </c>
      <c r="F85" s="4">
        <v>3886.0864839999999</v>
      </c>
      <c r="G85" s="4">
        <v>3828.9926559999999</v>
      </c>
      <c r="I85" s="4">
        <v>2674.4304590000002</v>
      </c>
      <c r="J85" s="4">
        <v>2566.4729170000001</v>
      </c>
      <c r="R85" s="21"/>
      <c r="S85" s="21"/>
      <c r="T85" s="21"/>
      <c r="U85" s="21"/>
      <c r="V85" s="21"/>
      <c r="W85" s="21"/>
      <c r="X85" s="21"/>
      <c r="Y85" s="21"/>
    </row>
    <row r="86" spans="1:25" x14ac:dyDescent="0.25">
      <c r="A86" s="10">
        <v>81</v>
      </c>
      <c r="C86" s="4">
        <v>12177</v>
      </c>
      <c r="D86" s="4">
        <v>10458</v>
      </c>
      <c r="F86" s="4">
        <v>2412.27529</v>
      </c>
      <c r="G86" s="4">
        <v>2262.841308</v>
      </c>
      <c r="I86" s="4">
        <v>2360.330207</v>
      </c>
      <c r="J86" s="4">
        <v>2298.6879530000001</v>
      </c>
      <c r="R86" s="21"/>
      <c r="S86" s="21"/>
      <c r="T86" s="21"/>
      <c r="U86" s="21"/>
      <c r="V86" s="21"/>
      <c r="W86" s="21"/>
      <c r="X86" s="21"/>
      <c r="Y86" s="21"/>
    </row>
    <row r="87" spans="1:25" x14ac:dyDescent="0.25">
      <c r="A87" s="10">
        <v>82</v>
      </c>
      <c r="C87" s="4">
        <v>18053</v>
      </c>
      <c r="D87" s="4">
        <v>15247</v>
      </c>
      <c r="F87" s="4">
        <v>1658.5623430000001</v>
      </c>
      <c r="G87" s="4">
        <v>1500.6135380000001</v>
      </c>
      <c r="I87" s="4">
        <v>2083.2347949999998</v>
      </c>
      <c r="J87" s="4">
        <v>2059.0441040000001</v>
      </c>
      <c r="R87" s="21"/>
      <c r="S87" s="21"/>
      <c r="T87" s="21"/>
      <c r="U87" s="21"/>
      <c r="V87" s="21"/>
      <c r="W87" s="21"/>
      <c r="X87" s="21"/>
      <c r="Y87" s="21"/>
    </row>
    <row r="88" spans="1:25" x14ac:dyDescent="0.25">
      <c r="A88" s="10">
        <v>83</v>
      </c>
      <c r="C88" s="4">
        <v>13146</v>
      </c>
      <c r="D88" s="4">
        <v>10975</v>
      </c>
      <c r="F88" s="4">
        <v>1209.933466</v>
      </c>
      <c r="G88" s="4">
        <v>1060.958245</v>
      </c>
      <c r="I88" s="4">
        <v>1838.8000520000001</v>
      </c>
      <c r="J88" s="4">
        <v>1844.607659</v>
      </c>
      <c r="R88" s="21"/>
      <c r="S88" s="21"/>
      <c r="T88" s="21"/>
      <c r="U88" s="21"/>
      <c r="V88" s="21"/>
      <c r="W88" s="21"/>
      <c r="X88" s="21"/>
      <c r="Y88" s="21"/>
    </row>
    <row r="89" spans="1:25" x14ac:dyDescent="0.25">
      <c r="A89" s="10">
        <v>84</v>
      </c>
      <c r="C89" s="4">
        <v>11994</v>
      </c>
      <c r="D89" s="4">
        <v>9312</v>
      </c>
      <c r="F89" s="4">
        <v>1004.331465</v>
      </c>
      <c r="G89" s="4">
        <v>871.956727</v>
      </c>
      <c r="I89" s="4">
        <v>1623.1938190000001</v>
      </c>
      <c r="J89" s="4">
        <v>1652.753471</v>
      </c>
      <c r="R89" s="21"/>
      <c r="S89" s="21"/>
      <c r="T89" s="21"/>
      <c r="U89" s="21"/>
      <c r="V89" s="21"/>
      <c r="W89" s="21"/>
      <c r="X89" s="21"/>
      <c r="Y89" s="21"/>
    </row>
    <row r="90" spans="1:25" x14ac:dyDescent="0.25">
      <c r="A90" s="10">
        <v>85</v>
      </c>
      <c r="C90" s="4">
        <v>36446</v>
      </c>
      <c r="D90" s="4">
        <v>34885</v>
      </c>
      <c r="F90" s="4">
        <v>990.89743599999997</v>
      </c>
      <c r="G90" s="4">
        <v>878.63018199999999</v>
      </c>
      <c r="I90" s="4">
        <v>1433.035875</v>
      </c>
      <c r="J90" s="4">
        <v>1481.132822</v>
      </c>
      <c r="R90" s="21"/>
      <c r="S90" s="21"/>
      <c r="T90" s="21"/>
      <c r="U90" s="21"/>
      <c r="V90" s="21"/>
      <c r="W90" s="21"/>
      <c r="X90" s="21"/>
      <c r="Y90" s="21"/>
    </row>
    <row r="91" spans="1:25" x14ac:dyDescent="0.25">
      <c r="A91" s="10">
        <v>86</v>
      </c>
      <c r="C91" s="4">
        <v>9657</v>
      </c>
      <c r="D91" s="4">
        <v>7264</v>
      </c>
      <c r="F91" s="4">
        <v>1250.905107</v>
      </c>
      <c r="G91" s="4">
        <v>1173.2803719999999</v>
      </c>
      <c r="I91" s="4">
        <v>1265.344947</v>
      </c>
      <c r="J91" s="4">
        <v>1327.6446719999999</v>
      </c>
      <c r="R91" s="21"/>
      <c r="S91" s="21"/>
      <c r="T91" s="21"/>
      <c r="U91" s="21"/>
      <c r="V91" s="21"/>
      <c r="W91" s="21"/>
      <c r="X91" s="21"/>
      <c r="Y91" s="21"/>
    </row>
    <row r="92" spans="1:25" x14ac:dyDescent="0.25">
      <c r="A92" s="10">
        <v>87</v>
      </c>
      <c r="C92" s="4">
        <v>7869</v>
      </c>
      <c r="D92" s="4">
        <v>6388</v>
      </c>
      <c r="F92" s="4">
        <v>1343.3254099999999</v>
      </c>
      <c r="G92" s="4">
        <v>1290.7204630000001</v>
      </c>
      <c r="I92" s="4">
        <v>1117.491968</v>
      </c>
      <c r="J92" s="4">
        <v>1190.4099450000001</v>
      </c>
      <c r="R92" s="21"/>
      <c r="S92" s="21"/>
      <c r="T92" s="21"/>
      <c r="U92" s="21"/>
      <c r="V92" s="21"/>
      <c r="W92" s="21"/>
      <c r="X92" s="21"/>
      <c r="Y92" s="21"/>
    </row>
    <row r="93" spans="1:25" x14ac:dyDescent="0.25">
      <c r="A93" s="10">
        <v>88</v>
      </c>
      <c r="C93" s="4">
        <v>6313</v>
      </c>
      <c r="D93" s="4">
        <v>5342</v>
      </c>
      <c r="F93" s="4">
        <v>1334.462636</v>
      </c>
      <c r="G93" s="4">
        <v>1297.0958479999999</v>
      </c>
      <c r="I93" s="4">
        <v>987.15886899999998</v>
      </c>
      <c r="J93" s="4">
        <v>1067.748517</v>
      </c>
      <c r="R93" s="21"/>
      <c r="S93" s="21"/>
      <c r="T93" s="21"/>
      <c r="U93" s="21"/>
      <c r="V93" s="21"/>
      <c r="W93" s="21"/>
      <c r="X93" s="21"/>
      <c r="Y93" s="21"/>
    </row>
    <row r="94" spans="1:25" x14ac:dyDescent="0.25">
      <c r="A94" s="10">
        <v>89</v>
      </c>
      <c r="C94" s="4">
        <v>3735</v>
      </c>
      <c r="D94" s="4">
        <v>3650</v>
      </c>
      <c r="F94" s="4">
        <v>1217.0228569999999</v>
      </c>
      <c r="G94" s="4">
        <v>1183.444291</v>
      </c>
      <c r="I94" s="4">
        <v>872.302235</v>
      </c>
      <c r="J94" s="4">
        <v>958.15866300000005</v>
      </c>
      <c r="R94" s="21"/>
      <c r="S94" s="21"/>
      <c r="T94" s="21"/>
      <c r="U94" s="21"/>
      <c r="V94" s="21"/>
      <c r="W94" s="21"/>
      <c r="X94" s="21"/>
      <c r="Y94" s="21"/>
    </row>
    <row r="95" spans="1:25" x14ac:dyDescent="0.25">
      <c r="A95" s="10">
        <v>90</v>
      </c>
      <c r="C95" s="4">
        <v>24476</v>
      </c>
      <c r="D95" s="4">
        <v>32625</v>
      </c>
      <c r="F95" s="4">
        <v>1005.283989</v>
      </c>
      <c r="G95" s="4">
        <v>965.45902699999999</v>
      </c>
      <c r="I95" s="4">
        <v>771.12127099999998</v>
      </c>
      <c r="J95" s="4">
        <v>860.29866300000003</v>
      </c>
      <c r="R95" s="21"/>
      <c r="S95" s="21"/>
      <c r="T95" s="21"/>
      <c r="U95" s="21"/>
      <c r="V95" s="21"/>
      <c r="W95" s="21"/>
      <c r="X95" s="21"/>
      <c r="Y95" s="21"/>
    </row>
    <row r="96" spans="1:25" x14ac:dyDescent="0.25">
      <c r="A96" s="10">
        <v>91</v>
      </c>
      <c r="C96" s="4">
        <v>1560</v>
      </c>
      <c r="D96" s="4">
        <v>1529</v>
      </c>
      <c r="F96" s="4">
        <v>674.68485999999996</v>
      </c>
      <c r="G96" s="4">
        <v>617.34799999999996</v>
      </c>
      <c r="I96" s="4">
        <v>682.02957500000002</v>
      </c>
      <c r="J96" s="4">
        <v>772.97038799999996</v>
      </c>
      <c r="R96" s="21"/>
      <c r="S96" s="21"/>
      <c r="T96" s="21"/>
      <c r="U96" s="21"/>
      <c r="V96" s="21"/>
      <c r="W96" s="21"/>
      <c r="X96" s="21"/>
      <c r="Y96" s="21"/>
    </row>
    <row r="97" spans="1:25" x14ac:dyDescent="0.25">
      <c r="A97" s="10">
        <v>92</v>
      </c>
      <c r="C97" s="4">
        <v>1941</v>
      </c>
      <c r="D97" s="4">
        <v>1997</v>
      </c>
      <c r="F97" s="4">
        <v>492.95518900000002</v>
      </c>
      <c r="G97" s="4">
        <v>436.19010200000002</v>
      </c>
      <c r="I97" s="4">
        <v>603.630268</v>
      </c>
      <c r="J97" s="4">
        <v>695.10462800000005</v>
      </c>
      <c r="R97" s="21"/>
      <c r="S97" s="21"/>
      <c r="T97" s="21"/>
      <c r="U97" s="21"/>
      <c r="V97" s="21"/>
      <c r="W97" s="21"/>
      <c r="X97" s="21"/>
      <c r="Y97" s="21"/>
    </row>
    <row r="98" spans="1:25" x14ac:dyDescent="0.25">
      <c r="A98" s="10">
        <v>93</v>
      </c>
      <c r="C98" s="4">
        <v>1670</v>
      </c>
      <c r="D98" s="4">
        <v>1527</v>
      </c>
      <c r="F98" s="4">
        <v>378.55717099999998</v>
      </c>
      <c r="G98" s="4">
        <v>327.40431000000001</v>
      </c>
      <c r="I98" s="4">
        <v>534.69409499999995</v>
      </c>
      <c r="J98" s="4">
        <v>625.74800800000003</v>
      </c>
      <c r="R98" s="21"/>
      <c r="S98" s="21"/>
      <c r="T98" s="21"/>
      <c r="U98" s="21"/>
      <c r="V98" s="21"/>
      <c r="W98" s="21"/>
      <c r="X98" s="21"/>
      <c r="Y98" s="21"/>
    </row>
    <row r="99" spans="1:25" x14ac:dyDescent="0.25">
      <c r="A99" s="10">
        <v>94</v>
      </c>
      <c r="C99" s="4">
        <v>1391</v>
      </c>
      <c r="D99" s="4">
        <v>1142</v>
      </c>
      <c r="F99" s="4">
        <v>320.34603499999997</v>
      </c>
      <c r="G99" s="4">
        <v>277.88839899999999</v>
      </c>
      <c r="I99" s="4">
        <v>474.14015699999999</v>
      </c>
      <c r="J99" s="4">
        <v>564.05131900000003</v>
      </c>
      <c r="R99" s="21"/>
      <c r="S99" s="21"/>
      <c r="T99" s="21"/>
      <c r="U99" s="21"/>
      <c r="V99" s="21"/>
      <c r="W99" s="21"/>
      <c r="X99" s="21"/>
      <c r="Y99" s="21"/>
    </row>
    <row r="100" spans="1:25" x14ac:dyDescent="0.25">
      <c r="A100" s="10">
        <v>95</v>
      </c>
      <c r="C100" s="4">
        <v>5244</v>
      </c>
      <c r="D100" s="4">
        <v>5745</v>
      </c>
      <c r="F100" s="4">
        <v>307.45674500000001</v>
      </c>
      <c r="G100" s="4">
        <v>276.16918900000002</v>
      </c>
      <c r="I100" s="4">
        <v>421.01896699999998</v>
      </c>
      <c r="J100" s="4">
        <v>509.25912099999999</v>
      </c>
      <c r="R100" s="21"/>
      <c r="S100" s="21"/>
      <c r="T100" s="21"/>
      <c r="U100" s="21"/>
      <c r="V100" s="21"/>
      <c r="W100" s="21"/>
      <c r="X100" s="21"/>
      <c r="Y100" s="21"/>
    </row>
    <row r="101" spans="1:25" x14ac:dyDescent="0.25">
      <c r="A101" s="10">
        <v>96</v>
      </c>
      <c r="C101" s="4">
        <v>2154</v>
      </c>
      <c r="D101" s="4">
        <v>1827</v>
      </c>
      <c r="F101" s="4">
        <v>357.585847</v>
      </c>
      <c r="G101" s="4">
        <v>344.13258200000001</v>
      </c>
      <c r="I101" s="4">
        <v>374.49756400000001</v>
      </c>
      <c r="J101" s="4">
        <v>460.70050099999997</v>
      </c>
      <c r="R101" s="21"/>
      <c r="S101" s="21"/>
      <c r="T101" s="21"/>
      <c r="U101" s="21"/>
      <c r="V101" s="21"/>
      <c r="W101" s="21"/>
      <c r="X101" s="21"/>
      <c r="Y101" s="21"/>
    </row>
    <row r="102" spans="1:25" x14ac:dyDescent="0.25">
      <c r="A102" s="10">
        <v>97</v>
      </c>
      <c r="C102" s="4">
        <v>1638</v>
      </c>
      <c r="D102" s="4">
        <v>1320</v>
      </c>
      <c r="F102" s="4">
        <v>363.46210600000001</v>
      </c>
      <c r="G102" s="4">
        <v>363.91283199999998</v>
      </c>
      <c r="I102" s="4">
        <v>333.84645899999998</v>
      </c>
      <c r="J102" s="4">
        <v>417.78085700000003</v>
      </c>
      <c r="R102" s="21"/>
      <c r="S102" s="21"/>
      <c r="T102" s="21"/>
      <c r="U102" s="21"/>
      <c r="V102" s="21"/>
      <c r="W102" s="21"/>
      <c r="X102" s="21"/>
      <c r="Y102" s="21"/>
    </row>
    <row r="103" spans="1:25" x14ac:dyDescent="0.25">
      <c r="A103" s="10">
        <v>98</v>
      </c>
      <c r="C103" s="4">
        <v>1583</v>
      </c>
      <c r="D103" s="4">
        <v>1437</v>
      </c>
      <c r="F103" s="4">
        <v>342.81500799999998</v>
      </c>
      <c r="G103" s="4">
        <v>353.41941300000002</v>
      </c>
      <c r="I103" s="4">
        <v>298.42819900000001</v>
      </c>
      <c r="J103" s="4">
        <v>379.97462300000001</v>
      </c>
      <c r="R103" s="21"/>
      <c r="S103" s="21"/>
      <c r="T103" s="21"/>
      <c r="U103" s="21"/>
      <c r="V103" s="21"/>
      <c r="W103" s="21"/>
      <c r="X103" s="21"/>
      <c r="Y103" s="21"/>
    </row>
    <row r="104" spans="1:25" x14ac:dyDescent="0.25">
      <c r="A104" s="10">
        <v>99</v>
      </c>
      <c r="C104" s="4">
        <v>717</v>
      </c>
      <c r="D104" s="4">
        <v>787</v>
      </c>
      <c r="F104" s="4">
        <v>295.26905599999998</v>
      </c>
      <c r="G104" s="4">
        <v>311.43702999999999</v>
      </c>
      <c r="I104" s="4">
        <v>267.68737099999998</v>
      </c>
      <c r="J104" s="4">
        <v>346.81883800000003</v>
      </c>
      <c r="R104" s="21"/>
      <c r="S104" s="21"/>
      <c r="T104" s="21"/>
      <c r="U104" s="21"/>
      <c r="V104" s="21"/>
      <c r="W104" s="21"/>
      <c r="X104" s="21"/>
      <c r="Y104" s="21"/>
    </row>
    <row r="105" spans="1:25" x14ac:dyDescent="0.25">
      <c r="A105" s="10">
        <v>100</v>
      </c>
      <c r="C105" s="4">
        <v>2400</v>
      </c>
      <c r="D105" s="4">
        <v>3635</v>
      </c>
      <c r="F105" s="4">
        <v>225.86798200000001</v>
      </c>
      <c r="G105" s="4">
        <v>243.09814399999999</v>
      </c>
      <c r="I105" s="4">
        <v>241.14190300000001</v>
      </c>
      <c r="J105" s="4">
        <v>317.90747499999998</v>
      </c>
      <c r="R105" s="21"/>
      <c r="S105" s="21"/>
      <c r="T105" s="21"/>
      <c r="U105" s="21"/>
      <c r="V105" s="21"/>
      <c r="W105" s="21"/>
      <c r="X105" s="21"/>
      <c r="Y105" s="21"/>
    </row>
    <row r="106" spans="1:25" x14ac:dyDescent="0.25">
      <c r="A106" s="10">
        <v>101</v>
      </c>
      <c r="C106" s="4">
        <v>271</v>
      </c>
      <c r="D106" s="4">
        <v>294</v>
      </c>
      <c r="F106" s="4">
        <v>128.16244</v>
      </c>
      <c r="G106" s="4">
        <v>141.97218799999999</v>
      </c>
      <c r="I106" s="4">
        <v>218.37550300000001</v>
      </c>
      <c r="J106" s="4">
        <v>292.88647700000001</v>
      </c>
      <c r="R106" s="21"/>
      <c r="S106" s="21"/>
      <c r="T106" s="21"/>
      <c r="U106" s="21"/>
      <c r="V106" s="21"/>
      <c r="W106" s="21"/>
      <c r="X106" s="21"/>
      <c r="Y106" s="21"/>
    </row>
    <row r="107" spans="1:25" x14ac:dyDescent="0.25">
      <c r="A107" s="10">
        <v>102</v>
      </c>
      <c r="C107" s="4">
        <v>352</v>
      </c>
      <c r="D107" s="4">
        <v>410</v>
      </c>
      <c r="F107" s="4">
        <v>78.821770999999998</v>
      </c>
      <c r="G107" s="4">
        <v>89.531729999999996</v>
      </c>
      <c r="I107" s="4">
        <v>199.03113500000001</v>
      </c>
      <c r="J107" s="4">
        <v>271.44942400000002</v>
      </c>
      <c r="R107" s="21"/>
      <c r="S107" s="21"/>
      <c r="T107" s="21"/>
      <c r="U107" s="21"/>
      <c r="V107" s="21"/>
      <c r="W107" s="21"/>
      <c r="X107" s="21"/>
      <c r="Y107" s="21"/>
    </row>
    <row r="108" spans="1:25" x14ac:dyDescent="0.25">
      <c r="A108" s="10">
        <v>103</v>
      </c>
      <c r="C108" s="4">
        <v>255</v>
      </c>
      <c r="D108" s="4">
        <v>252</v>
      </c>
      <c r="F108" s="4">
        <v>47.861614000000003</v>
      </c>
      <c r="G108" s="4">
        <v>55.811019999999999</v>
      </c>
      <c r="I108" s="4">
        <v>182.80542</v>
      </c>
      <c r="J108" s="4">
        <v>253.333776</v>
      </c>
      <c r="R108" s="21"/>
      <c r="S108" s="21"/>
      <c r="T108" s="21"/>
      <c r="U108" s="21"/>
      <c r="V108" s="21"/>
      <c r="W108" s="21"/>
      <c r="X108" s="21"/>
      <c r="Y108" s="21"/>
    </row>
    <row r="109" spans="1:25" x14ac:dyDescent="0.25">
      <c r="A109" s="10">
        <v>104</v>
      </c>
      <c r="C109" s="4">
        <v>149</v>
      </c>
      <c r="D109" s="4">
        <v>165</v>
      </c>
      <c r="F109" s="4">
        <v>29.167954000000002</v>
      </c>
      <c r="G109" s="4">
        <v>34.932256000000002</v>
      </c>
      <c r="I109" s="4">
        <v>169.443883</v>
      </c>
      <c r="J109" s="4">
        <v>238.31766400000001</v>
      </c>
      <c r="R109" s="21"/>
      <c r="S109" s="21"/>
      <c r="T109" s="21"/>
      <c r="U109" s="21"/>
      <c r="V109" s="21"/>
      <c r="W109" s="21"/>
      <c r="X109" s="21"/>
      <c r="Y109" s="21"/>
    </row>
    <row r="110" spans="1:25" x14ac:dyDescent="0.25">
      <c r="A110" s="10">
        <v>105</v>
      </c>
      <c r="C110" s="4">
        <v>318</v>
      </c>
      <c r="D110" s="4">
        <v>385</v>
      </c>
      <c r="F110" s="4">
        <v>17.895475000000001</v>
      </c>
      <c r="G110" s="4">
        <v>22.03304</v>
      </c>
      <c r="I110" s="4">
        <v>158.737067</v>
      </c>
      <c r="J110" s="4">
        <v>226.21729500000001</v>
      </c>
      <c r="R110" s="21"/>
      <c r="S110" s="21"/>
      <c r="T110" s="21"/>
      <c r="U110" s="21"/>
      <c r="V110" s="21"/>
      <c r="W110" s="21"/>
      <c r="X110" s="21"/>
      <c r="Y110" s="21"/>
    </row>
    <row r="111" spans="1:25" x14ac:dyDescent="0.25">
      <c r="A111" s="10">
        <v>106</v>
      </c>
      <c r="C111" s="4">
        <v>115</v>
      </c>
      <c r="D111" s="4">
        <v>110</v>
      </c>
      <c r="F111" s="4">
        <v>11.171498</v>
      </c>
      <c r="G111" s="4">
        <v>14.161868999999999</v>
      </c>
      <c r="I111" s="4">
        <v>150.51591999999999</v>
      </c>
      <c r="J111" s="4">
        <v>216.88318000000001</v>
      </c>
      <c r="R111" s="21"/>
      <c r="S111" s="21"/>
      <c r="T111" s="21"/>
      <c r="U111" s="21"/>
      <c r="V111" s="21"/>
      <c r="W111" s="21"/>
      <c r="X111" s="21"/>
      <c r="Y111" s="21"/>
    </row>
    <row r="112" spans="1:25" x14ac:dyDescent="0.25">
      <c r="A112" s="10">
        <v>107</v>
      </c>
      <c r="C112" s="4">
        <v>91</v>
      </c>
      <c r="D112" s="4">
        <v>81</v>
      </c>
      <c r="F112" s="4">
        <v>7.2928980000000001</v>
      </c>
      <c r="G112" s="4">
        <v>9.5294349999999994</v>
      </c>
      <c r="I112" s="4">
        <v>144.659378</v>
      </c>
      <c r="J112" s="4">
        <v>210.20998299999999</v>
      </c>
      <c r="R112" s="21"/>
      <c r="S112" s="21"/>
      <c r="T112" s="21"/>
      <c r="U112" s="21"/>
      <c r="V112" s="21"/>
      <c r="W112" s="21"/>
      <c r="X112" s="21"/>
      <c r="Y112" s="21"/>
    </row>
    <row r="113" spans="1:25" x14ac:dyDescent="0.25">
      <c r="A113" s="10">
        <v>108</v>
      </c>
      <c r="C113" s="4">
        <v>61</v>
      </c>
      <c r="D113" s="4">
        <v>57</v>
      </c>
      <c r="F113" s="4">
        <v>5.2574649999999998</v>
      </c>
      <c r="G113" s="4">
        <v>7.0593370000000002</v>
      </c>
      <c r="I113" s="4">
        <v>141.05502799999999</v>
      </c>
      <c r="J113" s="4">
        <v>206.09261000000001</v>
      </c>
      <c r="R113" s="21"/>
      <c r="S113" s="21"/>
      <c r="T113" s="21"/>
      <c r="U113" s="21"/>
      <c r="V113" s="21"/>
      <c r="W113" s="21"/>
      <c r="X113" s="21"/>
      <c r="Y113" s="21"/>
    </row>
    <row r="114" spans="1:25" x14ac:dyDescent="0.25">
      <c r="A114" s="10">
        <v>109</v>
      </c>
      <c r="C114" s="4">
        <v>77</v>
      </c>
      <c r="D114" s="4">
        <v>60</v>
      </c>
      <c r="F114" s="4">
        <v>4.3688840000000004</v>
      </c>
      <c r="G114" s="4">
        <v>5.969125</v>
      </c>
      <c r="I114" s="4">
        <v>139.30653000000001</v>
      </c>
      <c r="J114" s="4">
        <v>204.09203600000001</v>
      </c>
      <c r="R114" s="21"/>
      <c r="S114" s="21"/>
      <c r="T114" s="21"/>
      <c r="U114" s="21"/>
      <c r="V114" s="21"/>
      <c r="W114" s="21"/>
      <c r="X114" s="21"/>
      <c r="Y114" s="21"/>
    </row>
    <row r="115" spans="1:25" x14ac:dyDescent="0.25">
      <c r="A115" s="10"/>
      <c r="F115" s="4"/>
      <c r="G115" s="4"/>
      <c r="I115" s="4"/>
      <c r="J115" s="4"/>
    </row>
    <row r="116" spans="1:25" x14ac:dyDescent="0.25">
      <c r="A116" t="s">
        <v>116</v>
      </c>
      <c r="C116" s="4">
        <f>SUM(C5:C114)</f>
        <v>48696122</v>
      </c>
      <c r="D116" s="4">
        <f>SUM(D5:D114)</f>
        <v>50471029</v>
      </c>
      <c r="F116" s="4">
        <f>SUM(F5:F114)</f>
        <v>6294249.9999970011</v>
      </c>
      <c r="G116" s="4">
        <f>SUM(G5:G114)</f>
        <v>6397785.0000010012</v>
      </c>
      <c r="I116" s="4">
        <f>SUM(I5:I114)</f>
        <v>6740685.6863400014</v>
      </c>
      <c r="J116" s="4">
        <f>SUM(J5:J114)</f>
        <v>6842142.7326650005</v>
      </c>
      <c r="R116" s="18"/>
      <c r="S116" s="18"/>
      <c r="T116" s="18"/>
      <c r="U116" s="18"/>
      <c r="V116" s="18"/>
      <c r="W116" s="18"/>
      <c r="X116" s="18"/>
      <c r="Y116" s="18"/>
    </row>
    <row r="117" spans="1:25" x14ac:dyDescent="0.25">
      <c r="C117" s="4"/>
      <c r="D117" s="4"/>
    </row>
    <row r="119" spans="1:25" x14ac:dyDescent="0.25">
      <c r="C119" s="4"/>
      <c r="D119" s="4"/>
      <c r="F119" s="4"/>
      <c r="G119" s="4"/>
      <c r="I119" s="4"/>
      <c r="J119" s="4"/>
    </row>
  </sheetData>
  <mergeCells count="20">
    <mergeCell ref="AU1:BB1"/>
    <mergeCell ref="AU2:AV2"/>
    <mergeCell ref="AX2:AY2"/>
    <mergeCell ref="BA2:BB2"/>
    <mergeCell ref="R2:S2"/>
    <mergeCell ref="U2:V2"/>
    <mergeCell ref="X2:Y2"/>
    <mergeCell ref="AA1:AH1"/>
    <mergeCell ref="AA2:AB2"/>
    <mergeCell ref="AD2:AE2"/>
    <mergeCell ref="AG2:AH2"/>
    <mergeCell ref="AJ1:AQ1"/>
    <mergeCell ref="AJ2:AK2"/>
    <mergeCell ref="AM2:AN2"/>
    <mergeCell ref="AP2:AQ2"/>
    <mergeCell ref="C1:J1"/>
    <mergeCell ref="M2:N2"/>
    <mergeCell ref="C2:D2"/>
    <mergeCell ref="F2:G2"/>
    <mergeCell ref="I2:J2"/>
  </mergeCells>
  <pageMargins left="0.7" right="0.7" top="0.75" bottom="0.75" header="0.3" footer="0.3"/>
  <pageSetup orientation="portrait" r:id="rId1"/>
  <ignoredErrors>
    <ignoredError sqref="R5:Y16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5583-4445-4EF5-9689-A9A4660C684D}">
  <sheetPr codeName="Sheet11"/>
  <dimension ref="A1:BB119"/>
  <sheetViews>
    <sheetView workbookViewId="0">
      <selection activeCell="U5" sqref="U5"/>
    </sheetView>
  </sheetViews>
  <sheetFormatPr defaultRowHeight="15" x14ac:dyDescent="0.25"/>
  <cols>
    <col min="18" max="18" width="10.28515625" customWidth="1"/>
    <col min="19" max="19" width="12.42578125" customWidth="1"/>
    <col min="21" max="21" width="10.28515625" customWidth="1"/>
    <col min="22" max="22" width="10.42578125" customWidth="1"/>
    <col min="27" max="27" width="12.140625" customWidth="1"/>
    <col min="28" max="28" width="11.140625" customWidth="1"/>
    <col min="30" max="30" width="10.7109375" customWidth="1"/>
    <col min="31" max="31" width="11.140625" customWidth="1"/>
    <col min="33" max="33" width="11.7109375" customWidth="1"/>
    <col min="34" max="34" width="10.7109375" customWidth="1"/>
  </cols>
  <sheetData>
    <row r="1" spans="1:54" x14ac:dyDescent="0.25">
      <c r="B1" s="6"/>
      <c r="C1" s="33" t="s">
        <v>134</v>
      </c>
      <c r="D1" s="33"/>
      <c r="E1" s="33"/>
      <c r="F1" s="33"/>
      <c r="G1" s="33"/>
      <c r="H1" s="33"/>
      <c r="I1" s="33"/>
      <c r="J1" s="33"/>
      <c r="M1" s="15"/>
      <c r="N1" s="15"/>
      <c r="O1" s="15"/>
      <c r="P1" s="15"/>
      <c r="Q1" s="15"/>
      <c r="R1" s="25" t="s">
        <v>155</v>
      </c>
      <c r="S1" s="25"/>
      <c r="T1" s="25"/>
      <c r="U1" s="25"/>
      <c r="V1" s="25"/>
      <c r="W1" s="25"/>
      <c r="X1" s="25"/>
      <c r="Y1" s="25"/>
      <c r="AA1" s="33" t="s">
        <v>160</v>
      </c>
      <c r="AB1" s="33"/>
      <c r="AC1" s="33"/>
      <c r="AD1" s="33"/>
      <c r="AE1" s="33"/>
      <c r="AF1" s="33"/>
      <c r="AG1" s="33"/>
      <c r="AH1" s="33"/>
      <c r="AJ1" s="33" t="s">
        <v>170</v>
      </c>
      <c r="AK1" s="33"/>
      <c r="AL1" s="33"/>
      <c r="AM1" s="33"/>
      <c r="AN1" s="33"/>
      <c r="AO1" s="33"/>
      <c r="AP1" s="33"/>
      <c r="AQ1" s="33"/>
      <c r="AR1" s="6"/>
      <c r="AS1" s="6"/>
      <c r="AU1" s="33" t="s">
        <v>171</v>
      </c>
      <c r="AV1" s="33"/>
      <c r="AW1" s="33"/>
      <c r="AX1" s="33"/>
      <c r="AY1" s="33"/>
      <c r="AZ1" s="33"/>
      <c r="BA1" s="33"/>
      <c r="BB1" s="33"/>
    </row>
    <row r="2" spans="1:54" x14ac:dyDescent="0.25">
      <c r="C2" s="33" t="s">
        <v>129</v>
      </c>
      <c r="D2" s="33"/>
      <c r="F2" s="33" t="s">
        <v>132</v>
      </c>
      <c r="G2" s="33"/>
      <c r="I2" s="33" t="s">
        <v>133</v>
      </c>
      <c r="J2" s="33"/>
      <c r="M2" s="33" t="s">
        <v>158</v>
      </c>
      <c r="N2" s="33"/>
      <c r="O2" s="2"/>
      <c r="P2" s="2"/>
      <c r="Q2" s="2"/>
      <c r="R2" s="33" t="s">
        <v>129</v>
      </c>
      <c r="S2" s="33"/>
      <c r="U2" s="33" t="s">
        <v>132</v>
      </c>
      <c r="V2" s="33"/>
      <c r="X2" s="33" t="s">
        <v>133</v>
      </c>
      <c r="Y2" s="33"/>
      <c r="AA2" s="33" t="s">
        <v>129</v>
      </c>
      <c r="AB2" s="33"/>
      <c r="AD2" s="33" t="s">
        <v>132</v>
      </c>
      <c r="AE2" s="33"/>
      <c r="AG2" s="33" t="s">
        <v>133</v>
      </c>
      <c r="AH2" s="33"/>
      <c r="AJ2" s="33" t="s">
        <v>129</v>
      </c>
      <c r="AK2" s="33"/>
      <c r="AM2" s="33" t="s">
        <v>132</v>
      </c>
      <c r="AN2" s="33"/>
      <c r="AP2" s="33" t="s">
        <v>133</v>
      </c>
      <c r="AQ2" s="33"/>
      <c r="AR2" s="6"/>
      <c r="AS2" s="6"/>
      <c r="AU2" s="33" t="s">
        <v>129</v>
      </c>
      <c r="AV2" s="33"/>
      <c r="AX2" s="33" t="s">
        <v>132</v>
      </c>
      <c r="AY2" s="33"/>
      <c r="BA2" s="33" t="s">
        <v>133</v>
      </c>
      <c r="BB2" s="33"/>
    </row>
    <row r="3" spans="1:54" x14ac:dyDescent="0.25">
      <c r="O3" s="6" t="s">
        <v>161</v>
      </c>
      <c r="AJ3" s="6" t="s">
        <v>0</v>
      </c>
      <c r="AK3" s="6" t="s">
        <v>1</v>
      </c>
      <c r="AL3" s="5"/>
      <c r="AM3" s="6" t="s">
        <v>0</v>
      </c>
      <c r="AN3" s="6" t="s">
        <v>1</v>
      </c>
      <c r="AO3" s="5"/>
      <c r="AP3" s="6" t="s">
        <v>0</v>
      </c>
      <c r="AQ3" s="6" t="s">
        <v>1</v>
      </c>
      <c r="AR3" s="5"/>
      <c r="AS3" s="6" t="s">
        <v>161</v>
      </c>
      <c r="AT3" s="5"/>
      <c r="AU3" s="6" t="s">
        <v>0</v>
      </c>
      <c r="AV3" s="6" t="s">
        <v>1</v>
      </c>
      <c r="AW3" s="5"/>
      <c r="AX3" s="6" t="s">
        <v>0</v>
      </c>
      <c r="AY3" s="6" t="s">
        <v>1</v>
      </c>
      <c r="AZ3" s="5"/>
      <c r="BA3" s="6" t="s">
        <v>0</v>
      </c>
      <c r="BB3" s="6" t="s">
        <v>1</v>
      </c>
    </row>
    <row r="4" spans="1:54" x14ac:dyDescent="0.25">
      <c r="A4" s="6" t="s">
        <v>16</v>
      </c>
      <c r="C4" s="6" t="s">
        <v>0</v>
      </c>
      <c r="D4" s="6" t="s">
        <v>1</v>
      </c>
      <c r="F4" s="6" t="s">
        <v>0</v>
      </c>
      <c r="G4" s="6" t="s">
        <v>1</v>
      </c>
      <c r="I4" s="6" t="s">
        <v>0</v>
      </c>
      <c r="J4" s="6" t="s">
        <v>1</v>
      </c>
      <c r="M4" s="6" t="s">
        <v>156</v>
      </c>
      <c r="N4" s="6" t="s">
        <v>157</v>
      </c>
      <c r="O4" s="6" t="s">
        <v>16</v>
      </c>
      <c r="P4" s="6" t="s">
        <v>159</v>
      </c>
      <c r="R4" s="19" t="s">
        <v>130</v>
      </c>
      <c r="S4" s="19" t="s">
        <v>131</v>
      </c>
      <c r="T4" s="20"/>
      <c r="U4" s="19" t="s">
        <v>135</v>
      </c>
      <c r="V4" s="19" t="s">
        <v>136</v>
      </c>
      <c r="W4" s="20"/>
      <c r="X4" s="19" t="s">
        <v>137</v>
      </c>
      <c r="Y4" s="19" t="s">
        <v>138</v>
      </c>
      <c r="AA4" s="19" t="s">
        <v>130</v>
      </c>
      <c r="AB4" s="19" t="s">
        <v>131</v>
      </c>
      <c r="AC4" s="20"/>
      <c r="AD4" s="19" t="s">
        <v>135</v>
      </c>
      <c r="AE4" s="19" t="s">
        <v>136</v>
      </c>
      <c r="AF4" s="20"/>
      <c r="AG4" s="19" t="s">
        <v>137</v>
      </c>
      <c r="AH4" s="19" t="s">
        <v>138</v>
      </c>
      <c r="AJ4" s="19" t="s">
        <v>172</v>
      </c>
      <c r="AK4" s="19" t="s">
        <v>172</v>
      </c>
      <c r="AL4" s="20"/>
      <c r="AM4" s="19" t="s">
        <v>173</v>
      </c>
      <c r="AN4" s="19" t="s">
        <v>173</v>
      </c>
      <c r="AO4" s="20"/>
      <c r="AP4" s="19" t="s">
        <v>174</v>
      </c>
      <c r="AQ4" s="19" t="s">
        <v>174</v>
      </c>
      <c r="AR4" s="19"/>
      <c r="AS4" s="6" t="s">
        <v>16</v>
      </c>
      <c r="AU4" s="19" t="s">
        <v>172</v>
      </c>
      <c r="AV4" s="19" t="s">
        <v>172</v>
      </c>
      <c r="AW4" s="20"/>
      <c r="AX4" s="19" t="s">
        <v>173</v>
      </c>
      <c r="AY4" s="19" t="s">
        <v>173</v>
      </c>
      <c r="AZ4" s="20"/>
      <c r="BA4" s="19" t="s">
        <v>174</v>
      </c>
      <c r="BB4" s="19" t="s">
        <v>174</v>
      </c>
    </row>
    <row r="5" spans="1:54" x14ac:dyDescent="0.25">
      <c r="A5" s="10">
        <v>0</v>
      </c>
      <c r="C5" s="4">
        <v>1799585</v>
      </c>
      <c r="D5" s="4">
        <v>1792949</v>
      </c>
      <c r="F5" s="4">
        <v>233223</v>
      </c>
      <c r="G5" s="4">
        <v>219777</v>
      </c>
      <c r="I5" s="4">
        <v>362490.68634299998</v>
      </c>
      <c r="J5" s="4">
        <v>349707.73266799998</v>
      </c>
      <c r="M5">
        <v>0</v>
      </c>
      <c r="N5">
        <v>4</v>
      </c>
      <c r="O5">
        <f>(M5+N5+1)/2</f>
        <v>2.5</v>
      </c>
      <c r="P5">
        <f>N5-M5+1</f>
        <v>5</v>
      </c>
      <c r="R5" s="23">
        <f>SUM(C5:C9)</f>
        <v>7440027</v>
      </c>
      <c r="S5" s="23">
        <f>SUM(D5:D9)</f>
        <v>7515847</v>
      </c>
      <c r="T5" s="23"/>
      <c r="U5" s="23">
        <f>SUM(F5:F9)</f>
        <v>1006030</v>
      </c>
      <c r="V5" s="23">
        <f>SUM(G5:G9)</f>
        <v>976417</v>
      </c>
      <c r="W5" s="23"/>
      <c r="X5" s="23">
        <f>SUM(I5:I9)</f>
        <v>1336518.3399049998</v>
      </c>
      <c r="Y5" s="23">
        <f>SUM(J5:J9)</f>
        <v>1275714.840179</v>
      </c>
      <c r="AA5" s="24">
        <f>R5/(R$18 + S$18)</f>
        <v>7.5025115927753128E-2</v>
      </c>
      <c r="AB5" s="24">
        <f>S5/(R$18 + S$18)</f>
        <v>7.5789683622150245E-2</v>
      </c>
      <c r="AC5" s="24"/>
      <c r="AD5" s="24">
        <f>U5/(U$18 + V$18)</f>
        <v>7.9264672686465074E-2</v>
      </c>
      <c r="AE5" s="24">
        <f>V5/(U$18 + V$18)</f>
        <v>7.6931477103565668E-2</v>
      </c>
      <c r="AF5" s="24"/>
      <c r="AG5" s="24">
        <f>X5/(X$18 + Y$18)</f>
        <v>9.8397645812484266E-2</v>
      </c>
      <c r="AH5" s="24">
        <f>Y5/(X$18 + Y$18)</f>
        <v>9.3921148145700517E-2</v>
      </c>
      <c r="AJ5" s="26">
        <f>100 *AA5/$P5</f>
        <v>1.5005023185550626</v>
      </c>
      <c r="AK5" s="26">
        <f>100*AB5/$P5</f>
        <v>1.515793672443005</v>
      </c>
      <c r="AL5" s="26"/>
      <c r="AM5" s="26">
        <f>100* AD5/$P5</f>
        <v>1.5852934537293015</v>
      </c>
      <c r="AN5" s="26">
        <f>100* AE5/$P5</f>
        <v>1.5386295420713134</v>
      </c>
      <c r="AO5" s="26"/>
      <c r="AP5" s="26"/>
      <c r="AQ5" s="26"/>
      <c r="AR5" s="26"/>
      <c r="AS5" s="28">
        <f>O6</f>
        <v>10</v>
      </c>
      <c r="AU5" s="26">
        <f>AJ6</f>
        <v>1.1611808833753829</v>
      </c>
      <c r="AV5" s="26">
        <f>AK6</f>
        <v>1.1740672069927673</v>
      </c>
      <c r="AX5" s="26">
        <f>AM6</f>
        <v>1.2933562061925126</v>
      </c>
      <c r="AY5" s="26">
        <f>AN6</f>
        <v>1.2140793609253702</v>
      </c>
      <c r="BA5" s="26">
        <f>AP6</f>
        <v>1.1040278601258002</v>
      </c>
      <c r="BB5" s="26">
        <f>AQ6</f>
        <v>1.0992086535555097</v>
      </c>
    </row>
    <row r="6" spans="1:54" x14ac:dyDescent="0.25">
      <c r="A6" s="10">
        <v>1</v>
      </c>
      <c r="C6" s="4">
        <v>1430584</v>
      </c>
      <c r="D6" s="4">
        <v>1450048</v>
      </c>
      <c r="F6" s="4">
        <v>201415</v>
      </c>
      <c r="G6" s="4">
        <v>193585</v>
      </c>
      <c r="I6" s="4">
        <v>293376.33229200001</v>
      </c>
      <c r="J6" s="4">
        <v>280443.35522099998</v>
      </c>
      <c r="M6">
        <v>5</v>
      </c>
      <c r="N6">
        <v>14</v>
      </c>
      <c r="O6">
        <f t="shared" ref="O6:O16" si="0">(M6+N6+1)/2</f>
        <v>10</v>
      </c>
      <c r="P6">
        <f t="shared" ref="P6:P16" si="1">N6-M6+1</f>
        <v>10</v>
      </c>
      <c r="R6" s="23">
        <f>SUM(C10:C19)</f>
        <v>11515100</v>
      </c>
      <c r="S6" s="23">
        <f>SUM(D10:D19)</f>
        <v>11642890</v>
      </c>
      <c r="T6" s="23"/>
      <c r="U6" s="23">
        <f>SUM(F10:F19)</f>
        <v>1641532.223646</v>
      </c>
      <c r="V6" s="23">
        <f>SUM(G10:G19)</f>
        <v>1540913.7741640001</v>
      </c>
      <c r="W6" s="23"/>
      <c r="X6" s="23">
        <f>SUM(I10:I19)</f>
        <v>1499582.0993889999</v>
      </c>
      <c r="Y6" s="23">
        <f>SUM(J10:J19)</f>
        <v>1493036.253793</v>
      </c>
      <c r="AA6" s="24">
        <f t="shared" ref="AA6:AA16" si="2">R6/(R$18 + S$18)</f>
        <v>0.11611808833753831</v>
      </c>
      <c r="AB6" s="24">
        <f t="shared" ref="AB6:AB16" si="3">S6/(R$18 + S$18)</f>
        <v>0.11740672069927673</v>
      </c>
      <c r="AC6" s="24"/>
      <c r="AD6" s="24">
        <f t="shared" ref="AD6:AD16" si="4">U6/(U$18 + V$18)</f>
        <v>0.12933562061925127</v>
      </c>
      <c r="AE6" s="24">
        <f t="shared" ref="AE6:AE16" si="5">V6/(U$18 + V$18)</f>
        <v>0.12140793609253703</v>
      </c>
      <c r="AF6" s="24"/>
      <c r="AG6" s="24">
        <f t="shared" ref="AG6:AG16" si="6">X6/(X$18 + Y$18)</f>
        <v>0.11040278601258002</v>
      </c>
      <c r="AH6" s="24">
        <f t="shared" ref="AH6:AH16" si="7">Y6/(X$18 + Y$18)</f>
        <v>0.10992086535555096</v>
      </c>
      <c r="AJ6" s="26">
        <f t="shared" ref="AJ6:AJ16" si="8">100 *AA6/$P6</f>
        <v>1.1611808833753829</v>
      </c>
      <c r="AK6" s="26">
        <f t="shared" ref="AK6:AK16" si="9">100*AB6/$P6</f>
        <v>1.1740672069927673</v>
      </c>
      <c r="AL6" s="26"/>
      <c r="AM6" s="26">
        <f t="shared" ref="AM6:AN16" si="10">100* AD6/$P6</f>
        <v>1.2933562061925126</v>
      </c>
      <c r="AN6" s="26">
        <f t="shared" si="10"/>
        <v>1.2140793609253702</v>
      </c>
      <c r="AO6" s="26"/>
      <c r="AP6" s="26">
        <f t="shared" ref="AP6:AP16" si="11">100 * AG6/$P6</f>
        <v>1.1040278601258002</v>
      </c>
      <c r="AQ6" s="26">
        <f t="shared" ref="AQ6:AQ16" si="12">100*AH6/$P6</f>
        <v>1.0992086535555097</v>
      </c>
      <c r="AR6" s="26"/>
      <c r="AS6" s="28">
        <f t="shared" ref="AS6:AS15" si="13">O7</f>
        <v>20</v>
      </c>
      <c r="AU6" s="26">
        <f t="shared" ref="AU6:AV15" si="14">AJ7</f>
        <v>0.890272424988795</v>
      </c>
      <c r="AV6" s="26">
        <f t="shared" si="14"/>
        <v>0.95421073456068117</v>
      </c>
      <c r="AX6" s="26">
        <f t="shared" ref="AX6:AY15" si="15">AM7</f>
        <v>0.87978898055999388</v>
      </c>
      <c r="AY6" s="26">
        <f t="shared" si="15"/>
        <v>1.0279849764936873</v>
      </c>
      <c r="BA6" s="26">
        <f t="shared" ref="BA6:BB15" si="16">AP7</f>
        <v>0.96904604771148239</v>
      </c>
      <c r="BB6" s="26">
        <f t="shared" si="16"/>
        <v>1.0815418309455558</v>
      </c>
    </row>
    <row r="7" spans="1:54" x14ac:dyDescent="0.25">
      <c r="A7" s="10">
        <v>2</v>
      </c>
      <c r="C7" s="4">
        <v>1450430</v>
      </c>
      <c r="D7" s="4">
        <v>1460857</v>
      </c>
      <c r="F7" s="4">
        <v>189934</v>
      </c>
      <c r="G7" s="4">
        <v>185418</v>
      </c>
      <c r="I7" s="4">
        <v>256667.84484800001</v>
      </c>
      <c r="J7" s="4">
        <v>244143.28192800001</v>
      </c>
      <c r="M7">
        <f>M6+10</f>
        <v>15</v>
      </c>
      <c r="N7">
        <f>N6+10</f>
        <v>24</v>
      </c>
      <c r="O7">
        <f t="shared" si="0"/>
        <v>20</v>
      </c>
      <c r="P7">
        <f t="shared" si="1"/>
        <v>10</v>
      </c>
      <c r="R7" s="23">
        <f>SUM(C20:C29)</f>
        <v>8828578</v>
      </c>
      <c r="S7" s="23">
        <f>SUM(D20:D29)</f>
        <v>9462636</v>
      </c>
      <c r="T7" s="23"/>
      <c r="U7" s="23">
        <f>SUM(F20:F29)</f>
        <v>1116631.253388</v>
      </c>
      <c r="V7" s="23">
        <f>SUM(G20:G29)</f>
        <v>1304722.1301129998</v>
      </c>
      <c r="W7" s="23"/>
      <c r="X7" s="23">
        <f>SUM(I20:I29)</f>
        <v>1316238.619618</v>
      </c>
      <c r="Y7" s="23">
        <f>SUM(J20:J29)</f>
        <v>1469039.7117709999</v>
      </c>
      <c r="AA7" s="24">
        <f t="shared" si="2"/>
        <v>8.90272424988795E-2</v>
      </c>
      <c r="AB7" s="24">
        <f t="shared" si="3"/>
        <v>9.5421073456068123E-2</v>
      </c>
      <c r="AC7" s="24"/>
      <c r="AD7" s="24">
        <f t="shared" si="4"/>
        <v>8.7978898055999386E-2</v>
      </c>
      <c r="AE7" s="24">
        <f t="shared" si="5"/>
        <v>0.10279849764936873</v>
      </c>
      <c r="AF7" s="24"/>
      <c r="AG7" s="24">
        <f t="shared" si="6"/>
        <v>9.6904604771148234E-2</v>
      </c>
      <c r="AH7" s="24">
        <f t="shared" si="7"/>
        <v>0.10815418309455557</v>
      </c>
      <c r="AJ7" s="26">
        <f t="shared" si="8"/>
        <v>0.890272424988795</v>
      </c>
      <c r="AK7" s="26">
        <f t="shared" si="9"/>
        <v>0.95421073456068117</v>
      </c>
      <c r="AL7" s="26"/>
      <c r="AM7" s="26">
        <f t="shared" si="10"/>
        <v>0.87978898055999388</v>
      </c>
      <c r="AN7" s="26">
        <f t="shared" si="10"/>
        <v>1.0279849764936873</v>
      </c>
      <c r="AO7" s="26"/>
      <c r="AP7" s="26">
        <f t="shared" si="11"/>
        <v>0.96904604771148239</v>
      </c>
      <c r="AQ7" s="26">
        <f t="shared" si="12"/>
        <v>1.0815418309455558</v>
      </c>
      <c r="AR7" s="26"/>
      <c r="AS7" s="28">
        <f t="shared" si="13"/>
        <v>30</v>
      </c>
      <c r="AU7" s="26">
        <f t="shared" si="14"/>
        <v>0.67417183337252473</v>
      </c>
      <c r="AV7" s="26">
        <f t="shared" si="14"/>
        <v>0.71309681973217121</v>
      </c>
      <c r="AX7" s="26">
        <f t="shared" si="15"/>
        <v>0.7632899820502802</v>
      </c>
      <c r="AY7" s="26">
        <f t="shared" si="15"/>
        <v>0.81879101282037436</v>
      </c>
      <c r="BA7" s="26">
        <f t="shared" si="16"/>
        <v>0.7598680565771343</v>
      </c>
      <c r="BB7" s="26">
        <f t="shared" si="16"/>
        <v>0.81209939049189861</v>
      </c>
    </row>
    <row r="8" spans="1:54" x14ac:dyDescent="0.25">
      <c r="A8" s="10">
        <v>3</v>
      </c>
      <c r="C8" s="4">
        <v>1428134</v>
      </c>
      <c r="D8" s="4">
        <v>1448117</v>
      </c>
      <c r="F8" s="4">
        <v>189977</v>
      </c>
      <c r="G8" s="4">
        <v>187240</v>
      </c>
      <c r="I8" s="4">
        <v>224846.11173900001</v>
      </c>
      <c r="J8" s="4">
        <v>213057.304137</v>
      </c>
      <c r="M8">
        <f>M7+10</f>
        <v>25</v>
      </c>
      <c r="N8">
        <f>N7+10</f>
        <v>34</v>
      </c>
      <c r="O8">
        <f t="shared" si="0"/>
        <v>30</v>
      </c>
      <c r="P8">
        <f t="shared" si="1"/>
        <v>10</v>
      </c>
      <c r="R8" s="23">
        <f>SUM(C30:C39)</f>
        <v>6685570</v>
      </c>
      <c r="S8" s="23">
        <f>SUM(D30:D39)</f>
        <v>7071578</v>
      </c>
      <c r="T8" s="23"/>
      <c r="U8" s="23">
        <f>SUM(F30:F39)</f>
        <v>968770.31673299999</v>
      </c>
      <c r="V8" s="23">
        <f>SUM(G30:G39)</f>
        <v>1039212.41924</v>
      </c>
      <c r="W8" s="23"/>
      <c r="X8" s="23">
        <f>SUM(I30:I39)</f>
        <v>1032115.7433570002</v>
      </c>
      <c r="Y8" s="23">
        <f>SUM(J30:J39)</f>
        <v>1103060.668023</v>
      </c>
      <c r="AA8" s="24">
        <f t="shared" si="2"/>
        <v>6.7417183337252468E-2</v>
      </c>
      <c r="AB8" s="24">
        <f t="shared" si="3"/>
        <v>7.1309681973217118E-2</v>
      </c>
      <c r="AC8" s="24"/>
      <c r="AD8" s="24">
        <f t="shared" si="4"/>
        <v>7.6328998205028017E-2</v>
      </c>
      <c r="AE8" s="24">
        <f t="shared" si="5"/>
        <v>8.1879101282037431E-2</v>
      </c>
      <c r="AF8" s="24"/>
      <c r="AG8" s="24">
        <f t="shared" si="6"/>
        <v>7.598680565771343E-2</v>
      </c>
      <c r="AH8" s="24">
        <f t="shared" si="7"/>
        <v>8.1209939049189855E-2</v>
      </c>
      <c r="AJ8" s="26">
        <f t="shared" si="8"/>
        <v>0.67417183337252473</v>
      </c>
      <c r="AK8" s="26">
        <f t="shared" si="9"/>
        <v>0.71309681973217121</v>
      </c>
      <c r="AL8" s="26"/>
      <c r="AM8" s="26">
        <f t="shared" si="10"/>
        <v>0.7632899820502802</v>
      </c>
      <c r="AN8" s="26">
        <f t="shared" si="10"/>
        <v>0.81879101282037436</v>
      </c>
      <c r="AO8" s="26"/>
      <c r="AP8" s="26">
        <f t="shared" si="11"/>
        <v>0.7598680565771343</v>
      </c>
      <c r="AQ8" s="26">
        <f t="shared" si="12"/>
        <v>0.81209939049189861</v>
      </c>
      <c r="AR8" s="26"/>
      <c r="AS8" s="28">
        <f t="shared" si="13"/>
        <v>40</v>
      </c>
      <c r="AU8" s="26">
        <f t="shared" si="14"/>
        <v>0.55299965207228752</v>
      </c>
      <c r="AV8" s="26">
        <f t="shared" si="14"/>
        <v>0.56539690244806962</v>
      </c>
      <c r="AX8" s="26">
        <f t="shared" si="15"/>
        <v>0.55232554746194007</v>
      </c>
      <c r="AY8" s="26">
        <f t="shared" si="15"/>
        <v>0.54912724635971288</v>
      </c>
      <c r="BA8" s="26">
        <f t="shared" si="16"/>
        <v>0.52454819647953144</v>
      </c>
      <c r="BB8" s="26">
        <f t="shared" si="16"/>
        <v>0.50939213218573831</v>
      </c>
    </row>
    <row r="9" spans="1:54" x14ac:dyDescent="0.25">
      <c r="A9" s="10">
        <v>4</v>
      </c>
      <c r="C9" s="4">
        <v>1331294</v>
      </c>
      <c r="D9" s="4">
        <v>1363876</v>
      </c>
      <c r="F9" s="4">
        <v>191481</v>
      </c>
      <c r="G9" s="4">
        <v>190397</v>
      </c>
      <c r="I9" s="4">
        <v>199137.36468299999</v>
      </c>
      <c r="J9" s="4">
        <v>188363.16622499999</v>
      </c>
      <c r="M9">
        <f t="shared" ref="M9:N16" si="17">M8+10</f>
        <v>35</v>
      </c>
      <c r="N9">
        <f t="shared" si="17"/>
        <v>44</v>
      </c>
      <c r="O9">
        <f t="shared" si="0"/>
        <v>40</v>
      </c>
      <c r="P9">
        <f t="shared" si="1"/>
        <v>10</v>
      </c>
      <c r="R9" s="23">
        <f>SUM(C40:C49)</f>
        <v>5483940</v>
      </c>
      <c r="S9" s="23">
        <f>SUM(D40:D49)</f>
        <v>5606880</v>
      </c>
      <c r="T9" s="23"/>
      <c r="U9" s="23">
        <f>SUM(F40:F49)</f>
        <v>701013.51797799987</v>
      </c>
      <c r="V9" s="23">
        <f>SUM(G40:G49)</f>
        <v>696954.22302499996</v>
      </c>
      <c r="W9" s="23"/>
      <c r="X9" s="23">
        <f>SUM(I40:I49)</f>
        <v>712484.81502799992</v>
      </c>
      <c r="Y9" s="23">
        <f>SUM(J40:J49)</f>
        <v>691898.59294699994</v>
      </c>
      <c r="AA9" s="24">
        <f t="shared" si="2"/>
        <v>5.5299965207228755E-2</v>
      </c>
      <c r="AB9" s="24">
        <f t="shared" si="3"/>
        <v>5.653969024480697E-2</v>
      </c>
      <c r="AC9" s="24"/>
      <c r="AD9" s="24">
        <f t="shared" si="4"/>
        <v>5.5232554746194006E-2</v>
      </c>
      <c r="AE9" s="24">
        <f t="shared" si="5"/>
        <v>5.4912724635971293E-2</v>
      </c>
      <c r="AF9" s="24"/>
      <c r="AG9" s="24">
        <f t="shared" si="6"/>
        <v>5.2454819647953142E-2</v>
      </c>
      <c r="AH9" s="24">
        <f t="shared" si="7"/>
        <v>5.093921321857383E-2</v>
      </c>
      <c r="AJ9" s="26">
        <f t="shared" si="8"/>
        <v>0.55299965207228752</v>
      </c>
      <c r="AK9" s="26">
        <f t="shared" si="9"/>
        <v>0.56539690244806962</v>
      </c>
      <c r="AL9" s="26"/>
      <c r="AM9" s="26">
        <f t="shared" si="10"/>
        <v>0.55232554746194007</v>
      </c>
      <c r="AN9" s="26">
        <f t="shared" si="10"/>
        <v>0.54912724635971288</v>
      </c>
      <c r="AO9" s="26"/>
      <c r="AP9" s="26">
        <f t="shared" si="11"/>
        <v>0.52454819647953144</v>
      </c>
      <c r="AQ9" s="26">
        <f t="shared" si="12"/>
        <v>0.50939213218573831</v>
      </c>
      <c r="AR9" s="26"/>
      <c r="AS9" s="28">
        <f t="shared" si="13"/>
        <v>50</v>
      </c>
      <c r="AU9" s="26">
        <f t="shared" si="14"/>
        <v>0.39580062151830903</v>
      </c>
      <c r="AV9" s="26">
        <f t="shared" si="14"/>
        <v>0.41748905340640469</v>
      </c>
      <c r="AX9" s="26">
        <f t="shared" si="15"/>
        <v>0.33140708024053389</v>
      </c>
      <c r="AY9" s="26">
        <f t="shared" si="15"/>
        <v>0.34133377081143279</v>
      </c>
      <c r="BA9" s="26">
        <f t="shared" si="16"/>
        <v>0.3275788754442604</v>
      </c>
      <c r="BB9" s="26">
        <f t="shared" si="16"/>
        <v>0.32773879888163232</v>
      </c>
    </row>
    <row r="10" spans="1:54" x14ac:dyDescent="0.25">
      <c r="A10" s="10">
        <v>5</v>
      </c>
      <c r="C10" s="4">
        <v>1253530</v>
      </c>
      <c r="D10" s="4">
        <v>1269384</v>
      </c>
      <c r="F10" s="4">
        <v>192191</v>
      </c>
      <c r="G10" s="4">
        <v>182763</v>
      </c>
      <c r="I10" s="4">
        <v>178814.43098</v>
      </c>
      <c r="J10" s="4">
        <v>169290.518797</v>
      </c>
      <c r="M10">
        <f t="shared" si="17"/>
        <v>45</v>
      </c>
      <c r="N10">
        <f t="shared" si="17"/>
        <v>54</v>
      </c>
      <c r="O10">
        <f t="shared" si="0"/>
        <v>50</v>
      </c>
      <c r="P10">
        <f t="shared" si="1"/>
        <v>10</v>
      </c>
      <c r="R10" s="23">
        <f>SUM(C50:C59)</f>
        <v>3925042</v>
      </c>
      <c r="S10" s="23">
        <f>SUM(D50:D59)</f>
        <v>4140120</v>
      </c>
      <c r="T10" s="23"/>
      <c r="U10" s="23">
        <f>SUM(F50:F59)</f>
        <v>420623.02616600005</v>
      </c>
      <c r="V10" s="23">
        <f>SUM(G50:G59)</f>
        <v>433222.01658200001</v>
      </c>
      <c r="W10" s="23"/>
      <c r="X10" s="23">
        <f>SUM(I50:I59)</f>
        <v>444944.765885</v>
      </c>
      <c r="Y10" s="23">
        <f>SUM(J50:J59)</f>
        <v>445161.98714599997</v>
      </c>
      <c r="AA10" s="24">
        <f t="shared" si="2"/>
        <v>3.9580062151830901E-2</v>
      </c>
      <c r="AB10" s="24">
        <f t="shared" si="3"/>
        <v>4.174890534064047E-2</v>
      </c>
      <c r="AC10" s="24"/>
      <c r="AD10" s="24">
        <f t="shared" si="4"/>
        <v>3.3140708024053389E-2</v>
      </c>
      <c r="AE10" s="24">
        <f t="shared" si="5"/>
        <v>3.4133377081143279E-2</v>
      </c>
      <c r="AF10" s="24"/>
      <c r="AG10" s="24">
        <f t="shared" si="6"/>
        <v>3.2757887544426038E-2</v>
      </c>
      <c r="AH10" s="24">
        <f t="shared" si="7"/>
        <v>3.2773879888163229E-2</v>
      </c>
      <c r="AJ10" s="26">
        <f t="shared" si="8"/>
        <v>0.39580062151830903</v>
      </c>
      <c r="AK10" s="26">
        <f t="shared" si="9"/>
        <v>0.41748905340640469</v>
      </c>
      <c r="AL10" s="26"/>
      <c r="AM10" s="26">
        <f t="shared" si="10"/>
        <v>0.33140708024053389</v>
      </c>
      <c r="AN10" s="26">
        <f t="shared" si="10"/>
        <v>0.34133377081143279</v>
      </c>
      <c r="AO10" s="26"/>
      <c r="AP10" s="26">
        <f t="shared" si="11"/>
        <v>0.3275788754442604</v>
      </c>
      <c r="AQ10" s="26">
        <f t="shared" si="12"/>
        <v>0.32773879888163232</v>
      </c>
      <c r="AR10" s="26"/>
      <c r="AS10" s="28">
        <f t="shared" si="13"/>
        <v>60</v>
      </c>
      <c r="AU10" s="26">
        <f t="shared" si="14"/>
        <v>0.27811749880764447</v>
      </c>
      <c r="AV10" s="26">
        <f t="shared" si="14"/>
        <v>0.28993270160599854</v>
      </c>
      <c r="AX10" s="26">
        <f t="shared" si="15"/>
        <v>0.22732583281329241</v>
      </c>
      <c r="AY10" s="26">
        <f t="shared" si="15"/>
        <v>0.2159115379102273</v>
      </c>
      <c r="BA10" s="26">
        <f t="shared" si="16"/>
        <v>0.18625664519991963</v>
      </c>
      <c r="BB10" s="26">
        <f t="shared" si="16"/>
        <v>0.17375823526841613</v>
      </c>
    </row>
    <row r="11" spans="1:54" x14ac:dyDescent="0.25">
      <c r="A11" s="10">
        <v>6</v>
      </c>
      <c r="C11" s="4">
        <v>1232195</v>
      </c>
      <c r="D11" s="4">
        <v>1247881</v>
      </c>
      <c r="F11" s="4">
        <v>189853.22169999999</v>
      </c>
      <c r="G11" s="4">
        <v>180673.685192</v>
      </c>
      <c r="I11" s="4">
        <v>163309.117964</v>
      </c>
      <c r="J11" s="4">
        <v>155251.632381</v>
      </c>
      <c r="M11">
        <f t="shared" si="17"/>
        <v>55</v>
      </c>
      <c r="N11">
        <f t="shared" si="17"/>
        <v>64</v>
      </c>
      <c r="O11">
        <f t="shared" si="0"/>
        <v>60</v>
      </c>
      <c r="P11">
        <f t="shared" si="1"/>
        <v>10</v>
      </c>
      <c r="R11" s="23">
        <f>SUM(C60:C69)</f>
        <v>2758012</v>
      </c>
      <c r="S11" s="23">
        <f>SUM(D60:D69)</f>
        <v>2875180</v>
      </c>
      <c r="T11" s="23"/>
      <c r="U11" s="23">
        <f>SUM(F60:F69)</f>
        <v>288522.74264700006</v>
      </c>
      <c r="V11" s="23">
        <f>SUM(G60:G69)</f>
        <v>274035.67960599996</v>
      </c>
      <c r="W11" s="23"/>
      <c r="X11" s="23">
        <f>SUM(I60:I69)</f>
        <v>252989.205365</v>
      </c>
      <c r="Y11" s="23">
        <f>SUM(J60:J69)</f>
        <v>236012.829604</v>
      </c>
      <c r="AA11" s="24">
        <f t="shared" si="2"/>
        <v>2.7811749880764448E-2</v>
      </c>
      <c r="AB11" s="24">
        <f t="shared" si="3"/>
        <v>2.8993270160599854E-2</v>
      </c>
      <c r="AC11" s="24"/>
      <c r="AD11" s="24">
        <f t="shared" si="4"/>
        <v>2.2732583281329242E-2</v>
      </c>
      <c r="AE11" s="24">
        <f t="shared" si="5"/>
        <v>2.1591153791022732E-2</v>
      </c>
      <c r="AF11" s="24"/>
      <c r="AG11" s="24">
        <f t="shared" si="6"/>
        <v>1.8625664519991963E-2</v>
      </c>
      <c r="AH11" s="24">
        <f t="shared" si="7"/>
        <v>1.7375823526841614E-2</v>
      </c>
      <c r="AJ11" s="26">
        <f t="shared" si="8"/>
        <v>0.27811749880764447</v>
      </c>
      <c r="AK11" s="26">
        <f t="shared" si="9"/>
        <v>0.28993270160599854</v>
      </c>
      <c r="AL11" s="26"/>
      <c r="AM11" s="26">
        <f t="shared" si="10"/>
        <v>0.22732583281329241</v>
      </c>
      <c r="AN11" s="26">
        <f t="shared" si="10"/>
        <v>0.2159115379102273</v>
      </c>
      <c r="AO11" s="26"/>
      <c r="AP11" s="26">
        <f t="shared" si="11"/>
        <v>0.18625664519991963</v>
      </c>
      <c r="AQ11" s="26">
        <f t="shared" si="12"/>
        <v>0.17375823526841613</v>
      </c>
      <c r="AR11" s="26"/>
      <c r="AS11" s="28">
        <f t="shared" si="13"/>
        <v>70</v>
      </c>
      <c r="AU11" s="26">
        <f t="shared" si="14"/>
        <v>0.14503139250214014</v>
      </c>
      <c r="AV11" s="26">
        <f t="shared" si="14"/>
        <v>0.15481255481464826</v>
      </c>
      <c r="AX11" s="26">
        <f t="shared" si="15"/>
        <v>8.2888464797029479E-2</v>
      </c>
      <c r="AY11" s="26">
        <f t="shared" si="15"/>
        <v>6.9954559620276829E-2</v>
      </c>
      <c r="BA11" s="26">
        <f t="shared" si="16"/>
        <v>7.6042872205085404E-2</v>
      </c>
      <c r="BB11" s="26">
        <f t="shared" si="16"/>
        <v>6.3031573144374325E-2</v>
      </c>
    </row>
    <row r="12" spans="1:54" x14ac:dyDescent="0.25">
      <c r="A12" s="10">
        <v>7</v>
      </c>
      <c r="C12" s="4">
        <v>1179192</v>
      </c>
      <c r="D12" s="4">
        <v>1223008</v>
      </c>
      <c r="F12" s="4">
        <v>185803.44218300001</v>
      </c>
      <c r="G12" s="4">
        <v>175537.181763</v>
      </c>
      <c r="I12" s="4">
        <v>152207.642918</v>
      </c>
      <c r="J12" s="4">
        <v>145833.090818</v>
      </c>
      <c r="M12">
        <f t="shared" si="17"/>
        <v>65</v>
      </c>
      <c r="N12">
        <f t="shared" si="17"/>
        <v>74</v>
      </c>
      <c r="O12">
        <f t="shared" si="0"/>
        <v>70</v>
      </c>
      <c r="P12">
        <f t="shared" si="1"/>
        <v>10</v>
      </c>
      <c r="R12" s="23">
        <f>SUM(C70:C79)</f>
        <v>1438235</v>
      </c>
      <c r="S12" s="23">
        <f>SUM(D70:D79)</f>
        <v>1535232</v>
      </c>
      <c r="T12" s="23"/>
      <c r="U12" s="23">
        <f>SUM(F70:F79)</f>
        <v>105202.32963000001</v>
      </c>
      <c r="V12" s="23">
        <f>SUM(G70:G79)</f>
        <v>88786.571911000006</v>
      </c>
      <c r="W12" s="23"/>
      <c r="X12" s="23">
        <f>SUM(I70:I79)</f>
        <v>103287.72856499998</v>
      </c>
      <c r="Y12" s="23">
        <f>SUM(J70:J79)</f>
        <v>85614.704300000012</v>
      </c>
      <c r="AA12" s="24">
        <f t="shared" si="2"/>
        <v>1.4503139250214014E-2</v>
      </c>
      <c r="AB12" s="24">
        <f t="shared" si="3"/>
        <v>1.5481255481464826E-2</v>
      </c>
      <c r="AC12" s="24"/>
      <c r="AD12" s="24">
        <f t="shared" si="4"/>
        <v>8.2888464797029483E-3</v>
      </c>
      <c r="AE12" s="24">
        <f t="shared" si="5"/>
        <v>6.9954559620276826E-3</v>
      </c>
      <c r="AF12" s="24"/>
      <c r="AG12" s="24">
        <f t="shared" si="6"/>
        <v>7.6042872205085415E-3</v>
      </c>
      <c r="AH12" s="24">
        <f t="shared" si="7"/>
        <v>6.3031573144374329E-3</v>
      </c>
      <c r="AJ12" s="26">
        <f t="shared" si="8"/>
        <v>0.14503139250214014</v>
      </c>
      <c r="AK12" s="26">
        <f t="shared" si="9"/>
        <v>0.15481255481464826</v>
      </c>
      <c r="AL12" s="26"/>
      <c r="AM12" s="26">
        <f t="shared" si="10"/>
        <v>8.2888464797029479E-2</v>
      </c>
      <c r="AN12" s="26">
        <f t="shared" si="10"/>
        <v>6.9954559620276829E-2</v>
      </c>
      <c r="AO12" s="26"/>
      <c r="AP12" s="26">
        <f t="shared" si="11"/>
        <v>7.6042872205085404E-2</v>
      </c>
      <c r="AQ12" s="26">
        <f t="shared" si="12"/>
        <v>6.3031573144374325E-2</v>
      </c>
      <c r="AR12" s="26"/>
      <c r="AS12" s="28">
        <f t="shared" si="13"/>
        <v>80</v>
      </c>
      <c r="AU12" s="26">
        <f t="shared" si="14"/>
        <v>5.1542773473445859E-2</v>
      </c>
      <c r="AV12" s="26">
        <f t="shared" si="14"/>
        <v>5.1201632282448048E-2</v>
      </c>
      <c r="AX12" s="26">
        <f t="shared" si="15"/>
        <v>2.7335011584828976E-2</v>
      </c>
      <c r="AY12" s="26">
        <f t="shared" si="15"/>
        <v>2.5843416895718598E-2</v>
      </c>
      <c r="BA12" s="26">
        <f t="shared" si="16"/>
        <v>2.233913931986688E-2</v>
      </c>
      <c r="BB12" s="26">
        <f t="shared" si="16"/>
        <v>2.0988230534600479E-2</v>
      </c>
    </row>
    <row r="13" spans="1:54" x14ac:dyDescent="0.25">
      <c r="A13" s="10">
        <v>8</v>
      </c>
      <c r="C13" s="4">
        <v>1215578</v>
      </c>
      <c r="D13" s="4">
        <v>1235027</v>
      </c>
      <c r="F13" s="4">
        <v>179878.61007600001</v>
      </c>
      <c r="G13" s="4">
        <v>168720.57441599999</v>
      </c>
      <c r="I13" s="4">
        <v>145216.29037599999</v>
      </c>
      <c r="J13" s="4">
        <v>140761.01751599999</v>
      </c>
      <c r="M13">
        <f t="shared" si="17"/>
        <v>75</v>
      </c>
      <c r="N13">
        <f t="shared" si="17"/>
        <v>84</v>
      </c>
      <c r="O13">
        <f t="shared" si="0"/>
        <v>80</v>
      </c>
      <c r="P13">
        <f t="shared" si="1"/>
        <v>10</v>
      </c>
      <c r="R13" s="23">
        <f>SUM(C80:C89)</f>
        <v>511135</v>
      </c>
      <c r="S13" s="23">
        <f>SUM(D80:D89)</f>
        <v>507752</v>
      </c>
      <c r="T13" s="23"/>
      <c r="U13" s="23">
        <f>SUM(F80:F89)</f>
        <v>34693.692376000006</v>
      </c>
      <c r="V13" s="23">
        <f>SUM(G80:G89)</f>
        <v>32800.555176000002</v>
      </c>
      <c r="W13" s="23"/>
      <c r="X13" s="23">
        <f>SUM(I80:I89)</f>
        <v>30342.869640999994</v>
      </c>
      <c r="Y13" s="23">
        <f>SUM(J80:J89)</f>
        <v>28507.953417000001</v>
      </c>
      <c r="AA13" s="24">
        <f t="shared" si="2"/>
        <v>5.1542773473445859E-3</v>
      </c>
      <c r="AB13" s="24">
        <f t="shared" si="3"/>
        <v>5.1201632282448046E-3</v>
      </c>
      <c r="AC13" s="24"/>
      <c r="AD13" s="24">
        <f t="shared" si="4"/>
        <v>2.7335011584828975E-3</v>
      </c>
      <c r="AE13" s="24">
        <f t="shared" si="5"/>
        <v>2.5843416895718597E-3</v>
      </c>
      <c r="AF13" s="24"/>
      <c r="AG13" s="24">
        <f t="shared" si="6"/>
        <v>2.233913931986688E-3</v>
      </c>
      <c r="AH13" s="24">
        <f t="shared" si="7"/>
        <v>2.0988230534600481E-3</v>
      </c>
      <c r="AJ13" s="26">
        <f t="shared" si="8"/>
        <v>5.1542773473445859E-2</v>
      </c>
      <c r="AK13" s="26">
        <f t="shared" si="9"/>
        <v>5.1201632282448048E-2</v>
      </c>
      <c r="AL13" s="26"/>
      <c r="AM13" s="26">
        <f t="shared" si="10"/>
        <v>2.7335011584828976E-2</v>
      </c>
      <c r="AN13" s="26">
        <f t="shared" si="10"/>
        <v>2.5843416895718598E-2</v>
      </c>
      <c r="AO13" s="26"/>
      <c r="AP13" s="26">
        <f t="shared" si="11"/>
        <v>2.233913931986688E-2</v>
      </c>
      <c r="AQ13" s="26">
        <f t="shared" si="12"/>
        <v>2.0988230534600479E-2</v>
      </c>
      <c r="AR13" s="26"/>
      <c r="AS13" s="28">
        <f t="shared" si="13"/>
        <v>90</v>
      </c>
      <c r="AU13" s="26">
        <f t="shared" si="14"/>
        <v>9.5856338557109497E-3</v>
      </c>
      <c r="AV13" s="26">
        <f t="shared" si="14"/>
        <v>9.7158180938363339E-3</v>
      </c>
      <c r="AX13" s="26">
        <f t="shared" si="15"/>
        <v>7.0977118247794154E-3</v>
      </c>
      <c r="AY13" s="26">
        <f t="shared" si="15"/>
        <v>6.6557183257068952E-3</v>
      </c>
      <c r="BA13" s="26">
        <f t="shared" si="16"/>
        <v>6.4352938801536513E-3</v>
      </c>
      <c r="BB13" s="26">
        <f t="shared" si="16"/>
        <v>7.025979663887327E-3</v>
      </c>
    </row>
    <row r="14" spans="1:54" x14ac:dyDescent="0.25">
      <c r="A14" s="10">
        <v>9</v>
      </c>
      <c r="C14" s="4">
        <v>1095634</v>
      </c>
      <c r="D14" s="4">
        <v>1093997</v>
      </c>
      <c r="F14" s="4">
        <v>172151.88931100001</v>
      </c>
      <c r="G14" s="4">
        <v>160161.59430299999</v>
      </c>
      <c r="I14" s="4">
        <v>142035.864199</v>
      </c>
      <c r="J14" s="4">
        <v>139759.632977</v>
      </c>
      <c r="M14">
        <f t="shared" si="17"/>
        <v>85</v>
      </c>
      <c r="N14">
        <f t="shared" si="17"/>
        <v>94</v>
      </c>
      <c r="O14">
        <f t="shared" si="0"/>
        <v>90</v>
      </c>
      <c r="P14">
        <f t="shared" si="1"/>
        <v>10</v>
      </c>
      <c r="R14" s="23">
        <f>SUM(C90:C99)</f>
        <v>95058</v>
      </c>
      <c r="S14" s="23">
        <f>SUM(D90:D99)</f>
        <v>96349</v>
      </c>
      <c r="T14" s="23"/>
      <c r="U14" s="23">
        <f>SUM(F90:F99)</f>
        <v>9008.4406899999994</v>
      </c>
      <c r="V14" s="23">
        <f>SUM(G90:G99)</f>
        <v>8447.4609939999991</v>
      </c>
      <c r="W14" s="23"/>
      <c r="X14" s="23">
        <f>SUM(I90:I99)</f>
        <v>8740.9492599999994</v>
      </c>
      <c r="Y14" s="23">
        <f>SUM(J90:J99)</f>
        <v>9543.2676250000004</v>
      </c>
      <c r="AA14" s="24">
        <f t="shared" si="2"/>
        <v>9.5856338557109497E-4</v>
      </c>
      <c r="AB14" s="24">
        <f t="shared" si="3"/>
        <v>9.7158180938363347E-4</v>
      </c>
      <c r="AC14" s="24"/>
      <c r="AD14" s="24">
        <f t="shared" si="4"/>
        <v>7.0977118247794149E-4</v>
      </c>
      <c r="AE14" s="24">
        <f t="shared" si="5"/>
        <v>6.6557183257068958E-4</v>
      </c>
      <c r="AF14" s="24"/>
      <c r="AG14" s="24">
        <f t="shared" si="6"/>
        <v>6.4352938801536517E-4</v>
      </c>
      <c r="AH14" s="24">
        <f t="shared" si="7"/>
        <v>7.0259796638873272E-4</v>
      </c>
      <c r="AJ14" s="26">
        <f t="shared" si="8"/>
        <v>9.5856338557109497E-3</v>
      </c>
      <c r="AK14" s="26">
        <f t="shared" si="9"/>
        <v>9.7158180938363339E-3</v>
      </c>
      <c r="AL14" s="26"/>
      <c r="AM14" s="26">
        <f t="shared" si="10"/>
        <v>7.0977118247794154E-3</v>
      </c>
      <c r="AN14" s="26">
        <f t="shared" si="10"/>
        <v>6.6557183257068952E-3</v>
      </c>
      <c r="AO14" s="26"/>
      <c r="AP14" s="26">
        <f t="shared" si="11"/>
        <v>6.4352938801536513E-3</v>
      </c>
      <c r="AQ14" s="26">
        <f t="shared" si="12"/>
        <v>7.025979663887327E-3</v>
      </c>
      <c r="AR14" s="26"/>
      <c r="AS14" s="28">
        <f t="shared" si="13"/>
        <v>100</v>
      </c>
      <c r="AU14" s="26">
        <f t="shared" si="14"/>
        <v>1.4886986114988825E-3</v>
      </c>
      <c r="AV14" s="26">
        <f t="shared" si="14"/>
        <v>1.6005299980837405E-3</v>
      </c>
      <c r="AX14" s="26">
        <f t="shared" si="15"/>
        <v>1.7148318004168307E-3</v>
      </c>
      <c r="AY14" s="26">
        <f t="shared" si="15"/>
        <v>1.7447291817272402E-3</v>
      </c>
      <c r="BA14" s="26">
        <f t="shared" si="16"/>
        <v>1.992424788502368E-3</v>
      </c>
      <c r="BB14" s="26">
        <f t="shared" si="16"/>
        <v>2.5682638758206021E-3</v>
      </c>
    </row>
    <row r="15" spans="1:54" x14ac:dyDescent="0.25">
      <c r="A15" s="10">
        <v>10</v>
      </c>
      <c r="C15" s="4">
        <v>1204078</v>
      </c>
      <c r="D15" s="4">
        <v>1215355</v>
      </c>
      <c r="F15" s="4">
        <v>162796.83673000001</v>
      </c>
      <c r="G15" s="4">
        <v>150109.96432500001</v>
      </c>
      <c r="I15" s="4">
        <v>143650.85876599999</v>
      </c>
      <c r="J15" s="4">
        <v>144006.02971599999</v>
      </c>
      <c r="M15">
        <f t="shared" si="17"/>
        <v>95</v>
      </c>
      <c r="N15">
        <f t="shared" si="17"/>
        <v>104</v>
      </c>
      <c r="O15">
        <f t="shared" si="0"/>
        <v>100</v>
      </c>
      <c r="P15">
        <f t="shared" si="1"/>
        <v>10</v>
      </c>
      <c r="R15" s="23">
        <f>SUM(C100:C109)</f>
        <v>14763</v>
      </c>
      <c r="S15" s="23">
        <f>SUM(D100:D109)</f>
        <v>15872</v>
      </c>
      <c r="T15" s="23"/>
      <c r="U15" s="23">
        <f>SUM(F100:F109)</f>
        <v>2176.470523</v>
      </c>
      <c r="V15" s="23">
        <f>SUM(G100:G109)</f>
        <v>2214.4163840000001</v>
      </c>
      <c r="W15" s="23"/>
      <c r="X15" s="23">
        <f>SUM(I100:I109)</f>
        <v>2706.2764040000002</v>
      </c>
      <c r="Y15" s="23">
        <f>SUM(J100:J109)</f>
        <v>3488.4287560000002</v>
      </c>
      <c r="AA15" s="24">
        <f t="shared" si="2"/>
        <v>1.4886986114988823E-4</v>
      </c>
      <c r="AB15" s="24">
        <f t="shared" si="3"/>
        <v>1.6005299980837405E-4</v>
      </c>
      <c r="AC15" s="24"/>
      <c r="AD15" s="24">
        <f t="shared" si="4"/>
        <v>1.7148318004168308E-4</v>
      </c>
      <c r="AE15" s="24">
        <f t="shared" si="5"/>
        <v>1.7447291817272403E-4</v>
      </c>
      <c r="AF15" s="24"/>
      <c r="AG15" s="24">
        <f t="shared" si="6"/>
        <v>1.9924247885023683E-4</v>
      </c>
      <c r="AH15" s="24">
        <f t="shared" si="7"/>
        <v>2.5682638758206018E-4</v>
      </c>
      <c r="AJ15" s="26">
        <f t="shared" si="8"/>
        <v>1.4886986114988825E-3</v>
      </c>
      <c r="AK15" s="26">
        <f t="shared" si="9"/>
        <v>1.6005299980837405E-3</v>
      </c>
      <c r="AL15" s="26"/>
      <c r="AM15" s="26">
        <f t="shared" si="10"/>
        <v>1.7148318004168307E-3</v>
      </c>
      <c r="AN15" s="26">
        <f t="shared" si="10"/>
        <v>1.7447291817272402E-3</v>
      </c>
      <c r="AO15" s="26"/>
      <c r="AP15" s="26">
        <f t="shared" si="11"/>
        <v>1.992424788502368E-3</v>
      </c>
      <c r="AQ15" s="26">
        <f t="shared" si="12"/>
        <v>2.5682638758206021E-3</v>
      </c>
      <c r="AR15" s="26"/>
      <c r="AS15" s="27">
        <f t="shared" si="13"/>
        <v>107.5</v>
      </c>
      <c r="AU15" s="26">
        <f t="shared" si="14"/>
        <v>1.3351195296515072E-4</v>
      </c>
      <c r="AV15" s="26">
        <f t="shared" si="14"/>
        <v>1.3976402327016535E-4</v>
      </c>
      <c r="AX15" s="26">
        <f t="shared" si="15"/>
        <v>7.2464691438382017E-5</v>
      </c>
      <c r="AY15" s="26">
        <f t="shared" si="15"/>
        <v>9.2582168265387317E-5</v>
      </c>
      <c r="BA15" s="26">
        <f t="shared" si="16"/>
        <v>1.081179707714792E-3</v>
      </c>
      <c r="BB15" s="26">
        <f t="shared" si="16"/>
        <v>1.5659405702452441E-3</v>
      </c>
    </row>
    <row r="16" spans="1:54" x14ac:dyDescent="0.25">
      <c r="A16" s="10">
        <v>11</v>
      </c>
      <c r="C16" s="4">
        <v>981933</v>
      </c>
      <c r="D16" s="4">
        <v>969224</v>
      </c>
      <c r="F16" s="4">
        <v>150970.82108200001</v>
      </c>
      <c r="G16" s="4">
        <v>137158.939973</v>
      </c>
      <c r="I16" s="4">
        <v>143934.28624399999</v>
      </c>
      <c r="J16" s="4">
        <v>146672.55347000001</v>
      </c>
      <c r="M16">
        <f t="shared" si="17"/>
        <v>105</v>
      </c>
      <c r="N16">
        <v>109</v>
      </c>
      <c r="O16">
        <f t="shared" si="0"/>
        <v>107.5</v>
      </c>
      <c r="P16">
        <f t="shared" si="1"/>
        <v>5</v>
      </c>
      <c r="R16" s="23">
        <f>SUM(C110:C114)</f>
        <v>662</v>
      </c>
      <c r="S16" s="23">
        <f>SUM(D110:D114)</f>
        <v>693</v>
      </c>
      <c r="T16" s="23"/>
      <c r="U16" s="23">
        <f>SUM(F110:F114)</f>
        <v>45.986219999999996</v>
      </c>
      <c r="V16" s="23">
        <f>SUM(G110:G114)</f>
        <v>58.752805999999993</v>
      </c>
      <c r="W16" s="23"/>
      <c r="X16" s="23">
        <f>SUM(I110:I114)</f>
        <v>734.27392299999997</v>
      </c>
      <c r="Y16" s="23">
        <f>SUM(J110:J114)</f>
        <v>1063.4951040000001</v>
      </c>
      <c r="AA16" s="24">
        <f t="shared" si="2"/>
        <v>6.6755976482575362E-6</v>
      </c>
      <c r="AB16" s="24">
        <f t="shared" si="3"/>
        <v>6.9882011635082667E-6</v>
      </c>
      <c r="AC16" s="24"/>
      <c r="AD16" s="24">
        <f t="shared" si="4"/>
        <v>3.6232345719191011E-6</v>
      </c>
      <c r="AE16" s="24">
        <f t="shared" si="5"/>
        <v>4.629108413269366E-6</v>
      </c>
      <c r="AF16" s="24"/>
      <c r="AG16" s="24">
        <f t="shared" si="6"/>
        <v>5.4058985385739601E-5</v>
      </c>
      <c r="AH16" s="24">
        <f t="shared" si="7"/>
        <v>7.8297028512262212E-5</v>
      </c>
      <c r="AJ16" s="26">
        <f t="shared" si="8"/>
        <v>1.3351195296515072E-4</v>
      </c>
      <c r="AK16" s="26">
        <f t="shared" si="9"/>
        <v>1.3976402327016535E-4</v>
      </c>
      <c r="AL16" s="26"/>
      <c r="AM16" s="26">
        <f t="shared" si="10"/>
        <v>7.2464691438382017E-5</v>
      </c>
      <c r="AN16" s="26">
        <f t="shared" si="10"/>
        <v>9.2582168265387317E-5</v>
      </c>
      <c r="AO16" s="26"/>
      <c r="AP16" s="26">
        <f t="shared" si="11"/>
        <v>1.081179707714792E-3</v>
      </c>
      <c r="AQ16" s="26">
        <f t="shared" si="12"/>
        <v>1.5659405702452441E-3</v>
      </c>
      <c r="AR16" s="26"/>
      <c r="AS16" s="26"/>
    </row>
    <row r="17" spans="1:34" x14ac:dyDescent="0.25">
      <c r="A17" s="10">
        <v>12</v>
      </c>
      <c r="C17" s="4">
        <v>1276307</v>
      </c>
      <c r="D17" s="4">
        <v>1281067</v>
      </c>
      <c r="F17" s="4">
        <v>142182.52061400001</v>
      </c>
      <c r="G17" s="4">
        <v>130136.512389</v>
      </c>
      <c r="I17" s="4">
        <v>143952.45323799999</v>
      </c>
      <c r="J17" s="4">
        <v>148936.05990200001</v>
      </c>
      <c r="R17" s="21"/>
      <c r="S17" s="21"/>
      <c r="T17" s="21"/>
      <c r="U17" s="21"/>
      <c r="V17" s="21"/>
      <c r="W17" s="21"/>
      <c r="X17" s="21"/>
      <c r="Y17" s="21"/>
      <c r="AA17" s="24"/>
      <c r="AB17" s="24"/>
      <c r="AC17" s="24"/>
      <c r="AD17" s="24"/>
      <c r="AE17" s="24"/>
      <c r="AF17" s="24"/>
      <c r="AG17" s="24"/>
      <c r="AH17" s="24"/>
    </row>
    <row r="18" spans="1:34" x14ac:dyDescent="0.25">
      <c r="A18" s="10">
        <v>13</v>
      </c>
      <c r="C18" s="4">
        <v>1052707</v>
      </c>
      <c r="D18" s="4">
        <v>1058899</v>
      </c>
      <c r="F18" s="4">
        <v>135317.71759300001</v>
      </c>
      <c r="G18" s="4">
        <v>127204.51951100001</v>
      </c>
      <c r="I18" s="4">
        <v>143594.29219400001</v>
      </c>
      <c r="J18" s="4">
        <v>150665.163157</v>
      </c>
      <c r="N18" t="s">
        <v>119</v>
      </c>
      <c r="R18" s="22">
        <f>SUM(R5:R16)</f>
        <v>48696122</v>
      </c>
      <c r="S18" s="22">
        <f>SUM(S5:S16)</f>
        <v>50471029</v>
      </c>
      <c r="T18" s="22"/>
      <c r="U18" s="22">
        <f>SUM(U5:U16)</f>
        <v>6294249.9999969983</v>
      </c>
      <c r="V18" s="22">
        <f>SUM(V5:V16)</f>
        <v>6397785.0000009993</v>
      </c>
      <c r="W18" s="22"/>
      <c r="X18" s="22">
        <f>SUM(X5:X16)</f>
        <v>6740685.6863400005</v>
      </c>
      <c r="Y18" s="22">
        <f>SUM(Y5:Y16)</f>
        <v>6842142.7326650014</v>
      </c>
      <c r="AA18" s="24">
        <f>SUM(AA5:AA16)</f>
        <v>0.4910509327831753</v>
      </c>
      <c r="AB18" s="24">
        <f>SUM(AB5:AB16)</f>
        <v>0.50894906721682476</v>
      </c>
      <c r="AC18" s="24"/>
      <c r="AD18" s="24">
        <f>SUM(AD5:AD16)</f>
        <v>0.49592126085359783</v>
      </c>
      <c r="AE18" s="24">
        <f>SUM(AE5:AE16)</f>
        <v>0.50407873914640233</v>
      </c>
      <c r="AF18" s="24"/>
      <c r="AG18" s="24">
        <f>SUM(AG5:AG16)</f>
        <v>0.49626524597104366</v>
      </c>
      <c r="AH18" s="24">
        <f>SUM(AH5:AH16)</f>
        <v>0.50373475402895607</v>
      </c>
    </row>
    <row r="19" spans="1:34" x14ac:dyDescent="0.25">
      <c r="A19" s="10">
        <v>14</v>
      </c>
      <c r="C19" s="4">
        <v>1023946</v>
      </c>
      <c r="D19" s="4">
        <v>1049048</v>
      </c>
      <c r="F19" s="4">
        <v>130386.164357</v>
      </c>
      <c r="G19" s="4">
        <v>128447.80229199999</v>
      </c>
      <c r="I19" s="4">
        <v>142866.86251000001</v>
      </c>
      <c r="J19" s="4">
        <v>151860.55505900001</v>
      </c>
      <c r="R19" s="21"/>
      <c r="S19" s="21"/>
      <c r="T19" s="21"/>
      <c r="U19" s="21"/>
      <c r="V19" s="21"/>
      <c r="W19" s="21"/>
      <c r="X19" s="21"/>
      <c r="Y19" s="21"/>
      <c r="AB19" s="24">
        <f>AB18+AA18</f>
        <v>1</v>
      </c>
      <c r="AE19" s="24">
        <f>AE18+AD18</f>
        <v>1.0000000000000002</v>
      </c>
      <c r="AH19" s="24">
        <f>AH18+AG18</f>
        <v>0.99999999999999978</v>
      </c>
    </row>
    <row r="20" spans="1:34" x14ac:dyDescent="0.25">
      <c r="A20" s="10">
        <v>15</v>
      </c>
      <c r="C20" s="4">
        <v>992837</v>
      </c>
      <c r="D20" s="4">
        <v>1022042</v>
      </c>
      <c r="F20" s="4">
        <v>127230.77635299999</v>
      </c>
      <c r="G20" s="4">
        <v>133647.22583499999</v>
      </c>
      <c r="I20" s="4">
        <v>141772.347718</v>
      </c>
      <c r="J20" s="4">
        <v>152518.354162</v>
      </c>
      <c r="R20" s="22"/>
      <c r="S20" s="22"/>
      <c r="T20" s="22"/>
      <c r="U20" s="22"/>
      <c r="V20" s="22"/>
      <c r="W20" s="22"/>
      <c r="X20" s="22"/>
      <c r="Y20" s="22"/>
    </row>
    <row r="21" spans="1:34" x14ac:dyDescent="0.25">
      <c r="A21" s="10">
        <v>16</v>
      </c>
      <c r="C21" s="4">
        <v>984612</v>
      </c>
      <c r="D21" s="4">
        <v>1094871</v>
      </c>
      <c r="F21" s="4">
        <v>126591.61705099999</v>
      </c>
      <c r="G21" s="4">
        <v>145392.73318099999</v>
      </c>
      <c r="I21" s="4">
        <v>140313.43857</v>
      </c>
      <c r="J21" s="4">
        <v>152636.08783199999</v>
      </c>
      <c r="R21" s="21"/>
      <c r="S21" s="21"/>
      <c r="T21" s="21"/>
      <c r="U21" s="21"/>
      <c r="V21" s="21"/>
      <c r="W21" s="21"/>
      <c r="X21" s="21"/>
      <c r="Y21" s="21"/>
    </row>
    <row r="22" spans="1:34" x14ac:dyDescent="0.25">
      <c r="A22" s="10">
        <v>17</v>
      </c>
      <c r="C22" s="4">
        <v>978629</v>
      </c>
      <c r="D22" s="4">
        <v>1098460</v>
      </c>
      <c r="F22" s="4">
        <v>123934.428118</v>
      </c>
      <c r="G22" s="4">
        <v>150130.57107000001</v>
      </c>
      <c r="I22" s="4">
        <v>138493.879109</v>
      </c>
      <c r="J22" s="4">
        <v>152213.35030600001</v>
      </c>
      <c r="R22" s="21"/>
      <c r="S22" s="21"/>
      <c r="T22" s="21"/>
      <c r="U22" s="21"/>
      <c r="V22" s="21"/>
      <c r="W22" s="21"/>
      <c r="X22" s="21"/>
      <c r="Y22" s="21"/>
    </row>
    <row r="23" spans="1:34" x14ac:dyDescent="0.25">
      <c r="A23" s="10">
        <v>18</v>
      </c>
      <c r="C23" s="4">
        <v>998723</v>
      </c>
      <c r="D23" s="4">
        <v>1089350</v>
      </c>
      <c r="F23" s="4">
        <v>120078.583491</v>
      </c>
      <c r="G23" s="4">
        <v>149992.543592</v>
      </c>
      <c r="I23" s="4">
        <v>136317.86293599999</v>
      </c>
      <c r="J23" s="4">
        <v>151251.434331</v>
      </c>
      <c r="R23" s="21"/>
      <c r="S23" s="21"/>
      <c r="T23" s="21"/>
      <c r="U23" s="21"/>
      <c r="V23" s="21"/>
      <c r="W23" s="21"/>
      <c r="X23" s="21"/>
      <c r="Y23" s="21"/>
    </row>
    <row r="24" spans="1:34" x14ac:dyDescent="0.25">
      <c r="A24" s="10">
        <v>19</v>
      </c>
      <c r="C24" s="4">
        <v>848201</v>
      </c>
      <c r="D24" s="4">
        <v>897488</v>
      </c>
      <c r="F24" s="4">
        <v>114974.166843</v>
      </c>
      <c r="G24" s="4">
        <v>144728.62731400001</v>
      </c>
      <c r="I24" s="4">
        <v>133799.718715</v>
      </c>
      <c r="J24" s="4">
        <v>149757.412063</v>
      </c>
      <c r="R24" s="21"/>
      <c r="S24" s="21"/>
      <c r="T24" s="21"/>
      <c r="U24" s="21"/>
      <c r="V24" s="21"/>
      <c r="W24" s="21"/>
      <c r="X24" s="21"/>
      <c r="Y24" s="21"/>
    </row>
    <row r="25" spans="1:34" x14ac:dyDescent="0.25">
      <c r="A25" s="10">
        <v>20</v>
      </c>
      <c r="C25" s="4">
        <v>879164</v>
      </c>
      <c r="D25" s="4">
        <v>1192042</v>
      </c>
      <c r="F25" s="4">
        <v>108806.204497</v>
      </c>
      <c r="G25" s="4">
        <v>134808.52484299999</v>
      </c>
      <c r="I25" s="4">
        <v>130861.82105899999</v>
      </c>
      <c r="J25" s="4">
        <v>147701.29585200001</v>
      </c>
      <c r="R25" s="21"/>
      <c r="S25" s="21"/>
      <c r="T25" s="21"/>
      <c r="U25" s="21"/>
      <c r="V25" s="21"/>
      <c r="W25" s="21"/>
      <c r="X25" s="21"/>
      <c r="Y25" s="21"/>
    </row>
    <row r="26" spans="1:34" x14ac:dyDescent="0.25">
      <c r="A26" s="10">
        <v>21</v>
      </c>
      <c r="C26" s="4">
        <v>800179</v>
      </c>
      <c r="D26" s="4">
        <v>636809</v>
      </c>
      <c r="F26" s="4">
        <v>100408.055322</v>
      </c>
      <c r="G26" s="4">
        <v>117906.64745400001</v>
      </c>
      <c r="I26" s="4">
        <v>127995.420564</v>
      </c>
      <c r="J26" s="4">
        <v>145293.174467</v>
      </c>
      <c r="R26" s="21"/>
      <c r="S26" s="21"/>
      <c r="T26" s="21"/>
      <c r="U26" s="21"/>
      <c r="V26" s="21"/>
      <c r="W26" s="21"/>
      <c r="X26" s="21"/>
      <c r="Y26" s="21"/>
    </row>
    <row r="27" spans="1:34" x14ac:dyDescent="0.25">
      <c r="A27" s="10">
        <v>22</v>
      </c>
      <c r="C27" s="4">
        <v>863687</v>
      </c>
      <c r="D27" s="4">
        <v>885528</v>
      </c>
      <c r="F27" s="4">
        <v>96943.393911000006</v>
      </c>
      <c r="G27" s="4">
        <v>109901.117318</v>
      </c>
      <c r="I27" s="4">
        <v>125115.07411</v>
      </c>
      <c r="J27" s="4">
        <v>142503.64629199999</v>
      </c>
      <c r="R27" s="21"/>
      <c r="S27" s="21"/>
      <c r="T27" s="21"/>
      <c r="U27" s="21"/>
      <c r="V27" s="21"/>
      <c r="W27" s="21"/>
      <c r="X27" s="21"/>
      <c r="Y27" s="21"/>
    </row>
    <row r="28" spans="1:34" x14ac:dyDescent="0.25">
      <c r="A28" s="10">
        <v>23</v>
      </c>
      <c r="C28" s="4">
        <v>791814</v>
      </c>
      <c r="D28" s="4">
        <v>825830</v>
      </c>
      <c r="F28" s="4">
        <v>96983.601095999999</v>
      </c>
      <c r="G28" s="4">
        <v>107454.259011</v>
      </c>
      <c r="I28" s="4">
        <v>122229.80628600001</v>
      </c>
      <c r="J28" s="4">
        <v>139343.67662899999</v>
      </c>
      <c r="R28" s="21"/>
      <c r="S28" s="21"/>
      <c r="T28" s="21"/>
      <c r="U28" s="21"/>
      <c r="V28" s="21"/>
      <c r="W28" s="21"/>
      <c r="X28" s="21"/>
      <c r="Y28" s="21"/>
    </row>
    <row r="29" spans="1:34" x14ac:dyDescent="0.25">
      <c r="A29" s="10">
        <v>24</v>
      </c>
      <c r="C29" s="4">
        <v>690732</v>
      </c>
      <c r="D29" s="4">
        <v>720216</v>
      </c>
      <c r="F29" s="4">
        <v>100680.426706</v>
      </c>
      <c r="G29" s="4">
        <v>110759.880495</v>
      </c>
      <c r="I29" s="4">
        <v>119339.250551</v>
      </c>
      <c r="J29" s="4">
        <v>135821.27983700001</v>
      </c>
      <c r="R29" s="21"/>
      <c r="S29" s="21"/>
      <c r="T29" s="21"/>
      <c r="U29" s="21"/>
      <c r="V29" s="21"/>
      <c r="W29" s="21"/>
      <c r="X29" s="21"/>
      <c r="Y29" s="21"/>
    </row>
    <row r="30" spans="1:34" x14ac:dyDescent="0.25">
      <c r="A30" s="10">
        <v>25</v>
      </c>
      <c r="C30" s="4">
        <v>795114</v>
      </c>
      <c r="D30" s="4">
        <v>1072869</v>
      </c>
      <c r="F30" s="4">
        <v>107877.522964</v>
      </c>
      <c r="G30" s="4">
        <v>119557.09572300001</v>
      </c>
      <c r="I30" s="4">
        <v>116443.507318</v>
      </c>
      <c r="J30" s="4">
        <v>131945.60446900001</v>
      </c>
      <c r="R30" s="21"/>
      <c r="S30" s="21"/>
      <c r="T30" s="21"/>
      <c r="U30" s="21"/>
      <c r="V30" s="21"/>
      <c r="W30" s="21"/>
      <c r="X30" s="21"/>
      <c r="Y30" s="21"/>
    </row>
    <row r="31" spans="1:34" x14ac:dyDescent="0.25">
      <c r="A31" s="10">
        <v>26</v>
      </c>
      <c r="C31" s="4">
        <v>748462</v>
      </c>
      <c r="D31" s="4">
        <v>727473</v>
      </c>
      <c r="F31" s="4">
        <v>121622.406678</v>
      </c>
      <c r="G31" s="4">
        <v>138383.28240900001</v>
      </c>
      <c r="I31" s="4">
        <v>113542.710836</v>
      </c>
      <c r="J31" s="4">
        <v>127726.75391100001</v>
      </c>
      <c r="R31" s="21"/>
      <c r="S31" s="21"/>
      <c r="T31" s="21"/>
      <c r="U31" s="21"/>
      <c r="V31" s="21"/>
      <c r="W31" s="21"/>
      <c r="X31" s="21"/>
      <c r="Y31" s="21"/>
    </row>
    <row r="32" spans="1:34" x14ac:dyDescent="0.25">
      <c r="A32" s="10">
        <v>27</v>
      </c>
      <c r="C32" s="4">
        <v>785934</v>
      </c>
      <c r="D32" s="4">
        <v>760804</v>
      </c>
      <c r="F32" s="4">
        <v>126433.939229</v>
      </c>
      <c r="G32" s="4">
        <v>144767.14484600001</v>
      </c>
      <c r="I32" s="4">
        <v>110636.99037</v>
      </c>
      <c r="J32" s="4">
        <v>123175.656735</v>
      </c>
      <c r="R32" s="21"/>
      <c r="S32" s="21"/>
      <c r="T32" s="21"/>
      <c r="U32" s="21"/>
      <c r="V32" s="21"/>
      <c r="W32" s="21"/>
      <c r="X32" s="21"/>
      <c r="Y32" s="21"/>
    </row>
    <row r="33" spans="1:25" x14ac:dyDescent="0.25">
      <c r="A33" s="10">
        <v>28</v>
      </c>
      <c r="C33" s="4">
        <v>785014</v>
      </c>
      <c r="D33" s="4">
        <v>807738</v>
      </c>
      <c r="F33" s="4">
        <v>124620.85107600001</v>
      </c>
      <c r="G33" s="4">
        <v>141996.95731999999</v>
      </c>
      <c r="I33" s="4">
        <v>107726.566362</v>
      </c>
      <c r="J33" s="4">
        <v>118303.315307</v>
      </c>
      <c r="R33" s="21"/>
      <c r="S33" s="21"/>
      <c r="T33" s="21"/>
      <c r="U33" s="21"/>
      <c r="V33" s="21"/>
      <c r="W33" s="21"/>
      <c r="X33" s="21"/>
      <c r="Y33" s="21"/>
    </row>
    <row r="34" spans="1:25" x14ac:dyDescent="0.25">
      <c r="A34" s="10">
        <v>29</v>
      </c>
      <c r="C34" s="4">
        <v>505001</v>
      </c>
      <c r="D34" s="4">
        <v>439289</v>
      </c>
      <c r="F34" s="4">
        <v>115993.873353</v>
      </c>
      <c r="G34" s="4">
        <v>129840.940088</v>
      </c>
      <c r="I34" s="4">
        <v>104809.852545</v>
      </c>
      <c r="J34" s="4">
        <v>113137.59650100001</v>
      </c>
      <c r="R34" s="21"/>
      <c r="S34" s="21"/>
      <c r="T34" s="21"/>
      <c r="U34" s="21"/>
      <c r="V34" s="21"/>
      <c r="W34" s="21"/>
      <c r="X34" s="21"/>
      <c r="Y34" s="21"/>
    </row>
    <row r="35" spans="1:25" x14ac:dyDescent="0.25">
      <c r="A35" s="10">
        <v>30</v>
      </c>
      <c r="C35" s="4">
        <v>1055694</v>
      </c>
      <c r="D35" s="4">
        <v>1376799</v>
      </c>
      <c r="F35" s="4">
        <v>101378.929665</v>
      </c>
      <c r="G35" s="4">
        <v>109577.67533699999</v>
      </c>
      <c r="I35" s="4">
        <v>101903.47406199999</v>
      </c>
      <c r="J35" s="4">
        <v>107545.51033400001</v>
      </c>
      <c r="R35" s="21"/>
      <c r="S35" s="21"/>
      <c r="T35" s="21"/>
      <c r="U35" s="21"/>
      <c r="V35" s="21"/>
      <c r="W35" s="21"/>
      <c r="X35" s="21"/>
      <c r="Y35" s="21"/>
    </row>
    <row r="36" spans="1:25" x14ac:dyDescent="0.25">
      <c r="A36" s="10">
        <v>31</v>
      </c>
      <c r="C36" s="4">
        <v>401717</v>
      </c>
      <c r="D36" s="4">
        <v>339826</v>
      </c>
      <c r="F36" s="4">
        <v>78293.921172000002</v>
      </c>
      <c r="G36" s="4">
        <v>78150.729697000002</v>
      </c>
      <c r="I36" s="4">
        <v>98912.591004999995</v>
      </c>
      <c r="J36" s="4">
        <v>102385.095978</v>
      </c>
      <c r="R36" s="21"/>
      <c r="S36" s="21"/>
      <c r="T36" s="21"/>
      <c r="U36" s="21"/>
      <c r="V36" s="21"/>
      <c r="W36" s="21"/>
      <c r="X36" s="21"/>
      <c r="Y36" s="21"/>
    </row>
    <row r="37" spans="1:25" x14ac:dyDescent="0.25">
      <c r="A37" s="10">
        <v>32</v>
      </c>
      <c r="C37" s="4">
        <v>602761</v>
      </c>
      <c r="D37" s="4">
        <v>581295</v>
      </c>
      <c r="F37" s="4">
        <v>66870.878748000003</v>
      </c>
      <c r="G37" s="4">
        <v>62945.733689000001</v>
      </c>
      <c r="I37" s="4">
        <v>95856.114881999994</v>
      </c>
      <c r="J37" s="4">
        <v>97489.884602000006</v>
      </c>
      <c r="R37" s="21"/>
      <c r="S37" s="21"/>
      <c r="T37" s="21"/>
      <c r="U37" s="21"/>
      <c r="V37" s="21"/>
      <c r="W37" s="21"/>
      <c r="X37" s="21"/>
      <c r="Y37" s="21"/>
    </row>
    <row r="38" spans="1:25" x14ac:dyDescent="0.25">
      <c r="A38" s="10">
        <v>33</v>
      </c>
      <c r="C38" s="4">
        <v>573913</v>
      </c>
      <c r="D38" s="4">
        <v>527699</v>
      </c>
      <c r="F38" s="4">
        <v>62019.321947999997</v>
      </c>
      <c r="G38" s="4">
        <v>56262.150917999999</v>
      </c>
      <c r="I38" s="4">
        <v>92734.367490999997</v>
      </c>
      <c r="J38" s="4">
        <v>92862.336878000002</v>
      </c>
      <c r="R38" s="21"/>
      <c r="S38" s="21"/>
      <c r="T38" s="21"/>
      <c r="U38" s="21"/>
      <c r="V38" s="21"/>
      <c r="W38" s="21"/>
      <c r="X38" s="21"/>
      <c r="Y38" s="21"/>
    </row>
    <row r="39" spans="1:25" x14ac:dyDescent="0.25">
      <c r="A39" s="10">
        <v>34</v>
      </c>
      <c r="C39" s="4">
        <v>431960</v>
      </c>
      <c r="D39" s="4">
        <v>437786</v>
      </c>
      <c r="F39" s="4">
        <v>63658.671900000001</v>
      </c>
      <c r="G39" s="4">
        <v>57730.709213000002</v>
      </c>
      <c r="I39" s="4">
        <v>89549.568486000004</v>
      </c>
      <c r="J39" s="4">
        <v>88488.913308000003</v>
      </c>
      <c r="R39" s="21"/>
      <c r="S39" s="21"/>
      <c r="T39" s="21"/>
      <c r="U39" s="21"/>
      <c r="V39" s="21"/>
      <c r="W39" s="21"/>
      <c r="X39" s="21"/>
      <c r="Y39" s="21"/>
    </row>
    <row r="40" spans="1:25" x14ac:dyDescent="0.25">
      <c r="A40" s="10">
        <v>35</v>
      </c>
      <c r="C40" s="4">
        <v>813420</v>
      </c>
      <c r="D40" s="4">
        <v>952338</v>
      </c>
      <c r="F40" s="4">
        <v>71520.206233000004</v>
      </c>
      <c r="G40" s="4">
        <v>67003.676483000003</v>
      </c>
      <c r="I40" s="4">
        <v>86303.887029999998</v>
      </c>
      <c r="J40" s="4">
        <v>84357.602375000002</v>
      </c>
      <c r="R40" s="21"/>
      <c r="S40" s="21"/>
      <c r="T40" s="21"/>
      <c r="U40" s="21"/>
      <c r="V40" s="21"/>
      <c r="W40" s="21"/>
      <c r="X40" s="21"/>
      <c r="Y40" s="21"/>
    </row>
    <row r="41" spans="1:25" x14ac:dyDescent="0.25">
      <c r="A41" s="10">
        <v>36</v>
      </c>
      <c r="C41" s="4">
        <v>570698</v>
      </c>
      <c r="D41" s="4">
        <v>543752</v>
      </c>
      <c r="F41" s="4">
        <v>90490.455258000002</v>
      </c>
      <c r="G41" s="4">
        <v>90597.887896</v>
      </c>
      <c r="I41" s="4">
        <v>82999.53529</v>
      </c>
      <c r="J41" s="4">
        <v>80457.117631999994</v>
      </c>
      <c r="R41" s="21"/>
      <c r="S41" s="21"/>
      <c r="T41" s="21"/>
      <c r="U41" s="21"/>
      <c r="V41" s="21"/>
      <c r="W41" s="21"/>
      <c r="X41" s="21"/>
      <c r="Y41" s="21"/>
    </row>
    <row r="42" spans="1:25" x14ac:dyDescent="0.25">
      <c r="A42" s="10">
        <v>37</v>
      </c>
      <c r="C42" s="4">
        <v>584686</v>
      </c>
      <c r="D42" s="4">
        <v>542612</v>
      </c>
      <c r="F42" s="4">
        <v>98985.654559999995</v>
      </c>
      <c r="G42" s="4">
        <v>101809.05334499999</v>
      </c>
      <c r="I42" s="4">
        <v>79638.741829999999</v>
      </c>
      <c r="J42" s="4">
        <v>76776.786017000006</v>
      </c>
      <c r="R42" s="21"/>
      <c r="S42" s="21"/>
      <c r="T42" s="21"/>
      <c r="U42" s="21"/>
      <c r="V42" s="21"/>
      <c r="W42" s="21"/>
      <c r="X42" s="21"/>
      <c r="Y42" s="21"/>
    </row>
    <row r="43" spans="1:25" x14ac:dyDescent="0.25">
      <c r="A43" s="10">
        <v>38</v>
      </c>
      <c r="C43" s="4">
        <v>632533</v>
      </c>
      <c r="D43" s="4">
        <v>605566</v>
      </c>
      <c r="F43" s="4">
        <v>99818.165691000002</v>
      </c>
      <c r="G43" s="4">
        <v>103854.011554</v>
      </c>
      <c r="I43" s="4">
        <v>76223.445089000001</v>
      </c>
      <c r="J43" s="4">
        <v>73306.583901000005</v>
      </c>
      <c r="R43" s="21"/>
      <c r="S43" s="21"/>
      <c r="T43" s="21"/>
      <c r="U43" s="21"/>
      <c r="V43" s="21"/>
      <c r="W43" s="21"/>
      <c r="X43" s="21"/>
      <c r="Y43" s="21"/>
    </row>
    <row r="44" spans="1:25" x14ac:dyDescent="0.25">
      <c r="A44" s="10">
        <v>39</v>
      </c>
      <c r="C44" s="4">
        <v>399785</v>
      </c>
      <c r="D44" s="4">
        <v>340628</v>
      </c>
      <c r="F44" s="4">
        <v>92534.057245999997</v>
      </c>
      <c r="G44" s="4">
        <v>96068.193660999998</v>
      </c>
      <c r="I44" s="4">
        <v>72762.274833999996</v>
      </c>
      <c r="J44" s="4">
        <v>70036.168974</v>
      </c>
      <c r="R44" s="21"/>
      <c r="S44" s="21"/>
      <c r="T44" s="21"/>
      <c r="U44" s="21"/>
      <c r="V44" s="21"/>
      <c r="W44" s="21"/>
      <c r="X44" s="21"/>
      <c r="Y44" s="21"/>
    </row>
    <row r="45" spans="1:25" x14ac:dyDescent="0.25">
      <c r="A45" s="10">
        <v>40</v>
      </c>
      <c r="C45" s="4">
        <v>905505</v>
      </c>
      <c r="D45" s="4">
        <v>1199144</v>
      </c>
      <c r="F45" s="4">
        <v>78094.667243999997</v>
      </c>
      <c r="G45" s="4">
        <v>79630.853543999998</v>
      </c>
      <c r="I45" s="4">
        <v>69196.775120999999</v>
      </c>
      <c r="J45" s="4">
        <v>66964.760410000003</v>
      </c>
      <c r="R45" s="21"/>
      <c r="S45" s="21"/>
      <c r="T45" s="21"/>
      <c r="U45" s="21"/>
      <c r="V45" s="21"/>
      <c r="W45" s="21"/>
      <c r="X45" s="21"/>
      <c r="Y45" s="21"/>
    </row>
    <row r="46" spans="1:25" x14ac:dyDescent="0.25">
      <c r="A46" s="10">
        <v>41</v>
      </c>
      <c r="C46" s="4">
        <v>308069</v>
      </c>
      <c r="D46" s="4">
        <v>256184</v>
      </c>
      <c r="F46" s="4">
        <v>54302.256128000001</v>
      </c>
      <c r="G46" s="4">
        <v>52064.004329000003</v>
      </c>
      <c r="I46" s="4">
        <v>65879.750505999997</v>
      </c>
      <c r="J46" s="4">
        <v>64036.881703999999</v>
      </c>
      <c r="R46" s="21"/>
      <c r="S46" s="21"/>
      <c r="T46" s="21"/>
      <c r="U46" s="21"/>
      <c r="V46" s="21"/>
      <c r="W46" s="21"/>
      <c r="X46" s="21"/>
      <c r="Y46" s="21"/>
    </row>
    <row r="47" spans="1:25" x14ac:dyDescent="0.25">
      <c r="A47" s="10">
        <v>42</v>
      </c>
      <c r="C47" s="4">
        <v>503889</v>
      </c>
      <c r="D47" s="4">
        <v>452626</v>
      </c>
      <c r="F47" s="4">
        <v>42487.023473000001</v>
      </c>
      <c r="G47" s="4">
        <v>39179.037229000001</v>
      </c>
      <c r="I47" s="4">
        <v>62738.754665</v>
      </c>
      <c r="J47" s="4">
        <v>61254.392017999999</v>
      </c>
      <c r="R47" s="21"/>
      <c r="S47" s="21"/>
      <c r="T47" s="21"/>
      <c r="U47" s="21"/>
      <c r="V47" s="21"/>
      <c r="W47" s="21"/>
      <c r="X47" s="21"/>
      <c r="Y47" s="21"/>
    </row>
    <row r="48" spans="1:25" x14ac:dyDescent="0.25">
      <c r="A48" s="10">
        <v>43</v>
      </c>
      <c r="C48" s="4">
        <v>423710</v>
      </c>
      <c r="D48" s="4">
        <v>385797</v>
      </c>
      <c r="F48" s="4">
        <v>36590.668890000001</v>
      </c>
      <c r="G48" s="4">
        <v>33197.206420000002</v>
      </c>
      <c r="I48" s="4">
        <v>59771.684042000001</v>
      </c>
      <c r="J48" s="4">
        <v>58610.128688999997</v>
      </c>
      <c r="R48" s="21"/>
      <c r="S48" s="21"/>
      <c r="T48" s="21"/>
      <c r="U48" s="21"/>
      <c r="V48" s="21"/>
      <c r="W48" s="21"/>
      <c r="X48" s="21"/>
      <c r="Y48" s="21"/>
    </row>
    <row r="49" spans="1:25" x14ac:dyDescent="0.25">
      <c r="A49" s="10">
        <v>44</v>
      </c>
      <c r="C49" s="4">
        <v>341645</v>
      </c>
      <c r="D49" s="4">
        <v>328233</v>
      </c>
      <c r="F49" s="4">
        <v>36190.363254999997</v>
      </c>
      <c r="G49" s="4">
        <v>33550.298563999997</v>
      </c>
      <c r="I49" s="4">
        <v>56969.966621</v>
      </c>
      <c r="J49" s="4">
        <v>56098.171226999999</v>
      </c>
      <c r="R49" s="21"/>
      <c r="S49" s="21"/>
      <c r="T49" s="21"/>
      <c r="U49" s="21"/>
      <c r="V49" s="21"/>
      <c r="W49" s="21"/>
      <c r="X49" s="21"/>
      <c r="Y49" s="21"/>
    </row>
    <row r="50" spans="1:25" x14ac:dyDescent="0.25">
      <c r="A50" s="10">
        <v>45</v>
      </c>
      <c r="C50" s="4">
        <v>715609</v>
      </c>
      <c r="D50" s="4">
        <v>796360</v>
      </c>
      <c r="F50" s="4">
        <v>40882.688255000001</v>
      </c>
      <c r="G50" s="4">
        <v>39868.453458000004</v>
      </c>
      <c r="I50" s="4">
        <v>54325.834146000001</v>
      </c>
      <c r="J50" s="4">
        <v>53712.852355000003</v>
      </c>
      <c r="R50" s="21"/>
      <c r="S50" s="21"/>
      <c r="T50" s="21"/>
      <c r="U50" s="21"/>
      <c r="V50" s="21"/>
      <c r="W50" s="21"/>
      <c r="X50" s="21"/>
      <c r="Y50" s="21"/>
    </row>
    <row r="51" spans="1:25" x14ac:dyDescent="0.25">
      <c r="A51" s="10">
        <v>46</v>
      </c>
      <c r="C51" s="4">
        <v>383680</v>
      </c>
      <c r="D51" s="4">
        <v>340053</v>
      </c>
      <c r="F51" s="4">
        <v>54510.386771999998</v>
      </c>
      <c r="G51" s="4">
        <v>57373.256565000003</v>
      </c>
      <c r="I51" s="4">
        <v>51831.976800999997</v>
      </c>
      <c r="J51" s="4">
        <v>51448.781155999997</v>
      </c>
      <c r="R51" s="21"/>
      <c r="S51" s="21"/>
      <c r="T51" s="21"/>
      <c r="U51" s="21"/>
      <c r="V51" s="21"/>
      <c r="W51" s="21"/>
      <c r="X51" s="21"/>
      <c r="Y51" s="21"/>
    </row>
    <row r="52" spans="1:25" x14ac:dyDescent="0.25">
      <c r="A52" s="10">
        <v>47</v>
      </c>
      <c r="C52" s="4">
        <v>360612</v>
      </c>
      <c r="D52" s="4">
        <v>335352</v>
      </c>
      <c r="F52" s="4">
        <v>60828.770919000002</v>
      </c>
      <c r="G52" s="4">
        <v>65900.869676999995</v>
      </c>
      <c r="I52" s="4">
        <v>49481.503230000002</v>
      </c>
      <c r="J52" s="4">
        <v>49300.859450000004</v>
      </c>
      <c r="R52" s="21"/>
      <c r="S52" s="21"/>
      <c r="T52" s="21"/>
      <c r="U52" s="21"/>
      <c r="V52" s="21"/>
      <c r="W52" s="21"/>
      <c r="X52" s="21"/>
      <c r="Y52" s="21"/>
    </row>
    <row r="53" spans="1:25" x14ac:dyDescent="0.25">
      <c r="A53" s="10">
        <v>48</v>
      </c>
      <c r="C53" s="4">
        <v>440852</v>
      </c>
      <c r="D53" s="4">
        <v>419733</v>
      </c>
      <c r="F53" s="4">
        <v>61885.868154999996</v>
      </c>
      <c r="G53" s="4">
        <v>67739.591021</v>
      </c>
      <c r="I53" s="4">
        <v>47268.068851999997</v>
      </c>
      <c r="J53" s="4">
        <v>47264.476724</v>
      </c>
      <c r="R53" s="21"/>
      <c r="S53" s="21"/>
      <c r="T53" s="21"/>
      <c r="U53" s="21"/>
      <c r="V53" s="21"/>
      <c r="W53" s="21"/>
      <c r="X53" s="21"/>
      <c r="Y53" s="21"/>
    </row>
    <row r="54" spans="1:25" x14ac:dyDescent="0.25">
      <c r="A54" s="10">
        <v>49</v>
      </c>
      <c r="C54" s="4">
        <v>244786</v>
      </c>
      <c r="D54" s="4">
        <v>223859</v>
      </c>
      <c r="F54" s="4">
        <v>57296.935395</v>
      </c>
      <c r="G54" s="4">
        <v>62341.210620999998</v>
      </c>
      <c r="I54" s="4">
        <v>45182.686017</v>
      </c>
      <c r="J54" s="4">
        <v>45330.696266999999</v>
      </c>
      <c r="R54" s="21"/>
      <c r="S54" s="21"/>
      <c r="T54" s="21"/>
      <c r="U54" s="21"/>
      <c r="V54" s="21"/>
      <c r="W54" s="21"/>
      <c r="X54" s="21"/>
      <c r="Y54" s="21"/>
    </row>
    <row r="55" spans="1:25" x14ac:dyDescent="0.25">
      <c r="A55" s="10">
        <v>50</v>
      </c>
      <c r="C55" s="4">
        <v>812835</v>
      </c>
      <c r="D55" s="4">
        <v>1082324</v>
      </c>
      <c r="F55" s="4">
        <v>47737.038759000003</v>
      </c>
      <c r="G55" s="4">
        <v>50604.072116000003</v>
      </c>
      <c r="I55" s="4">
        <v>43247.216828999997</v>
      </c>
      <c r="J55" s="4">
        <v>43537.002263000002</v>
      </c>
      <c r="R55" s="21"/>
      <c r="S55" s="21"/>
      <c r="T55" s="21"/>
      <c r="U55" s="21"/>
      <c r="V55" s="21"/>
      <c r="W55" s="21"/>
      <c r="X55" s="21"/>
      <c r="Y55" s="21"/>
    </row>
    <row r="56" spans="1:25" x14ac:dyDescent="0.25">
      <c r="A56" s="10">
        <v>51</v>
      </c>
      <c r="C56" s="4">
        <v>183378</v>
      </c>
      <c r="D56" s="4">
        <v>170897</v>
      </c>
      <c r="F56" s="4">
        <v>31747.128594000002</v>
      </c>
      <c r="G56" s="4">
        <v>30852.890082000002</v>
      </c>
      <c r="I56" s="4">
        <v>41297.058779999999</v>
      </c>
      <c r="J56" s="4">
        <v>41638.188101</v>
      </c>
      <c r="R56" s="21"/>
      <c r="S56" s="21"/>
      <c r="T56" s="21"/>
      <c r="U56" s="21"/>
      <c r="V56" s="21"/>
      <c r="W56" s="21"/>
      <c r="X56" s="21"/>
      <c r="Y56" s="21"/>
    </row>
    <row r="57" spans="1:25" x14ac:dyDescent="0.25">
      <c r="A57" s="10">
        <v>52</v>
      </c>
      <c r="C57" s="4">
        <v>313188</v>
      </c>
      <c r="D57" s="4">
        <v>295658</v>
      </c>
      <c r="F57" s="4">
        <v>24192.629803</v>
      </c>
      <c r="G57" s="4">
        <v>22053.578691999999</v>
      </c>
      <c r="I57" s="4">
        <v>39360.345169</v>
      </c>
      <c r="J57" s="4">
        <v>39680.400708000001</v>
      </c>
      <c r="R57" s="21"/>
      <c r="S57" s="21"/>
      <c r="T57" s="21"/>
      <c r="U57" s="21"/>
      <c r="V57" s="21"/>
      <c r="W57" s="21"/>
      <c r="X57" s="21"/>
      <c r="Y57" s="21"/>
    </row>
    <row r="58" spans="1:25" x14ac:dyDescent="0.25">
      <c r="A58" s="10">
        <v>53</v>
      </c>
      <c r="C58" s="4">
        <v>259360</v>
      </c>
      <c r="D58" s="4">
        <v>253700</v>
      </c>
      <c r="F58" s="4">
        <v>20669.874688</v>
      </c>
      <c r="G58" s="4">
        <v>18077.861263999999</v>
      </c>
      <c r="I58" s="4">
        <v>37433.595945000001</v>
      </c>
      <c r="J58" s="4">
        <v>37662.107510000002</v>
      </c>
      <c r="R58" s="21"/>
      <c r="S58" s="21"/>
      <c r="T58" s="21"/>
      <c r="U58" s="21"/>
      <c r="V58" s="21"/>
      <c r="W58" s="21"/>
      <c r="X58" s="21"/>
      <c r="Y58" s="21"/>
    </row>
    <row r="59" spans="1:25" x14ac:dyDescent="0.25">
      <c r="A59" s="10">
        <v>54</v>
      </c>
      <c r="C59" s="4">
        <v>210742</v>
      </c>
      <c r="D59" s="4">
        <v>222184</v>
      </c>
      <c r="F59" s="4">
        <v>20871.704826000001</v>
      </c>
      <c r="G59" s="4">
        <v>18410.233086</v>
      </c>
      <c r="I59" s="4">
        <v>35516.480115999999</v>
      </c>
      <c r="J59" s="4">
        <v>35586.622611999999</v>
      </c>
      <c r="R59" s="21"/>
      <c r="S59" s="21"/>
      <c r="T59" s="21"/>
      <c r="U59" s="21"/>
      <c r="V59" s="21"/>
      <c r="W59" s="21"/>
      <c r="X59" s="21"/>
      <c r="Y59" s="21"/>
    </row>
    <row r="60" spans="1:25" x14ac:dyDescent="0.25">
      <c r="A60" s="10">
        <v>55</v>
      </c>
      <c r="C60" s="4">
        <v>542450</v>
      </c>
      <c r="D60" s="4">
        <v>585136</v>
      </c>
      <c r="F60" s="4">
        <v>24590.662089000001</v>
      </c>
      <c r="G60" s="4">
        <v>22818.436876</v>
      </c>
      <c r="I60" s="4">
        <v>33608.512054999999</v>
      </c>
      <c r="J60" s="4">
        <v>33457.108808999998</v>
      </c>
      <c r="R60" s="21"/>
      <c r="S60" s="21"/>
      <c r="T60" s="21"/>
      <c r="U60" s="21"/>
      <c r="V60" s="21"/>
      <c r="W60" s="21"/>
      <c r="X60" s="21"/>
      <c r="Y60" s="21"/>
    </row>
    <row r="61" spans="1:25" x14ac:dyDescent="0.25">
      <c r="A61" s="10">
        <v>56</v>
      </c>
      <c r="C61" s="4">
        <v>288780</v>
      </c>
      <c r="D61" s="4">
        <v>258577</v>
      </c>
      <c r="F61" s="4">
        <v>34727.802004999998</v>
      </c>
      <c r="G61" s="4">
        <v>35218.050477999997</v>
      </c>
      <c r="I61" s="4">
        <v>31709.199503</v>
      </c>
      <c r="J61" s="4">
        <v>31276.802095999999</v>
      </c>
      <c r="R61" s="21"/>
      <c r="S61" s="21"/>
      <c r="T61" s="21"/>
      <c r="U61" s="21"/>
      <c r="V61" s="21"/>
      <c r="W61" s="21"/>
      <c r="X61" s="21"/>
      <c r="Y61" s="21"/>
    </row>
    <row r="62" spans="1:25" x14ac:dyDescent="0.25">
      <c r="A62" s="10">
        <v>57</v>
      </c>
      <c r="C62" s="4">
        <v>232543</v>
      </c>
      <c r="D62" s="4">
        <v>208310</v>
      </c>
      <c r="F62" s="4">
        <v>40074.094840999998</v>
      </c>
      <c r="G62" s="4">
        <v>41713.233390000001</v>
      </c>
      <c r="I62" s="4">
        <v>29818.047525999998</v>
      </c>
      <c r="J62" s="4">
        <v>29048.993923999999</v>
      </c>
      <c r="R62" s="21"/>
      <c r="S62" s="21"/>
      <c r="T62" s="21"/>
      <c r="U62" s="21"/>
      <c r="V62" s="21"/>
      <c r="W62" s="21"/>
      <c r="X62" s="21"/>
      <c r="Y62" s="21"/>
    </row>
    <row r="63" spans="1:25" x14ac:dyDescent="0.25">
      <c r="A63" s="10">
        <v>58</v>
      </c>
      <c r="C63" s="4">
        <v>252281</v>
      </c>
      <c r="D63" s="4">
        <v>233912</v>
      </c>
      <c r="F63" s="4">
        <v>41932.799822000001</v>
      </c>
      <c r="G63" s="4">
        <v>43757.461073999999</v>
      </c>
      <c r="I63" s="4">
        <v>27934.450091999999</v>
      </c>
      <c r="J63" s="4">
        <v>26776.700038999999</v>
      </c>
      <c r="R63" s="21"/>
      <c r="S63" s="21"/>
      <c r="T63" s="21"/>
      <c r="U63" s="21"/>
      <c r="V63" s="21"/>
      <c r="W63" s="21"/>
      <c r="X63" s="21"/>
      <c r="Y63" s="21"/>
    </row>
    <row r="64" spans="1:25" x14ac:dyDescent="0.25">
      <c r="A64" s="10">
        <v>59</v>
      </c>
      <c r="C64" s="4">
        <v>140690</v>
      </c>
      <c r="D64" s="4">
        <v>125306</v>
      </c>
      <c r="F64" s="4">
        <v>39938.113801</v>
      </c>
      <c r="G64" s="4">
        <v>40882.706444000003</v>
      </c>
      <c r="I64" s="4">
        <v>26060.093985</v>
      </c>
      <c r="J64" s="4">
        <v>24470.073939000002</v>
      </c>
      <c r="R64" s="21"/>
      <c r="S64" s="21"/>
      <c r="T64" s="21"/>
      <c r="U64" s="21"/>
      <c r="V64" s="21"/>
      <c r="W64" s="21"/>
      <c r="X64" s="21"/>
      <c r="Y64" s="21"/>
    </row>
    <row r="65" spans="1:25" x14ac:dyDescent="0.25">
      <c r="A65" s="10">
        <v>60</v>
      </c>
      <c r="C65" s="4">
        <v>686050</v>
      </c>
      <c r="D65" s="4">
        <v>907775</v>
      </c>
      <c r="F65" s="4">
        <v>34425.189531000004</v>
      </c>
      <c r="G65" s="4">
        <v>33609.548613999999</v>
      </c>
      <c r="I65" s="4">
        <v>24173.533825999999</v>
      </c>
      <c r="J65" s="4">
        <v>22067.874524999999</v>
      </c>
      <c r="R65" s="21"/>
      <c r="S65" s="21"/>
      <c r="T65" s="21"/>
      <c r="U65" s="21"/>
      <c r="V65" s="21"/>
      <c r="W65" s="21"/>
      <c r="X65" s="21"/>
      <c r="Y65" s="21"/>
    </row>
    <row r="66" spans="1:25" x14ac:dyDescent="0.25">
      <c r="A66" s="10">
        <v>61</v>
      </c>
      <c r="C66" s="4">
        <v>118251</v>
      </c>
      <c r="D66" s="4">
        <v>102415</v>
      </c>
      <c r="F66" s="4">
        <v>24538.547885</v>
      </c>
      <c r="G66" s="4">
        <v>20972.852368</v>
      </c>
      <c r="I66" s="4">
        <v>22395.265661000001</v>
      </c>
      <c r="J66" s="4">
        <v>19947.821038999999</v>
      </c>
      <c r="R66" s="21"/>
      <c r="S66" s="21"/>
      <c r="T66" s="21"/>
      <c r="U66" s="21"/>
      <c r="V66" s="21"/>
      <c r="W66" s="21"/>
      <c r="X66" s="21"/>
      <c r="Y66" s="21"/>
    </row>
    <row r="67" spans="1:25" x14ac:dyDescent="0.25">
      <c r="A67" s="10">
        <v>62</v>
      </c>
      <c r="C67" s="4">
        <v>197306</v>
      </c>
      <c r="D67" s="4">
        <v>177053</v>
      </c>
      <c r="F67" s="4">
        <v>19011.858893000001</v>
      </c>
      <c r="G67" s="4">
        <v>14649.963769</v>
      </c>
      <c r="I67" s="4">
        <v>20696.546868000001</v>
      </c>
      <c r="J67" s="4">
        <v>18018.703555</v>
      </c>
      <c r="R67" s="21"/>
      <c r="S67" s="21"/>
      <c r="T67" s="21"/>
      <c r="U67" s="21"/>
      <c r="V67" s="21"/>
      <c r="W67" s="21"/>
      <c r="X67" s="21"/>
      <c r="Y67" s="21"/>
    </row>
    <row r="68" spans="1:25" x14ac:dyDescent="0.25">
      <c r="A68" s="10">
        <v>63</v>
      </c>
      <c r="C68" s="4">
        <v>176982</v>
      </c>
      <c r="D68" s="4">
        <v>158971</v>
      </c>
      <c r="F68" s="4">
        <v>15501.054174000001</v>
      </c>
      <c r="G68" s="4">
        <v>10965.217237999999</v>
      </c>
      <c r="I68" s="4">
        <v>19073.495696999998</v>
      </c>
      <c r="J68" s="4">
        <v>16268.700435999999</v>
      </c>
      <c r="R68" s="21"/>
      <c r="S68" s="21"/>
      <c r="T68" s="21"/>
      <c r="U68" s="21"/>
      <c r="V68" s="21"/>
      <c r="W68" s="21"/>
      <c r="X68" s="21"/>
      <c r="Y68" s="21"/>
    </row>
    <row r="69" spans="1:25" x14ac:dyDescent="0.25">
      <c r="A69" s="10">
        <v>64</v>
      </c>
      <c r="C69" s="4">
        <v>122679</v>
      </c>
      <c r="D69" s="4">
        <v>117725</v>
      </c>
      <c r="F69" s="4">
        <v>13782.619606</v>
      </c>
      <c r="G69" s="4">
        <v>9448.2093550000009</v>
      </c>
      <c r="I69" s="4">
        <v>17520.060151999998</v>
      </c>
      <c r="J69" s="4">
        <v>14680.051242</v>
      </c>
      <c r="R69" s="21"/>
      <c r="S69" s="21"/>
      <c r="T69" s="21"/>
      <c r="U69" s="21"/>
      <c r="V69" s="21"/>
      <c r="W69" s="21"/>
      <c r="X69" s="21"/>
      <c r="Y69" s="21"/>
    </row>
    <row r="70" spans="1:25" x14ac:dyDescent="0.25">
      <c r="A70" s="10">
        <v>65</v>
      </c>
      <c r="C70" s="4">
        <v>357326</v>
      </c>
      <c r="D70" s="4">
        <v>390908</v>
      </c>
      <c r="F70" s="4">
        <v>13578.919441</v>
      </c>
      <c r="G70" s="4">
        <v>9700.7572710000004</v>
      </c>
      <c r="I70" s="4">
        <v>16030.563787999999</v>
      </c>
      <c r="J70" s="4">
        <v>13236.980432</v>
      </c>
      <c r="R70" s="21"/>
      <c r="S70" s="21"/>
      <c r="T70" s="21"/>
      <c r="U70" s="21"/>
      <c r="V70" s="21"/>
      <c r="W70" s="21"/>
      <c r="X70" s="21"/>
      <c r="Y70" s="21"/>
    </row>
    <row r="71" spans="1:25" x14ac:dyDescent="0.25">
      <c r="A71" s="10">
        <v>66</v>
      </c>
      <c r="C71" s="4">
        <v>140457</v>
      </c>
      <c r="D71" s="4">
        <v>113437</v>
      </c>
      <c r="F71" s="4">
        <v>15561.851756</v>
      </c>
      <c r="G71" s="4">
        <v>12641.339871</v>
      </c>
      <c r="I71" s="4">
        <v>14599.576945000001</v>
      </c>
      <c r="J71" s="4">
        <v>11925.186046999999</v>
      </c>
      <c r="R71" s="21"/>
      <c r="S71" s="21"/>
      <c r="T71" s="21"/>
      <c r="U71" s="21"/>
      <c r="V71" s="21"/>
      <c r="W71" s="21"/>
      <c r="X71" s="21"/>
      <c r="Y71" s="21"/>
    </row>
    <row r="72" spans="1:25" x14ac:dyDescent="0.25">
      <c r="A72" s="10">
        <v>67</v>
      </c>
      <c r="C72" s="4">
        <v>148740</v>
      </c>
      <c r="D72" s="4">
        <v>127023</v>
      </c>
      <c r="F72" s="4">
        <v>15909.230755</v>
      </c>
      <c r="G72" s="4">
        <v>13752.533964</v>
      </c>
      <c r="I72" s="4">
        <v>13221.867883000001</v>
      </c>
      <c r="J72" s="4">
        <v>10731.656105</v>
      </c>
      <c r="R72" s="21"/>
      <c r="S72" s="21"/>
      <c r="T72" s="21"/>
      <c r="U72" s="21"/>
      <c r="V72" s="21"/>
      <c r="W72" s="21"/>
      <c r="X72" s="21"/>
      <c r="Y72" s="21"/>
    </row>
    <row r="73" spans="1:25" x14ac:dyDescent="0.25">
      <c r="A73" s="10">
        <v>68</v>
      </c>
      <c r="C73" s="4">
        <v>114114</v>
      </c>
      <c r="D73" s="4">
        <v>108737</v>
      </c>
      <c r="F73" s="4">
        <v>15244.811537</v>
      </c>
      <c r="G73" s="4">
        <v>13678.124947</v>
      </c>
      <c r="I73" s="4">
        <v>11892.246015999999</v>
      </c>
      <c r="J73" s="4">
        <v>9644.5283629999994</v>
      </c>
      <c r="R73" s="21"/>
      <c r="S73" s="21"/>
      <c r="T73" s="21"/>
      <c r="U73" s="21"/>
      <c r="V73" s="21"/>
      <c r="W73" s="21"/>
      <c r="X73" s="21"/>
      <c r="Y73" s="21"/>
    </row>
    <row r="74" spans="1:25" x14ac:dyDescent="0.25">
      <c r="A74" s="10">
        <v>69</v>
      </c>
      <c r="C74" s="4">
        <v>61105</v>
      </c>
      <c r="D74" s="4">
        <v>60508</v>
      </c>
      <c r="F74" s="4">
        <v>13542.817402999999</v>
      </c>
      <c r="G74" s="4">
        <v>12343.416348999999</v>
      </c>
      <c r="I74" s="4">
        <v>10608.843163</v>
      </c>
      <c r="J74" s="4">
        <v>8653.4982550000004</v>
      </c>
      <c r="R74" s="21"/>
      <c r="S74" s="21"/>
      <c r="T74" s="21"/>
      <c r="U74" s="21"/>
      <c r="V74" s="21"/>
      <c r="W74" s="21"/>
      <c r="X74" s="21"/>
      <c r="Y74" s="21"/>
    </row>
    <row r="75" spans="1:25" x14ac:dyDescent="0.25">
      <c r="A75" s="10">
        <v>70</v>
      </c>
      <c r="C75" s="4">
        <v>379260</v>
      </c>
      <c r="D75" s="4">
        <v>522328</v>
      </c>
      <c r="F75" s="4">
        <v>10970.288549999999</v>
      </c>
      <c r="G75" s="4">
        <v>9928.5848679999999</v>
      </c>
      <c r="I75" s="4">
        <v>9338.101208</v>
      </c>
      <c r="J75" s="4">
        <v>7744.123697</v>
      </c>
      <c r="R75" s="21"/>
      <c r="S75" s="21"/>
      <c r="T75" s="21"/>
      <c r="U75" s="21"/>
      <c r="V75" s="21"/>
      <c r="W75" s="21"/>
      <c r="X75" s="21"/>
      <c r="Y75" s="21"/>
    </row>
    <row r="76" spans="1:25" x14ac:dyDescent="0.25">
      <c r="A76" s="10">
        <v>71</v>
      </c>
      <c r="C76" s="4">
        <v>47362</v>
      </c>
      <c r="D76" s="4">
        <v>43292</v>
      </c>
      <c r="F76" s="4">
        <v>7238.4803279999996</v>
      </c>
      <c r="G76" s="4">
        <v>6141.7464620000001</v>
      </c>
      <c r="I76" s="4">
        <v>8242.5354169999991</v>
      </c>
      <c r="J76" s="4">
        <v>6934.0979189999998</v>
      </c>
      <c r="R76" s="21"/>
      <c r="S76" s="21"/>
      <c r="T76" s="21"/>
      <c r="U76" s="21"/>
      <c r="V76" s="21"/>
      <c r="W76" s="21"/>
      <c r="X76" s="21"/>
      <c r="Y76" s="21"/>
    </row>
    <row r="77" spans="1:25" x14ac:dyDescent="0.25">
      <c r="A77" s="10">
        <v>72</v>
      </c>
      <c r="C77" s="4">
        <v>80630</v>
      </c>
      <c r="D77" s="4">
        <v>71854</v>
      </c>
      <c r="F77" s="4">
        <v>5280.2503980000001</v>
      </c>
      <c r="G77" s="4">
        <v>4298.0961989999996</v>
      </c>
      <c r="I77" s="4">
        <v>7273.0569020000003</v>
      </c>
      <c r="J77" s="4">
        <v>6208.4626930000004</v>
      </c>
      <c r="R77" s="21"/>
      <c r="S77" s="21"/>
      <c r="T77" s="21"/>
      <c r="U77" s="21"/>
      <c r="V77" s="21"/>
      <c r="W77" s="21"/>
      <c r="X77" s="21"/>
      <c r="Y77" s="21"/>
    </row>
    <row r="78" spans="1:25" x14ac:dyDescent="0.25">
      <c r="A78" s="10">
        <v>73</v>
      </c>
      <c r="C78" s="4">
        <v>62901</v>
      </c>
      <c r="D78" s="4">
        <v>55974</v>
      </c>
      <c r="F78" s="4">
        <v>4150.8634860000002</v>
      </c>
      <c r="G78" s="4">
        <v>3298.23918</v>
      </c>
      <c r="I78" s="4">
        <v>6417.7912409999999</v>
      </c>
      <c r="J78" s="4">
        <v>5558.8605470000002</v>
      </c>
      <c r="R78" s="21"/>
      <c r="S78" s="21"/>
      <c r="T78" s="21"/>
      <c r="U78" s="21"/>
      <c r="V78" s="21"/>
      <c r="W78" s="21"/>
      <c r="X78" s="21"/>
      <c r="Y78" s="21"/>
    </row>
    <row r="79" spans="1:25" x14ac:dyDescent="0.25">
      <c r="A79" s="10">
        <v>74</v>
      </c>
      <c r="C79" s="4">
        <v>46340</v>
      </c>
      <c r="D79" s="4">
        <v>41171</v>
      </c>
      <c r="F79" s="4">
        <v>3724.8159759999999</v>
      </c>
      <c r="G79" s="4">
        <v>3003.7328000000002</v>
      </c>
      <c r="I79" s="4">
        <v>5663.1460020000004</v>
      </c>
      <c r="J79" s="4">
        <v>4977.3102419999996</v>
      </c>
      <c r="R79" s="21"/>
      <c r="S79" s="21"/>
      <c r="T79" s="21"/>
      <c r="U79" s="21"/>
      <c r="V79" s="21"/>
      <c r="W79" s="21"/>
      <c r="X79" s="21"/>
      <c r="Y79" s="21"/>
    </row>
    <row r="80" spans="1:25" x14ac:dyDescent="0.25">
      <c r="A80" s="10">
        <v>75</v>
      </c>
      <c r="C80" s="4">
        <v>158782</v>
      </c>
      <c r="D80" s="4">
        <v>159422</v>
      </c>
      <c r="F80" s="4">
        <v>3895.5898120000002</v>
      </c>
      <c r="G80" s="4">
        <v>3313.1853580000002</v>
      </c>
      <c r="I80" s="4">
        <v>4997.2812459999996</v>
      </c>
      <c r="J80" s="4">
        <v>4456.6912629999997</v>
      </c>
      <c r="R80" s="21"/>
      <c r="S80" s="21"/>
      <c r="T80" s="21"/>
      <c r="U80" s="21"/>
      <c r="V80" s="21"/>
      <c r="W80" s="21"/>
      <c r="X80" s="21"/>
      <c r="Y80" s="21"/>
    </row>
    <row r="81" spans="1:25" x14ac:dyDescent="0.25">
      <c r="A81" s="10">
        <v>76</v>
      </c>
      <c r="C81" s="4">
        <v>49674</v>
      </c>
      <c r="D81" s="4">
        <v>39445</v>
      </c>
      <c r="F81" s="4">
        <v>5002.5620129999998</v>
      </c>
      <c r="G81" s="4">
        <v>4640.7005159999999</v>
      </c>
      <c r="I81" s="4">
        <v>4409.7620559999996</v>
      </c>
      <c r="J81" s="4">
        <v>3990.631065</v>
      </c>
      <c r="R81" s="21"/>
      <c r="S81" s="21"/>
      <c r="T81" s="21"/>
      <c r="U81" s="21"/>
      <c r="V81" s="21"/>
      <c r="W81" s="21"/>
      <c r="X81" s="21"/>
      <c r="Y81" s="21"/>
    </row>
    <row r="82" spans="1:25" x14ac:dyDescent="0.25">
      <c r="A82" s="10">
        <v>77</v>
      </c>
      <c r="C82" s="4">
        <v>40825</v>
      </c>
      <c r="D82" s="4">
        <v>31463</v>
      </c>
      <c r="F82" s="4">
        <v>5417.2605649999996</v>
      </c>
      <c r="G82" s="4">
        <v>5226.4474060000002</v>
      </c>
      <c r="I82" s="4">
        <v>3891.3772170000002</v>
      </c>
      <c r="J82" s="4">
        <v>3573.4242509999999</v>
      </c>
      <c r="R82" s="21"/>
      <c r="S82" s="21"/>
      <c r="T82" s="21"/>
      <c r="U82" s="21"/>
      <c r="V82" s="21"/>
      <c r="W82" s="21"/>
      <c r="X82" s="21"/>
      <c r="Y82" s="21"/>
    </row>
    <row r="83" spans="1:25" x14ac:dyDescent="0.25">
      <c r="A83" s="10">
        <v>78</v>
      </c>
      <c r="C83" s="4">
        <v>46067</v>
      </c>
      <c r="D83" s="4">
        <v>39379</v>
      </c>
      <c r="F83" s="4">
        <v>5370.3514850000001</v>
      </c>
      <c r="G83" s="4">
        <v>5292.8957600000003</v>
      </c>
      <c r="I83" s="4">
        <v>3433.9999509999998</v>
      </c>
      <c r="J83" s="4">
        <v>3199.9635499999999</v>
      </c>
      <c r="R83" s="21"/>
      <c r="S83" s="21"/>
      <c r="T83" s="21"/>
      <c r="U83" s="21"/>
      <c r="V83" s="21"/>
      <c r="W83" s="21"/>
      <c r="X83" s="21"/>
      <c r="Y83" s="21"/>
    </row>
    <row r="84" spans="1:25" x14ac:dyDescent="0.25">
      <c r="A84" s="10">
        <v>79</v>
      </c>
      <c r="C84" s="4">
        <v>19050</v>
      </c>
      <c r="D84" s="4">
        <v>16950</v>
      </c>
      <c r="F84" s="4">
        <v>4836.7394530000001</v>
      </c>
      <c r="G84" s="4">
        <v>4801.9636620000001</v>
      </c>
      <c r="I84" s="4">
        <v>3030.4598390000001</v>
      </c>
      <c r="J84" s="4">
        <v>2865.6771840000001</v>
      </c>
      <c r="R84" s="21"/>
      <c r="S84" s="21"/>
      <c r="T84" s="21"/>
      <c r="U84" s="21"/>
      <c r="V84" s="21"/>
      <c r="W84" s="21"/>
      <c r="X84" s="21"/>
      <c r="Y84" s="21"/>
    </row>
    <row r="85" spans="1:25" x14ac:dyDescent="0.25">
      <c r="A85" s="10">
        <v>80</v>
      </c>
      <c r="C85" s="4">
        <v>141367</v>
      </c>
      <c r="D85" s="4">
        <v>175101</v>
      </c>
      <c r="F85" s="4">
        <v>3886.0864839999999</v>
      </c>
      <c r="G85" s="4">
        <v>3828.9926559999999</v>
      </c>
      <c r="I85" s="4">
        <v>2674.4304590000002</v>
      </c>
      <c r="J85" s="4">
        <v>2566.4729170000001</v>
      </c>
      <c r="R85" s="21"/>
      <c r="S85" s="21"/>
      <c r="T85" s="21"/>
      <c r="U85" s="21"/>
      <c r="V85" s="21"/>
      <c r="W85" s="21"/>
      <c r="X85" s="21"/>
      <c r="Y85" s="21"/>
    </row>
    <row r="86" spans="1:25" x14ac:dyDescent="0.25">
      <c r="A86" s="10">
        <v>81</v>
      </c>
      <c r="C86" s="4">
        <v>12177</v>
      </c>
      <c r="D86" s="4">
        <v>10458</v>
      </c>
      <c r="F86" s="4">
        <v>2412.27529</v>
      </c>
      <c r="G86" s="4">
        <v>2262.841308</v>
      </c>
      <c r="I86" s="4">
        <v>2360.330207</v>
      </c>
      <c r="J86" s="4">
        <v>2298.6879530000001</v>
      </c>
      <c r="R86" s="21"/>
      <c r="S86" s="21"/>
      <c r="T86" s="21"/>
      <c r="U86" s="21"/>
      <c r="V86" s="21"/>
      <c r="W86" s="21"/>
      <c r="X86" s="21"/>
      <c r="Y86" s="21"/>
    </row>
    <row r="87" spans="1:25" x14ac:dyDescent="0.25">
      <c r="A87" s="10">
        <v>82</v>
      </c>
      <c r="C87" s="4">
        <v>18053</v>
      </c>
      <c r="D87" s="4">
        <v>15247</v>
      </c>
      <c r="F87" s="4">
        <v>1658.5623430000001</v>
      </c>
      <c r="G87" s="4">
        <v>1500.6135380000001</v>
      </c>
      <c r="I87" s="4">
        <v>2083.2347949999998</v>
      </c>
      <c r="J87" s="4">
        <v>2059.0441040000001</v>
      </c>
      <c r="R87" s="21"/>
      <c r="S87" s="21"/>
      <c r="T87" s="21"/>
      <c r="U87" s="21"/>
      <c r="V87" s="21"/>
      <c r="W87" s="21"/>
      <c r="X87" s="21"/>
      <c r="Y87" s="21"/>
    </row>
    <row r="88" spans="1:25" x14ac:dyDescent="0.25">
      <c r="A88" s="10">
        <v>83</v>
      </c>
      <c r="C88" s="4">
        <v>13146</v>
      </c>
      <c r="D88" s="4">
        <v>10975</v>
      </c>
      <c r="F88" s="4">
        <v>1209.933466</v>
      </c>
      <c r="G88" s="4">
        <v>1060.958245</v>
      </c>
      <c r="I88" s="4">
        <v>1838.8000520000001</v>
      </c>
      <c r="J88" s="4">
        <v>1844.607659</v>
      </c>
      <c r="R88" s="21"/>
      <c r="S88" s="21"/>
      <c r="T88" s="21"/>
      <c r="U88" s="21"/>
      <c r="V88" s="21"/>
      <c r="W88" s="21"/>
      <c r="X88" s="21"/>
      <c r="Y88" s="21"/>
    </row>
    <row r="89" spans="1:25" x14ac:dyDescent="0.25">
      <c r="A89" s="10">
        <v>84</v>
      </c>
      <c r="C89" s="4">
        <v>11994</v>
      </c>
      <c r="D89" s="4">
        <v>9312</v>
      </c>
      <c r="F89" s="4">
        <v>1004.331465</v>
      </c>
      <c r="G89" s="4">
        <v>871.956727</v>
      </c>
      <c r="I89" s="4">
        <v>1623.1938190000001</v>
      </c>
      <c r="J89" s="4">
        <v>1652.753471</v>
      </c>
      <c r="R89" s="21"/>
      <c r="S89" s="21"/>
      <c r="T89" s="21"/>
      <c r="U89" s="21"/>
      <c r="V89" s="21"/>
      <c r="W89" s="21"/>
      <c r="X89" s="21"/>
      <c r="Y89" s="21"/>
    </row>
    <row r="90" spans="1:25" x14ac:dyDescent="0.25">
      <c r="A90" s="10">
        <v>85</v>
      </c>
      <c r="C90" s="4">
        <v>36446</v>
      </c>
      <c r="D90" s="4">
        <v>34885</v>
      </c>
      <c r="F90" s="4">
        <v>990.89743599999997</v>
      </c>
      <c r="G90" s="4">
        <v>878.63018199999999</v>
      </c>
      <c r="I90" s="4">
        <v>1433.035875</v>
      </c>
      <c r="J90" s="4">
        <v>1481.132822</v>
      </c>
      <c r="R90" s="21"/>
      <c r="S90" s="21"/>
      <c r="T90" s="21"/>
      <c r="U90" s="21"/>
      <c r="V90" s="21"/>
      <c r="W90" s="21"/>
      <c r="X90" s="21"/>
      <c r="Y90" s="21"/>
    </row>
    <row r="91" spans="1:25" x14ac:dyDescent="0.25">
      <c r="A91" s="10">
        <v>86</v>
      </c>
      <c r="C91" s="4">
        <v>9657</v>
      </c>
      <c r="D91" s="4">
        <v>7264</v>
      </c>
      <c r="F91" s="4">
        <v>1250.905107</v>
      </c>
      <c r="G91" s="4">
        <v>1173.2803719999999</v>
      </c>
      <c r="I91" s="4">
        <v>1265.344947</v>
      </c>
      <c r="J91" s="4">
        <v>1327.6446719999999</v>
      </c>
      <c r="R91" s="21"/>
      <c r="S91" s="21"/>
      <c r="T91" s="21"/>
      <c r="U91" s="21"/>
      <c r="V91" s="21"/>
      <c r="W91" s="21"/>
      <c r="X91" s="21"/>
      <c r="Y91" s="21"/>
    </row>
    <row r="92" spans="1:25" x14ac:dyDescent="0.25">
      <c r="A92" s="10">
        <v>87</v>
      </c>
      <c r="C92" s="4">
        <v>7869</v>
      </c>
      <c r="D92" s="4">
        <v>6388</v>
      </c>
      <c r="F92" s="4">
        <v>1343.3254099999999</v>
      </c>
      <c r="G92" s="4">
        <v>1290.7204630000001</v>
      </c>
      <c r="I92" s="4">
        <v>1117.491968</v>
      </c>
      <c r="J92" s="4">
        <v>1190.4099450000001</v>
      </c>
      <c r="R92" s="21"/>
      <c r="S92" s="21"/>
      <c r="T92" s="21"/>
      <c r="U92" s="21"/>
      <c r="V92" s="21"/>
      <c r="W92" s="21"/>
      <c r="X92" s="21"/>
      <c r="Y92" s="21"/>
    </row>
    <row r="93" spans="1:25" x14ac:dyDescent="0.25">
      <c r="A93" s="10">
        <v>88</v>
      </c>
      <c r="C93" s="4">
        <v>6313</v>
      </c>
      <c r="D93" s="4">
        <v>5342</v>
      </c>
      <c r="F93" s="4">
        <v>1334.462636</v>
      </c>
      <c r="G93" s="4">
        <v>1297.0958479999999</v>
      </c>
      <c r="I93" s="4">
        <v>987.15886899999998</v>
      </c>
      <c r="J93" s="4">
        <v>1067.748517</v>
      </c>
      <c r="R93" s="21"/>
      <c r="S93" s="21"/>
      <c r="T93" s="21"/>
      <c r="U93" s="21"/>
      <c r="V93" s="21"/>
      <c r="W93" s="21"/>
      <c r="X93" s="21"/>
      <c r="Y93" s="21"/>
    </row>
    <row r="94" spans="1:25" x14ac:dyDescent="0.25">
      <c r="A94" s="10">
        <v>89</v>
      </c>
      <c r="C94" s="4">
        <v>3735</v>
      </c>
      <c r="D94" s="4">
        <v>3650</v>
      </c>
      <c r="F94" s="4">
        <v>1217.0228569999999</v>
      </c>
      <c r="G94" s="4">
        <v>1183.444291</v>
      </c>
      <c r="I94" s="4">
        <v>872.302235</v>
      </c>
      <c r="J94" s="4">
        <v>958.15866300000005</v>
      </c>
      <c r="R94" s="21"/>
      <c r="S94" s="21"/>
      <c r="T94" s="21"/>
      <c r="U94" s="21"/>
      <c r="V94" s="21"/>
      <c r="W94" s="21"/>
      <c r="X94" s="21"/>
      <c r="Y94" s="21"/>
    </row>
    <row r="95" spans="1:25" x14ac:dyDescent="0.25">
      <c r="A95" s="10">
        <v>90</v>
      </c>
      <c r="C95" s="4">
        <v>24476</v>
      </c>
      <c r="D95" s="4">
        <v>32625</v>
      </c>
      <c r="F95" s="4">
        <v>1005.283989</v>
      </c>
      <c r="G95" s="4">
        <v>965.45902699999999</v>
      </c>
      <c r="I95" s="4">
        <v>771.12127099999998</v>
      </c>
      <c r="J95" s="4">
        <v>860.29866300000003</v>
      </c>
      <c r="R95" s="21"/>
      <c r="S95" s="21"/>
      <c r="T95" s="21"/>
      <c r="U95" s="21"/>
      <c r="V95" s="21"/>
      <c r="W95" s="21"/>
      <c r="X95" s="21"/>
      <c r="Y95" s="21"/>
    </row>
    <row r="96" spans="1:25" x14ac:dyDescent="0.25">
      <c r="A96" s="10">
        <v>91</v>
      </c>
      <c r="C96" s="4">
        <v>1560</v>
      </c>
      <c r="D96" s="4">
        <v>1529</v>
      </c>
      <c r="F96" s="4">
        <v>674.68485999999996</v>
      </c>
      <c r="G96" s="4">
        <v>617.34799999999996</v>
      </c>
      <c r="I96" s="4">
        <v>682.02957500000002</v>
      </c>
      <c r="J96" s="4">
        <v>772.97038799999996</v>
      </c>
      <c r="R96" s="21"/>
      <c r="S96" s="21"/>
      <c r="T96" s="21"/>
      <c r="U96" s="21"/>
      <c r="V96" s="21"/>
      <c r="W96" s="21"/>
      <c r="X96" s="21"/>
      <c r="Y96" s="21"/>
    </row>
    <row r="97" spans="1:25" x14ac:dyDescent="0.25">
      <c r="A97" s="10">
        <v>92</v>
      </c>
      <c r="C97" s="4">
        <v>1941</v>
      </c>
      <c r="D97" s="4">
        <v>1997</v>
      </c>
      <c r="F97" s="4">
        <v>492.95518900000002</v>
      </c>
      <c r="G97" s="4">
        <v>436.19010200000002</v>
      </c>
      <c r="I97" s="4">
        <v>603.630268</v>
      </c>
      <c r="J97" s="4">
        <v>695.10462800000005</v>
      </c>
      <c r="R97" s="21"/>
      <c r="S97" s="21"/>
      <c r="T97" s="21"/>
      <c r="U97" s="21"/>
      <c r="V97" s="21"/>
      <c r="W97" s="21"/>
      <c r="X97" s="21"/>
      <c r="Y97" s="21"/>
    </row>
    <row r="98" spans="1:25" x14ac:dyDescent="0.25">
      <c r="A98" s="10">
        <v>93</v>
      </c>
      <c r="C98" s="4">
        <v>1670</v>
      </c>
      <c r="D98" s="4">
        <v>1527</v>
      </c>
      <c r="F98" s="4">
        <v>378.55717099999998</v>
      </c>
      <c r="G98" s="4">
        <v>327.40431000000001</v>
      </c>
      <c r="I98" s="4">
        <v>534.69409499999995</v>
      </c>
      <c r="J98" s="4">
        <v>625.74800800000003</v>
      </c>
      <c r="R98" s="21"/>
      <c r="S98" s="21"/>
      <c r="T98" s="21"/>
      <c r="U98" s="21"/>
      <c r="V98" s="21"/>
      <c r="W98" s="21"/>
      <c r="X98" s="21"/>
      <c r="Y98" s="21"/>
    </row>
    <row r="99" spans="1:25" x14ac:dyDescent="0.25">
      <c r="A99" s="10">
        <v>94</v>
      </c>
      <c r="C99" s="4">
        <v>1391</v>
      </c>
      <c r="D99" s="4">
        <v>1142</v>
      </c>
      <c r="F99" s="4">
        <v>320.34603499999997</v>
      </c>
      <c r="G99" s="4">
        <v>277.88839899999999</v>
      </c>
      <c r="I99" s="4">
        <v>474.14015699999999</v>
      </c>
      <c r="J99" s="4">
        <v>564.05131900000003</v>
      </c>
      <c r="R99" s="21"/>
      <c r="S99" s="21"/>
      <c r="T99" s="21"/>
      <c r="U99" s="21"/>
      <c r="V99" s="21"/>
      <c r="W99" s="21"/>
      <c r="X99" s="21"/>
      <c r="Y99" s="21"/>
    </row>
    <row r="100" spans="1:25" x14ac:dyDescent="0.25">
      <c r="A100" s="10">
        <v>95</v>
      </c>
      <c r="C100" s="4">
        <v>5244</v>
      </c>
      <c r="D100" s="4">
        <v>5745</v>
      </c>
      <c r="F100" s="4">
        <v>307.45674500000001</v>
      </c>
      <c r="G100" s="4">
        <v>276.16918900000002</v>
      </c>
      <c r="I100" s="4">
        <v>421.01896699999998</v>
      </c>
      <c r="J100" s="4">
        <v>509.25912099999999</v>
      </c>
      <c r="R100" s="21"/>
      <c r="S100" s="21"/>
      <c r="T100" s="21"/>
      <c r="U100" s="21"/>
      <c r="V100" s="21"/>
      <c r="W100" s="21"/>
      <c r="X100" s="21"/>
      <c r="Y100" s="21"/>
    </row>
    <row r="101" spans="1:25" x14ac:dyDescent="0.25">
      <c r="A101" s="10">
        <v>96</v>
      </c>
      <c r="C101" s="4">
        <v>2154</v>
      </c>
      <c r="D101" s="4">
        <v>1827</v>
      </c>
      <c r="F101" s="4">
        <v>357.585847</v>
      </c>
      <c r="G101" s="4">
        <v>344.13258200000001</v>
      </c>
      <c r="I101" s="4">
        <v>374.49756400000001</v>
      </c>
      <c r="J101" s="4">
        <v>460.70050099999997</v>
      </c>
      <c r="R101" s="21"/>
      <c r="S101" s="21"/>
      <c r="T101" s="21"/>
      <c r="U101" s="21"/>
      <c r="V101" s="21"/>
      <c r="W101" s="21"/>
      <c r="X101" s="21"/>
      <c r="Y101" s="21"/>
    </row>
    <row r="102" spans="1:25" x14ac:dyDescent="0.25">
      <c r="A102" s="10">
        <v>97</v>
      </c>
      <c r="C102" s="4">
        <v>1638</v>
      </c>
      <c r="D102" s="4">
        <v>1320</v>
      </c>
      <c r="F102" s="4">
        <v>363.46210600000001</v>
      </c>
      <c r="G102" s="4">
        <v>363.91283199999998</v>
      </c>
      <c r="I102" s="4">
        <v>333.84645899999998</v>
      </c>
      <c r="J102" s="4">
        <v>417.78085700000003</v>
      </c>
      <c r="R102" s="21"/>
      <c r="S102" s="21"/>
      <c r="T102" s="21"/>
      <c r="U102" s="21"/>
      <c r="V102" s="21"/>
      <c r="W102" s="21"/>
      <c r="X102" s="21"/>
      <c r="Y102" s="21"/>
    </row>
    <row r="103" spans="1:25" x14ac:dyDescent="0.25">
      <c r="A103" s="10">
        <v>98</v>
      </c>
      <c r="C103" s="4">
        <v>1583</v>
      </c>
      <c r="D103" s="4">
        <v>1437</v>
      </c>
      <c r="F103" s="4">
        <v>342.81500799999998</v>
      </c>
      <c r="G103" s="4">
        <v>353.41941300000002</v>
      </c>
      <c r="I103" s="4">
        <v>298.42819900000001</v>
      </c>
      <c r="J103" s="4">
        <v>379.97462300000001</v>
      </c>
      <c r="R103" s="21"/>
      <c r="S103" s="21"/>
      <c r="T103" s="21"/>
      <c r="U103" s="21"/>
      <c r="V103" s="21"/>
      <c r="W103" s="21"/>
      <c r="X103" s="21"/>
      <c r="Y103" s="21"/>
    </row>
    <row r="104" spans="1:25" x14ac:dyDescent="0.25">
      <c r="A104" s="10">
        <v>99</v>
      </c>
      <c r="C104" s="4">
        <v>717</v>
      </c>
      <c r="D104" s="4">
        <v>787</v>
      </c>
      <c r="F104" s="4">
        <v>295.26905599999998</v>
      </c>
      <c r="G104" s="4">
        <v>311.43702999999999</v>
      </c>
      <c r="I104" s="4">
        <v>267.68737099999998</v>
      </c>
      <c r="J104" s="4">
        <v>346.81883800000003</v>
      </c>
      <c r="R104" s="21"/>
      <c r="S104" s="21"/>
      <c r="T104" s="21"/>
      <c r="U104" s="21"/>
      <c r="V104" s="21"/>
      <c r="W104" s="21"/>
      <c r="X104" s="21"/>
      <c r="Y104" s="21"/>
    </row>
    <row r="105" spans="1:25" x14ac:dyDescent="0.25">
      <c r="A105" s="10">
        <v>100</v>
      </c>
      <c r="C105" s="4">
        <v>2400</v>
      </c>
      <c r="D105" s="4">
        <v>3635</v>
      </c>
      <c r="F105" s="4">
        <v>225.86798200000001</v>
      </c>
      <c r="G105" s="4">
        <v>243.09814399999999</v>
      </c>
      <c r="I105" s="4">
        <v>241.14190300000001</v>
      </c>
      <c r="J105" s="4">
        <v>317.90747499999998</v>
      </c>
      <c r="R105" s="21"/>
      <c r="S105" s="21"/>
      <c r="T105" s="21"/>
      <c r="U105" s="21"/>
      <c r="V105" s="21"/>
      <c r="W105" s="21"/>
      <c r="X105" s="21"/>
      <c r="Y105" s="21"/>
    </row>
    <row r="106" spans="1:25" x14ac:dyDescent="0.25">
      <c r="A106" s="10">
        <v>101</v>
      </c>
      <c r="C106" s="4">
        <v>271</v>
      </c>
      <c r="D106" s="4">
        <v>294</v>
      </c>
      <c r="F106" s="4">
        <v>128.16244</v>
      </c>
      <c r="G106" s="4">
        <v>141.97218799999999</v>
      </c>
      <c r="I106" s="4">
        <v>218.37550300000001</v>
      </c>
      <c r="J106" s="4">
        <v>292.88647700000001</v>
      </c>
      <c r="R106" s="21"/>
      <c r="S106" s="21"/>
      <c r="T106" s="21"/>
      <c r="U106" s="21"/>
      <c r="V106" s="21"/>
      <c r="W106" s="21"/>
      <c r="X106" s="21"/>
      <c r="Y106" s="21"/>
    </row>
    <row r="107" spans="1:25" x14ac:dyDescent="0.25">
      <c r="A107" s="10">
        <v>102</v>
      </c>
      <c r="C107" s="4">
        <v>352</v>
      </c>
      <c r="D107" s="4">
        <v>410</v>
      </c>
      <c r="F107" s="4">
        <v>78.821770999999998</v>
      </c>
      <c r="G107" s="4">
        <v>89.531729999999996</v>
      </c>
      <c r="I107" s="4">
        <v>199.03113500000001</v>
      </c>
      <c r="J107" s="4">
        <v>271.44942400000002</v>
      </c>
      <c r="R107" s="21"/>
      <c r="S107" s="21"/>
      <c r="T107" s="21"/>
      <c r="U107" s="21"/>
      <c r="V107" s="21"/>
      <c r="W107" s="21"/>
      <c r="X107" s="21"/>
      <c r="Y107" s="21"/>
    </row>
    <row r="108" spans="1:25" x14ac:dyDescent="0.25">
      <c r="A108" s="10">
        <v>103</v>
      </c>
      <c r="C108" s="4">
        <v>255</v>
      </c>
      <c r="D108" s="4">
        <v>252</v>
      </c>
      <c r="F108" s="4">
        <v>47.861614000000003</v>
      </c>
      <c r="G108" s="4">
        <v>55.811019999999999</v>
      </c>
      <c r="I108" s="4">
        <v>182.80542</v>
      </c>
      <c r="J108" s="4">
        <v>253.333776</v>
      </c>
      <c r="R108" s="21"/>
      <c r="S108" s="21"/>
      <c r="T108" s="21"/>
      <c r="U108" s="21"/>
      <c r="V108" s="21"/>
      <c r="W108" s="21"/>
      <c r="X108" s="21"/>
      <c r="Y108" s="21"/>
    </row>
    <row r="109" spans="1:25" x14ac:dyDescent="0.25">
      <c r="A109" s="10">
        <v>104</v>
      </c>
      <c r="C109" s="4">
        <v>149</v>
      </c>
      <c r="D109" s="4">
        <v>165</v>
      </c>
      <c r="F109" s="4">
        <v>29.167954000000002</v>
      </c>
      <c r="G109" s="4">
        <v>34.932256000000002</v>
      </c>
      <c r="I109" s="4">
        <v>169.443883</v>
      </c>
      <c r="J109" s="4">
        <v>238.31766400000001</v>
      </c>
      <c r="R109" s="21"/>
      <c r="S109" s="21"/>
      <c r="T109" s="21"/>
      <c r="U109" s="21"/>
      <c r="V109" s="21"/>
      <c r="W109" s="21"/>
      <c r="X109" s="21"/>
      <c r="Y109" s="21"/>
    </row>
    <row r="110" spans="1:25" x14ac:dyDescent="0.25">
      <c r="A110" s="10">
        <v>105</v>
      </c>
      <c r="C110" s="4">
        <v>318</v>
      </c>
      <c r="D110" s="4">
        <v>385</v>
      </c>
      <c r="F110" s="4">
        <v>17.895475000000001</v>
      </c>
      <c r="G110" s="4">
        <v>22.03304</v>
      </c>
      <c r="I110" s="4">
        <v>158.737067</v>
      </c>
      <c r="J110" s="4">
        <v>226.21729500000001</v>
      </c>
      <c r="R110" s="21"/>
      <c r="S110" s="21"/>
      <c r="T110" s="21"/>
      <c r="U110" s="21"/>
      <c r="V110" s="21"/>
      <c r="W110" s="21"/>
      <c r="X110" s="21"/>
      <c r="Y110" s="21"/>
    </row>
    <row r="111" spans="1:25" x14ac:dyDescent="0.25">
      <c r="A111" s="10">
        <v>106</v>
      </c>
      <c r="C111" s="4">
        <v>115</v>
      </c>
      <c r="D111" s="4">
        <v>110</v>
      </c>
      <c r="F111" s="4">
        <v>11.171498</v>
      </c>
      <c r="G111" s="4">
        <v>14.161868999999999</v>
      </c>
      <c r="I111" s="4">
        <v>150.51591999999999</v>
      </c>
      <c r="J111" s="4">
        <v>216.88318000000001</v>
      </c>
      <c r="R111" s="21"/>
      <c r="S111" s="21"/>
      <c r="T111" s="21"/>
      <c r="U111" s="21"/>
      <c r="V111" s="21"/>
      <c r="W111" s="21"/>
      <c r="X111" s="21"/>
      <c r="Y111" s="21"/>
    </row>
    <row r="112" spans="1:25" x14ac:dyDescent="0.25">
      <c r="A112" s="10">
        <v>107</v>
      </c>
      <c r="C112" s="4">
        <v>91</v>
      </c>
      <c r="D112" s="4">
        <v>81</v>
      </c>
      <c r="F112" s="4">
        <v>7.2928980000000001</v>
      </c>
      <c r="G112" s="4">
        <v>9.5294349999999994</v>
      </c>
      <c r="I112" s="4">
        <v>144.659378</v>
      </c>
      <c r="J112" s="4">
        <v>210.20998299999999</v>
      </c>
      <c r="R112" s="21"/>
      <c r="S112" s="21"/>
      <c r="T112" s="21"/>
      <c r="U112" s="21"/>
      <c r="V112" s="21"/>
      <c r="W112" s="21"/>
      <c r="X112" s="21"/>
      <c r="Y112" s="21"/>
    </row>
    <row r="113" spans="1:25" x14ac:dyDescent="0.25">
      <c r="A113" s="10">
        <v>108</v>
      </c>
      <c r="C113" s="4">
        <v>61</v>
      </c>
      <c r="D113" s="4">
        <v>57</v>
      </c>
      <c r="F113" s="4">
        <v>5.2574649999999998</v>
      </c>
      <c r="G113" s="4">
        <v>7.0593370000000002</v>
      </c>
      <c r="I113" s="4">
        <v>141.05502799999999</v>
      </c>
      <c r="J113" s="4">
        <v>206.09261000000001</v>
      </c>
      <c r="R113" s="21"/>
      <c r="S113" s="21"/>
      <c r="T113" s="21"/>
      <c r="U113" s="21"/>
      <c r="V113" s="21"/>
      <c r="W113" s="21"/>
      <c r="X113" s="21"/>
      <c r="Y113" s="21"/>
    </row>
    <row r="114" spans="1:25" x14ac:dyDescent="0.25">
      <c r="A114" s="10">
        <v>109</v>
      </c>
      <c r="C114" s="4">
        <v>77</v>
      </c>
      <c r="D114" s="4">
        <v>60</v>
      </c>
      <c r="F114" s="4">
        <v>4.3688840000000004</v>
      </c>
      <c r="G114" s="4">
        <v>5.969125</v>
      </c>
      <c r="I114" s="4">
        <v>139.30653000000001</v>
      </c>
      <c r="J114" s="4">
        <v>204.09203600000001</v>
      </c>
      <c r="R114" s="21"/>
      <c r="S114" s="21"/>
      <c r="T114" s="21"/>
      <c r="U114" s="21"/>
      <c r="V114" s="21"/>
      <c r="W114" s="21"/>
      <c r="X114" s="21"/>
      <c r="Y114" s="21"/>
    </row>
    <row r="115" spans="1:25" x14ac:dyDescent="0.25">
      <c r="A115" s="10"/>
      <c r="F115" s="4"/>
      <c r="G115" s="4"/>
      <c r="I115" s="4"/>
      <c r="J115" s="4"/>
    </row>
    <row r="116" spans="1:25" x14ac:dyDescent="0.25">
      <c r="A116" t="s">
        <v>116</v>
      </c>
      <c r="C116" s="4">
        <f>SUM(C5:C114)</f>
        <v>48696122</v>
      </c>
      <c r="D116" s="4">
        <f>SUM(D5:D114)</f>
        <v>50471029</v>
      </c>
      <c r="F116" s="4">
        <f>SUM(F5:F114)</f>
        <v>6294249.9999970011</v>
      </c>
      <c r="G116" s="4">
        <f>SUM(G5:G114)</f>
        <v>6397785.0000010012</v>
      </c>
      <c r="I116" s="4">
        <f>SUM(I5:I114)</f>
        <v>6740685.6863400014</v>
      </c>
      <c r="J116" s="4">
        <f>SUM(J5:J114)</f>
        <v>6842142.7326650005</v>
      </c>
      <c r="R116" s="18"/>
      <c r="S116" s="18"/>
      <c r="T116" s="18"/>
      <c r="U116" s="18"/>
      <c r="V116" s="18"/>
      <c r="W116" s="18"/>
      <c r="X116" s="18"/>
      <c r="Y116" s="18"/>
    </row>
    <row r="117" spans="1:25" x14ac:dyDescent="0.25">
      <c r="C117" s="4"/>
      <c r="D117" s="4"/>
    </row>
    <row r="119" spans="1:25" x14ac:dyDescent="0.25">
      <c r="C119" s="4"/>
      <c r="D119" s="4"/>
      <c r="F119" s="4"/>
      <c r="G119" s="4"/>
      <c r="I119" s="4"/>
      <c r="J119" s="4"/>
    </row>
  </sheetData>
  <mergeCells count="20">
    <mergeCell ref="AM2:AN2"/>
    <mergeCell ref="C1:J1"/>
    <mergeCell ref="AA1:AH1"/>
    <mergeCell ref="AJ1:AQ1"/>
    <mergeCell ref="AU1:BB1"/>
    <mergeCell ref="C2:D2"/>
    <mergeCell ref="F2:G2"/>
    <mergeCell ref="I2:J2"/>
    <mergeCell ref="M2:N2"/>
    <mergeCell ref="R2:S2"/>
    <mergeCell ref="U2:V2"/>
    <mergeCell ref="AP2:AQ2"/>
    <mergeCell ref="AU2:AV2"/>
    <mergeCell ref="AX2:AY2"/>
    <mergeCell ref="BA2:BB2"/>
    <mergeCell ref="X2:Y2"/>
    <mergeCell ref="AA2:AB2"/>
    <mergeCell ref="AD2:AE2"/>
    <mergeCell ref="AG2:AH2"/>
    <mergeCell ref="AJ2:AK2"/>
  </mergeCells>
  <pageMargins left="0.7" right="0.7" top="0.75" bottom="0.75" header="0.3" footer="0.3"/>
  <ignoredErrors>
    <ignoredError sqref="R6:Y16 R5:T5 V5:Y5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9BE9-21F4-4C28-8A18-AF6C27ADB2DD}">
  <dimension ref="A3:T148"/>
  <sheetViews>
    <sheetView tabSelected="1" workbookViewId="0">
      <selection activeCell="X29" sqref="X29"/>
    </sheetView>
  </sheetViews>
  <sheetFormatPr defaultRowHeight="15" x14ac:dyDescent="0.25"/>
  <cols>
    <col min="4" max="4" width="14.85546875" customWidth="1"/>
    <col min="5" max="5" width="12.7109375" customWidth="1"/>
    <col min="7" max="7" width="10.5703125" customWidth="1"/>
    <col min="8" max="8" width="9.85546875" customWidth="1"/>
    <col min="9" max="9" width="10.28515625" customWidth="1"/>
    <col min="10" max="10" width="10.140625" customWidth="1"/>
    <col min="11" max="11" width="10.5703125" customWidth="1"/>
    <col min="12" max="12" width="9.7109375" customWidth="1"/>
  </cols>
  <sheetData>
    <row r="3" spans="1:11" x14ac:dyDescent="0.25">
      <c r="A3" s="34"/>
      <c r="B3" s="34"/>
      <c r="C3" s="34"/>
      <c r="D3" s="42" t="s">
        <v>132</v>
      </c>
      <c r="E3" s="42"/>
      <c r="F3" s="34"/>
      <c r="G3" s="42" t="s">
        <v>133</v>
      </c>
      <c r="H3" s="42"/>
      <c r="I3" s="34"/>
      <c r="J3" s="42" t="s">
        <v>178</v>
      </c>
      <c r="K3" s="42"/>
    </row>
    <row r="4" spans="1:11" x14ac:dyDescent="0.25">
      <c r="A4" s="35" t="s">
        <v>158</v>
      </c>
      <c r="B4" s="35"/>
      <c r="C4" s="35"/>
      <c r="D4" s="35" t="s">
        <v>0</v>
      </c>
      <c r="E4" s="35" t="s">
        <v>1</v>
      </c>
      <c r="F4" s="35"/>
      <c r="G4" s="35" t="s">
        <v>0</v>
      </c>
      <c r="H4" s="35" t="s">
        <v>1</v>
      </c>
      <c r="I4" s="34"/>
      <c r="J4" s="35" t="s">
        <v>0</v>
      </c>
      <c r="K4" s="35" t="s">
        <v>1</v>
      </c>
    </row>
    <row r="5" spans="1:11" x14ac:dyDescent="0.25">
      <c r="A5" s="36" t="s">
        <v>175</v>
      </c>
      <c r="B5" s="36"/>
      <c r="C5" s="36"/>
      <c r="D5" s="9">
        <v>1858092</v>
      </c>
      <c r="E5" s="37">
        <v>1815957</v>
      </c>
      <c r="F5" s="37"/>
      <c r="G5" s="9">
        <v>2024528</v>
      </c>
      <c r="H5" s="37">
        <v>1976901</v>
      </c>
      <c r="I5" s="37"/>
      <c r="J5" s="37">
        <v>2288599</v>
      </c>
      <c r="K5" s="37">
        <v>2237894</v>
      </c>
    </row>
    <row r="6" spans="1:11" x14ac:dyDescent="0.25">
      <c r="A6" s="36" t="s">
        <v>4</v>
      </c>
      <c r="B6" s="36"/>
      <c r="C6" s="36"/>
      <c r="D6" s="9">
        <v>1328695</v>
      </c>
      <c r="E6" s="37">
        <v>1312282</v>
      </c>
      <c r="F6" s="37"/>
      <c r="G6" s="9">
        <v>1421760</v>
      </c>
      <c r="H6" s="37">
        <v>1425075</v>
      </c>
      <c r="I6" s="37"/>
      <c r="J6" s="37">
        <v>1591091</v>
      </c>
      <c r="K6" s="37">
        <v>1598170</v>
      </c>
    </row>
    <row r="7" spans="1:11" x14ac:dyDescent="0.25">
      <c r="A7" s="36" t="s">
        <v>5</v>
      </c>
      <c r="B7" s="36"/>
      <c r="C7" s="36"/>
      <c r="D7" s="9">
        <v>1027264</v>
      </c>
      <c r="E7" s="37">
        <v>1045235</v>
      </c>
      <c r="F7" s="37"/>
      <c r="G7" s="9">
        <v>1102759</v>
      </c>
      <c r="H7" s="37">
        <v>1108297</v>
      </c>
      <c r="I7" s="37"/>
      <c r="J7" s="37">
        <v>1226952</v>
      </c>
      <c r="K7" s="37">
        <v>1229555</v>
      </c>
    </row>
    <row r="8" spans="1:11" x14ac:dyDescent="0.25">
      <c r="A8" s="36" t="s">
        <v>6</v>
      </c>
      <c r="B8" s="36"/>
      <c r="C8" s="36"/>
      <c r="D8" s="9">
        <v>769719</v>
      </c>
      <c r="E8" s="37">
        <v>785411</v>
      </c>
      <c r="F8" s="37"/>
      <c r="G8" s="9">
        <v>816714</v>
      </c>
      <c r="H8" s="37">
        <v>845477</v>
      </c>
      <c r="I8" s="37"/>
      <c r="J8" s="37">
        <v>904399</v>
      </c>
      <c r="K8" s="37">
        <v>937807</v>
      </c>
    </row>
    <row r="9" spans="1:11" x14ac:dyDescent="0.25">
      <c r="A9" s="36" t="s">
        <v>7</v>
      </c>
      <c r="B9" s="36"/>
      <c r="C9" s="36"/>
      <c r="D9" s="9">
        <v>553707</v>
      </c>
      <c r="E9" s="37">
        <v>576710</v>
      </c>
      <c r="F9" s="37"/>
      <c r="G9" s="9">
        <v>612261</v>
      </c>
      <c r="H9" s="37">
        <v>634545</v>
      </c>
      <c r="I9" s="37"/>
      <c r="J9" s="37">
        <v>654315</v>
      </c>
      <c r="K9" s="37">
        <v>683192</v>
      </c>
    </row>
    <row r="10" spans="1:11" x14ac:dyDescent="0.25">
      <c r="A10" s="36" t="s">
        <v>8</v>
      </c>
      <c r="B10" s="36"/>
      <c r="C10" s="36"/>
      <c r="D10" s="9">
        <v>383394</v>
      </c>
      <c r="E10" s="37">
        <v>420333</v>
      </c>
      <c r="F10" s="37"/>
      <c r="G10" s="9">
        <v>418581</v>
      </c>
      <c r="H10" s="37">
        <v>458241</v>
      </c>
      <c r="I10" s="37"/>
      <c r="J10" s="37">
        <v>444094</v>
      </c>
      <c r="K10" s="37">
        <v>493343</v>
      </c>
    </row>
    <row r="11" spans="1:11" x14ac:dyDescent="0.25">
      <c r="A11" s="36" t="s">
        <v>9</v>
      </c>
      <c r="B11" s="36"/>
      <c r="C11" s="36"/>
      <c r="D11" s="9">
        <v>232190</v>
      </c>
      <c r="E11" s="37">
        <v>253058</v>
      </c>
      <c r="F11" s="37"/>
      <c r="G11" s="9">
        <v>249412</v>
      </c>
      <c r="H11" s="37">
        <v>282359</v>
      </c>
      <c r="I11" s="37"/>
      <c r="J11" s="37">
        <v>263997</v>
      </c>
      <c r="K11" s="37">
        <v>312028</v>
      </c>
    </row>
    <row r="12" spans="1:11" x14ac:dyDescent="0.25">
      <c r="A12" s="36" t="s">
        <v>176</v>
      </c>
      <c r="B12" s="36"/>
      <c r="C12" s="36"/>
      <c r="D12" s="9">
        <v>80739</v>
      </c>
      <c r="E12" s="37">
        <v>90821</v>
      </c>
      <c r="F12" s="37"/>
      <c r="G12" s="9">
        <v>99591</v>
      </c>
      <c r="H12" s="37">
        <v>113088</v>
      </c>
      <c r="I12" s="37"/>
      <c r="J12" s="37">
        <v>104816</v>
      </c>
      <c r="K12" s="37">
        <v>128587</v>
      </c>
    </row>
    <row r="13" spans="1:11" x14ac:dyDescent="0.25">
      <c r="A13" s="36" t="s">
        <v>177</v>
      </c>
      <c r="B13" s="36"/>
      <c r="C13" s="36"/>
      <c r="D13" s="9">
        <v>15002</v>
      </c>
      <c r="E13" s="37">
        <v>17994</v>
      </c>
      <c r="F13" s="37"/>
      <c r="G13" s="9">
        <v>17894</v>
      </c>
      <c r="H13" s="37">
        <v>22279</v>
      </c>
      <c r="I13" s="37"/>
      <c r="J13" s="37">
        <v>19669</v>
      </c>
      <c r="K13" s="37">
        <v>25564</v>
      </c>
    </row>
    <row r="14" spans="1:11" x14ac:dyDescent="0.25">
      <c r="A14" s="36" t="s">
        <v>17</v>
      </c>
      <c r="B14" s="36"/>
      <c r="C14" s="36"/>
      <c r="D14" s="9">
        <v>6248802</v>
      </c>
      <c r="E14" s="37">
        <v>6317802</v>
      </c>
      <c r="F14" s="37"/>
      <c r="G14" s="9">
        <v>6763500</v>
      </c>
      <c r="H14" s="37">
        <v>6866262</v>
      </c>
      <c r="I14" s="37"/>
      <c r="J14" s="37">
        <v>7497932</v>
      </c>
      <c r="K14" s="37">
        <v>7646140</v>
      </c>
    </row>
    <row r="15" spans="1:11" x14ac:dyDescent="0.25">
      <c r="A15" s="1" t="s">
        <v>179</v>
      </c>
      <c r="B15" s="1"/>
      <c r="C15" s="1"/>
      <c r="D15" s="4">
        <f>SUM(D5:D13)-D14</f>
        <v>0</v>
      </c>
      <c r="E15" s="4">
        <f>SUM(E5:E13)-E14</f>
        <v>-1</v>
      </c>
      <c r="G15" s="4">
        <f>SUM(G5:G13)-G14</f>
        <v>0</v>
      </c>
      <c r="H15" s="4">
        <f>SUM(H5:H13)-H14</f>
        <v>0</v>
      </c>
      <c r="J15" s="4">
        <f>SUM(J5:J13)-J14</f>
        <v>0</v>
      </c>
      <c r="K15" s="4">
        <f>SUM(K5:K13)-K14</f>
        <v>0</v>
      </c>
    </row>
    <row r="16" spans="1:11" x14ac:dyDescent="0.25">
      <c r="A16" s="36" t="s">
        <v>17</v>
      </c>
      <c r="B16" s="1"/>
      <c r="C16" s="1"/>
      <c r="D16" s="4">
        <f>D14+E14</f>
        <v>12566604</v>
      </c>
      <c r="E16" s="4">
        <f>D16</f>
        <v>12566604</v>
      </c>
      <c r="G16" s="4">
        <f>G14+H14</f>
        <v>13629762</v>
      </c>
      <c r="H16" s="4">
        <f>G16</f>
        <v>13629762</v>
      </c>
      <c r="J16" s="4">
        <f>J14+K14</f>
        <v>15144072</v>
      </c>
      <c r="K16" s="4">
        <f>J16</f>
        <v>15144072</v>
      </c>
    </row>
    <row r="17" spans="1:20" x14ac:dyDescent="0.25">
      <c r="A17" s="1"/>
      <c r="B17" s="1"/>
      <c r="C17" s="1"/>
    </row>
    <row r="18" spans="1:20" x14ac:dyDescent="0.25">
      <c r="A18" s="1"/>
      <c r="B18" s="1"/>
      <c r="C18" s="1"/>
      <c r="N18" s="40" t="s">
        <v>115</v>
      </c>
      <c r="O18" s="40"/>
      <c r="P18" s="40"/>
      <c r="Q18" s="40"/>
      <c r="R18" s="40"/>
      <c r="S18" s="40"/>
      <c r="T18" s="40"/>
    </row>
    <row r="19" spans="1:20" x14ac:dyDescent="0.25">
      <c r="A19" s="39" t="s">
        <v>180</v>
      </c>
      <c r="B19" s="1"/>
      <c r="C19" s="1"/>
      <c r="N19" t="s">
        <v>132</v>
      </c>
      <c r="Q19" t="s">
        <v>133</v>
      </c>
      <c r="T19" t="s">
        <v>178</v>
      </c>
    </row>
    <row r="20" spans="1:20" x14ac:dyDescent="0.25">
      <c r="A20" s="39"/>
      <c r="B20" s="1"/>
      <c r="C20" s="1"/>
    </row>
    <row r="21" spans="1:20" x14ac:dyDescent="0.25">
      <c r="A21" s="36" t="s">
        <v>175</v>
      </c>
      <c r="B21">
        <v>5</v>
      </c>
      <c r="D21" s="38">
        <f>100*D5/D$16</f>
        <v>14.785951717743314</v>
      </c>
      <c r="E21" s="38">
        <f>100*E5/E$16</f>
        <v>14.450658268534601</v>
      </c>
      <c r="G21" s="38">
        <f>100*G5/G$16</f>
        <v>14.853729654266891</v>
      </c>
      <c r="H21" s="38">
        <f>100*H5/H$16</f>
        <v>14.50429581969223</v>
      </c>
      <c r="J21" s="38">
        <f>100*J5/J$16</f>
        <v>15.11217722683833</v>
      </c>
      <c r="K21" s="38">
        <f>100*K5/K$16</f>
        <v>14.777359748421693</v>
      </c>
      <c r="N21" s="38">
        <f>(D21+E21) * $B21</f>
        <v>146.18304993138958</v>
      </c>
      <c r="Q21" s="38">
        <f>(G21+H21) * $B21</f>
        <v>146.79012736979561</v>
      </c>
      <c r="T21" s="38">
        <f>(J21+K21) * $B21</f>
        <v>149.44768487630012</v>
      </c>
    </row>
    <row r="22" spans="1:20" x14ac:dyDescent="0.25">
      <c r="A22" s="36" t="s">
        <v>4</v>
      </c>
      <c r="B22">
        <f>B21+10</f>
        <v>15</v>
      </c>
      <c r="D22" s="38">
        <f t="shared" ref="D22:E22" si="0">100*D6/D$16</f>
        <v>10.57322248715723</v>
      </c>
      <c r="E22" s="38">
        <f t="shared" si="0"/>
        <v>10.442614408793338</v>
      </c>
      <c r="G22" s="38">
        <f t="shared" ref="G22:H22" si="1">100*G6/G$16</f>
        <v>10.431289996112918</v>
      </c>
      <c r="H22" s="38">
        <f t="shared" si="1"/>
        <v>10.455611770770465</v>
      </c>
      <c r="J22" s="38">
        <f t="shared" ref="J22:K22" si="2">100*J6/J$16</f>
        <v>10.506361829235889</v>
      </c>
      <c r="K22" s="38">
        <f t="shared" si="2"/>
        <v>10.553106192310761</v>
      </c>
      <c r="N22" s="38">
        <f t="shared" ref="N22:N29" si="3">(D22+E22) * $B22</f>
        <v>315.23755343925853</v>
      </c>
      <c r="Q22" s="38">
        <f t="shared" ref="Q22:Q29" si="4">(G22+H22) * $B22</f>
        <v>313.30352650325074</v>
      </c>
      <c r="T22" s="38">
        <f t="shared" ref="T22:T29" si="5">(J22+K22) * $B22</f>
        <v>315.89202032319974</v>
      </c>
    </row>
    <row r="23" spans="1:20" x14ac:dyDescent="0.25">
      <c r="A23" s="36" t="s">
        <v>5</v>
      </c>
      <c r="B23">
        <f t="shared" ref="B23:B28" si="6">B22+10</f>
        <v>25</v>
      </c>
      <c r="D23" s="38">
        <f t="shared" ref="D23:E23" si="7">100*D7/D$16</f>
        <v>8.1745553532203292</v>
      </c>
      <c r="E23" s="38">
        <f t="shared" si="7"/>
        <v>8.3175613713935768</v>
      </c>
      <c r="G23" s="38">
        <f t="shared" ref="G23:H23" si="8">100*G7/G$16</f>
        <v>8.0908162593007855</v>
      </c>
      <c r="H23" s="38">
        <f t="shared" si="8"/>
        <v>8.1314479299051587</v>
      </c>
      <c r="J23" s="38">
        <f t="shared" ref="J23:K23" si="9">100*J7/J$16</f>
        <v>8.1018632241051147</v>
      </c>
      <c r="K23" s="38">
        <f t="shared" si="9"/>
        <v>8.1190514677954511</v>
      </c>
      <c r="N23" s="38">
        <f t="shared" si="3"/>
        <v>412.30291811534767</v>
      </c>
      <c r="Q23" s="38">
        <f t="shared" si="4"/>
        <v>405.55660473014859</v>
      </c>
      <c r="T23" s="38">
        <f t="shared" si="5"/>
        <v>405.52286729751421</v>
      </c>
    </row>
    <row r="24" spans="1:20" x14ac:dyDescent="0.25">
      <c r="A24" s="36" t="s">
        <v>6</v>
      </c>
      <c r="B24">
        <f t="shared" si="6"/>
        <v>35</v>
      </c>
      <c r="D24" s="38">
        <f t="shared" ref="D24:E24" si="10">100*D8/D$16</f>
        <v>6.1251154249787767</v>
      </c>
      <c r="E24" s="38">
        <f t="shared" si="10"/>
        <v>6.2499860742011126</v>
      </c>
      <c r="G24" s="38">
        <f t="shared" ref="G24:H24" si="11">100*G8/G$16</f>
        <v>5.9921369133224776</v>
      </c>
      <c r="H24" s="38">
        <f t="shared" si="11"/>
        <v>6.2031677442350057</v>
      </c>
      <c r="J24" s="38">
        <f t="shared" ref="J24:K24" si="12">100*J8/J$16</f>
        <v>5.9719671169022437</v>
      </c>
      <c r="K24" s="38">
        <f t="shared" si="12"/>
        <v>6.1925682867857468</v>
      </c>
      <c r="N24" s="38">
        <f t="shared" si="3"/>
        <v>433.12855247129613</v>
      </c>
      <c r="Q24" s="38">
        <f t="shared" si="4"/>
        <v>426.83566301451191</v>
      </c>
      <c r="T24" s="38">
        <f t="shared" si="5"/>
        <v>425.75873912907969</v>
      </c>
    </row>
    <row r="25" spans="1:20" x14ac:dyDescent="0.25">
      <c r="A25" s="36" t="s">
        <v>7</v>
      </c>
      <c r="B25">
        <f t="shared" si="6"/>
        <v>45</v>
      </c>
      <c r="D25" s="38">
        <f t="shared" ref="D25:E25" si="13">100*D9/D$16</f>
        <v>4.4061784711287153</v>
      </c>
      <c r="E25" s="38">
        <f t="shared" si="13"/>
        <v>4.5892271293023956</v>
      </c>
      <c r="G25" s="38">
        <f t="shared" ref="G25:H25" si="14">100*G9/G$16</f>
        <v>4.4920887099862785</v>
      </c>
      <c r="H25" s="38">
        <f t="shared" si="14"/>
        <v>4.6555838612589131</v>
      </c>
      <c r="J25" s="38">
        <f t="shared" ref="J25:K25" si="15">100*J9/J$16</f>
        <v>4.3206014868392071</v>
      </c>
      <c r="K25" s="38">
        <f t="shared" si="15"/>
        <v>4.5112833589275061</v>
      </c>
      <c r="N25" s="38">
        <f t="shared" si="3"/>
        <v>404.79325201939997</v>
      </c>
      <c r="Q25" s="38">
        <f t="shared" si="4"/>
        <v>411.64526570603363</v>
      </c>
      <c r="T25" s="38">
        <f t="shared" si="5"/>
        <v>397.43481805950205</v>
      </c>
    </row>
    <row r="26" spans="1:20" x14ac:dyDescent="0.25">
      <c r="A26" s="36" t="s">
        <v>8</v>
      </c>
      <c r="B26">
        <f t="shared" si="6"/>
        <v>55</v>
      </c>
      <c r="D26" s="38">
        <f t="shared" ref="D26:E26" si="16">100*D10/D$16</f>
        <v>3.050895850621218</v>
      </c>
      <c r="E26" s="38">
        <f t="shared" si="16"/>
        <v>3.3448416135337755</v>
      </c>
      <c r="G26" s="38">
        <f t="shared" ref="G26:H26" si="17">100*G10/G$16</f>
        <v>3.0710807716231581</v>
      </c>
      <c r="H26" s="38">
        <f t="shared" si="17"/>
        <v>3.3620616412817772</v>
      </c>
      <c r="J26" s="38">
        <f t="shared" ref="J26:K26" si="18">100*J10/J$16</f>
        <v>2.9324609655844216</v>
      </c>
      <c r="K26" s="38">
        <f t="shared" si="18"/>
        <v>3.2576641209841051</v>
      </c>
      <c r="N26" s="38">
        <f t="shared" si="3"/>
        <v>351.76556052852465</v>
      </c>
      <c r="Q26" s="38">
        <f t="shared" si="4"/>
        <v>353.82283270977143</v>
      </c>
      <c r="T26" s="38">
        <f t="shared" si="5"/>
        <v>340.45687976126897</v>
      </c>
    </row>
    <row r="27" spans="1:20" x14ac:dyDescent="0.25">
      <c r="A27" s="36" t="s">
        <v>9</v>
      </c>
      <c r="B27">
        <f t="shared" si="6"/>
        <v>65</v>
      </c>
      <c r="D27" s="38">
        <f t="shared" ref="D27:E27" si="19">100*D11/D$16</f>
        <v>1.8476749963633772</v>
      </c>
      <c r="E27" s="38">
        <f t="shared" si="19"/>
        <v>2.013734179894584</v>
      </c>
      <c r="G27" s="38">
        <f t="shared" ref="G27:H27" si="20">100*G11/G$16</f>
        <v>1.8299072280205626</v>
      </c>
      <c r="H27" s="38">
        <f t="shared" si="20"/>
        <v>2.0716355868869902</v>
      </c>
      <c r="J27" s="38">
        <f t="shared" ref="J27:K27" si="21">100*J11/J$16</f>
        <v>1.7432365614743512</v>
      </c>
      <c r="K27" s="38">
        <f t="shared" si="21"/>
        <v>2.0603969658886987</v>
      </c>
      <c r="N27" s="38">
        <f t="shared" si="3"/>
        <v>250.99159645676747</v>
      </c>
      <c r="Q27" s="38">
        <f t="shared" si="4"/>
        <v>253.60028296899094</v>
      </c>
      <c r="T27" s="38">
        <f t="shared" si="5"/>
        <v>247.23617927859823</v>
      </c>
    </row>
    <row r="28" spans="1:20" x14ac:dyDescent="0.25">
      <c r="A28" s="36" t="s">
        <v>176</v>
      </c>
      <c r="B28">
        <f t="shared" si="6"/>
        <v>75</v>
      </c>
      <c r="D28" s="38">
        <f t="shared" ref="D28:E28" si="22">100*D12/D$16</f>
        <v>0.6424886150625897</v>
      </c>
      <c r="E28" s="38">
        <f t="shared" si="22"/>
        <v>0.72271713185201025</v>
      </c>
      <c r="G28" s="38">
        <f t="shared" ref="G28:H28" si="23">100*G12/G$16</f>
        <v>0.73068774054895458</v>
      </c>
      <c r="H28" s="38">
        <f t="shared" si="23"/>
        <v>0.82971368098723952</v>
      </c>
      <c r="J28" s="38">
        <f t="shared" ref="J28:K28" si="24">100*J12/J$16</f>
        <v>0.69212560531936196</v>
      </c>
      <c r="K28" s="38">
        <f t="shared" si="24"/>
        <v>0.84909131441002128</v>
      </c>
      <c r="N28" s="38">
        <f t="shared" si="3"/>
        <v>102.390431018595</v>
      </c>
      <c r="Q28" s="38">
        <f t="shared" si="4"/>
        <v>117.03010661521456</v>
      </c>
      <c r="T28" s="38">
        <f t="shared" si="5"/>
        <v>115.59126897970374</v>
      </c>
    </row>
    <row r="29" spans="1:20" x14ac:dyDescent="0.25">
      <c r="A29" s="36" t="s">
        <v>177</v>
      </c>
      <c r="B29">
        <v>90</v>
      </c>
      <c r="D29" s="38">
        <f t="shared" ref="D29:E29" si="25">100*D13/D$16</f>
        <v>0.11937990566106801</v>
      </c>
      <c r="E29" s="38">
        <f t="shared" si="25"/>
        <v>0.1431890429586227</v>
      </c>
      <c r="G29" s="38">
        <f t="shared" ref="G29:H29" si="26">100*G13/G$16</f>
        <v>0.13128622495389133</v>
      </c>
      <c r="H29" s="38">
        <f t="shared" si="26"/>
        <v>0.16345846684630297</v>
      </c>
      <c r="J29" s="38">
        <f t="shared" ref="J29:K29" si="27">100*J13/J$16</f>
        <v>0.12987920289866556</v>
      </c>
      <c r="K29" s="38">
        <f t="shared" si="27"/>
        <v>0.16880532527843237</v>
      </c>
      <c r="N29" s="38">
        <f t="shared" si="3"/>
        <v>23.631205375772165</v>
      </c>
      <c r="Q29" s="38">
        <f t="shared" si="4"/>
        <v>26.527022262017486</v>
      </c>
      <c r="T29" s="38">
        <f t="shared" si="5"/>
        <v>26.881607535938812</v>
      </c>
    </row>
    <row r="30" spans="1:20" x14ac:dyDescent="0.25">
      <c r="A30" s="1" t="s">
        <v>179</v>
      </c>
      <c r="D30" s="38">
        <f>SUM(D21:D29)</f>
        <v>49.725462821936624</v>
      </c>
      <c r="E30" s="38">
        <f>SUM(E21:E29)</f>
        <v>50.274529220464011</v>
      </c>
      <c r="G30" s="38">
        <f>SUM(G21:G29)</f>
        <v>49.623023498135908</v>
      </c>
      <c r="H30" s="38">
        <f>SUM(H21:H29)</f>
        <v>50.376976501864078</v>
      </c>
      <c r="J30" s="38">
        <f>SUM(J21:J29)</f>
        <v>49.510673219197585</v>
      </c>
      <c r="K30" s="38">
        <f>SUM(K21:K29)</f>
        <v>50.489326780802422</v>
      </c>
    </row>
    <row r="31" spans="1:20" x14ac:dyDescent="0.25">
      <c r="D31" s="38">
        <f>D30+E30-100</f>
        <v>-7.9575993652269972E-6</v>
      </c>
      <c r="G31" s="38">
        <f>G30+H30-100</f>
        <v>0</v>
      </c>
      <c r="J31" s="38">
        <f>J30+K30-100</f>
        <v>0</v>
      </c>
      <c r="N31" s="41">
        <f>SUM(N21:N29) / 100</f>
        <v>24.404241193563507</v>
      </c>
      <c r="Q31" s="41">
        <f>SUM(Q21:Q29) / 100</f>
        <v>24.55111431879735</v>
      </c>
      <c r="T31" s="41">
        <f>SUM(T21:T29) / 100</f>
        <v>24.242220652411053</v>
      </c>
    </row>
    <row r="34" spans="1:13" x14ac:dyDescent="0.25">
      <c r="A34" t="s">
        <v>181</v>
      </c>
    </row>
    <row r="35" spans="1:13" x14ac:dyDescent="0.25">
      <c r="D35" s="32" t="s">
        <v>114</v>
      </c>
      <c r="E35" s="32"/>
      <c r="G35" s="32" t="s">
        <v>114</v>
      </c>
      <c r="H35" s="32"/>
      <c r="I35" s="32"/>
      <c r="K35" s="40" t="s">
        <v>183</v>
      </c>
      <c r="L35" s="40"/>
      <c r="M35" s="40"/>
    </row>
    <row r="36" spans="1:13" x14ac:dyDescent="0.25">
      <c r="A36" s="29" t="s">
        <v>16</v>
      </c>
      <c r="D36" s="35" t="s">
        <v>0</v>
      </c>
      <c r="E36" s="35" t="s">
        <v>1</v>
      </c>
      <c r="H36" s="2" t="s">
        <v>0</v>
      </c>
      <c r="I36" s="2" t="s">
        <v>1</v>
      </c>
      <c r="L36" s="2" t="s">
        <v>0</v>
      </c>
      <c r="M36" s="2" t="s">
        <v>1</v>
      </c>
    </row>
    <row r="37" spans="1:13" x14ac:dyDescent="0.25">
      <c r="A37" s="10">
        <v>0</v>
      </c>
      <c r="D37" s="4">
        <v>1799585</v>
      </c>
      <c r="E37" s="4">
        <v>1792949</v>
      </c>
      <c r="G37" s="36" t="s">
        <v>175</v>
      </c>
      <c r="H37" s="37">
        <f>SUM(D37:D46)</f>
        <v>13416156</v>
      </c>
      <c r="I37" s="37">
        <f>SUM(E37:E46)</f>
        <v>13585144</v>
      </c>
      <c r="K37" s="36" t="s">
        <v>175</v>
      </c>
      <c r="L37" s="38">
        <f>H37/H$49*100</f>
        <v>13.528830731458646</v>
      </c>
      <c r="M37" s="38">
        <f>I37/I$49*100</f>
        <v>13.699237966410873</v>
      </c>
    </row>
    <row r="38" spans="1:13" x14ac:dyDescent="0.25">
      <c r="A38" s="10">
        <v>1</v>
      </c>
      <c r="D38" s="4">
        <v>1430584</v>
      </c>
      <c r="E38" s="4">
        <v>1450048</v>
      </c>
      <c r="G38" s="36" t="s">
        <v>4</v>
      </c>
      <c r="H38" s="9">
        <f>SUM(D47:D56)</f>
        <v>10341973</v>
      </c>
      <c r="I38" s="9">
        <f>SUM(E47:E56)</f>
        <v>10775804</v>
      </c>
      <c r="K38" s="36" t="s">
        <v>4</v>
      </c>
      <c r="L38" s="38">
        <f t="shared" ref="L38:M45" si="28">H38/H$49*100</f>
        <v>10.428829401381108</v>
      </c>
      <c r="M38" s="38">
        <f t="shared" si="28"/>
        <v>10.866303903396398</v>
      </c>
    </row>
    <row r="39" spans="1:13" x14ac:dyDescent="0.25">
      <c r="A39" s="10">
        <v>2</v>
      </c>
      <c r="D39" s="4">
        <v>1450430</v>
      </c>
      <c r="E39" s="4">
        <v>1460857</v>
      </c>
      <c r="G39" s="36" t="s">
        <v>5</v>
      </c>
      <c r="H39" s="9">
        <f>SUM(D57:D66)</f>
        <v>7645101</v>
      </c>
      <c r="I39" s="9">
        <f>SUM(E57:E66)</f>
        <v>8068598</v>
      </c>
      <c r="K39" s="36" t="s">
        <v>5</v>
      </c>
      <c r="L39" s="38">
        <f t="shared" si="28"/>
        <v>7.7093078936995978</v>
      </c>
      <c r="M39" s="38">
        <f t="shared" si="28"/>
        <v>8.1363616062742388</v>
      </c>
    </row>
    <row r="40" spans="1:13" x14ac:dyDescent="0.25">
      <c r="A40" s="10">
        <v>3</v>
      </c>
      <c r="D40" s="4">
        <v>1428134</v>
      </c>
      <c r="E40" s="4">
        <v>1448117</v>
      </c>
      <c r="G40" s="36" t="s">
        <v>6</v>
      </c>
      <c r="H40" s="9">
        <f>SUM(D67:D76)</f>
        <v>6067167</v>
      </c>
      <c r="I40" s="9">
        <f>SUM(E67:E76)</f>
        <v>6248301</v>
      </c>
      <c r="K40" s="36" t="s">
        <v>6</v>
      </c>
      <c r="L40" s="38">
        <f t="shared" si="28"/>
        <v>6.1181217155265459</v>
      </c>
      <c r="M40" s="38">
        <f t="shared" si="28"/>
        <v>6.3007769578859838</v>
      </c>
    </row>
    <row r="41" spans="1:13" x14ac:dyDescent="0.25">
      <c r="A41" s="10">
        <v>4</v>
      </c>
      <c r="D41" s="4">
        <v>1331294</v>
      </c>
      <c r="E41" s="4">
        <v>1363876</v>
      </c>
      <c r="G41" s="36" t="s">
        <v>7</v>
      </c>
      <c r="H41" s="9">
        <f>SUM(D77:D86)</f>
        <v>4628357</v>
      </c>
      <c r="I41" s="9">
        <f>SUM(E77:E86)</f>
        <v>4737341</v>
      </c>
      <c r="K41" s="36" t="s">
        <v>7</v>
      </c>
      <c r="L41" s="38">
        <f t="shared" si="28"/>
        <v>4.6672279614042758</v>
      </c>
      <c r="M41" s="38">
        <f t="shared" si="28"/>
        <v>4.7771272565851977</v>
      </c>
    </row>
    <row r="42" spans="1:13" x14ac:dyDescent="0.25">
      <c r="A42" s="10">
        <v>5</v>
      </c>
      <c r="D42" s="4">
        <v>1253530</v>
      </c>
      <c r="E42" s="4">
        <v>1269384</v>
      </c>
      <c r="G42" s="36" t="s">
        <v>8</v>
      </c>
      <c r="H42" s="9">
        <f>SUM(D87:D96)</f>
        <v>3236247</v>
      </c>
      <c r="I42" s="9">
        <f>SUM(E87:E96)</f>
        <v>3436004</v>
      </c>
      <c r="K42" s="36" t="s">
        <v>8</v>
      </c>
      <c r="L42" s="38">
        <f t="shared" si="28"/>
        <v>3.2634264142568745</v>
      </c>
      <c r="M42" s="38">
        <f t="shared" si="28"/>
        <v>3.4648610606953909</v>
      </c>
    </row>
    <row r="43" spans="1:13" x14ac:dyDescent="0.25">
      <c r="A43" s="10">
        <v>6</v>
      </c>
      <c r="D43" s="4">
        <v>1232195</v>
      </c>
      <c r="E43" s="4">
        <v>1247881</v>
      </c>
      <c r="G43" s="36" t="s">
        <v>9</v>
      </c>
      <c r="H43" s="9">
        <f>SUM(D97:D106)</f>
        <v>2123010</v>
      </c>
      <c r="I43" s="9">
        <f>SUM(E97:E106)</f>
        <v>2264552</v>
      </c>
      <c r="K43" s="36" t="s">
        <v>9</v>
      </c>
      <c r="L43" s="38">
        <f t="shared" si="28"/>
        <v>2.140839964233721</v>
      </c>
      <c r="M43" s="38">
        <f t="shared" si="28"/>
        <v>2.2835706957034594</v>
      </c>
    </row>
    <row r="44" spans="1:13" x14ac:dyDescent="0.25">
      <c r="A44" s="10">
        <v>7</v>
      </c>
      <c r="D44" s="4">
        <v>1179192</v>
      </c>
      <c r="E44" s="4">
        <v>1223008</v>
      </c>
      <c r="G44" s="36" t="s">
        <v>176</v>
      </c>
      <c r="H44" s="9">
        <f>SUM(D107:D116)</f>
        <v>930891</v>
      </c>
      <c r="I44" s="9">
        <f>SUM(E107:E116)</f>
        <v>1021278</v>
      </c>
      <c r="K44" s="36" t="s">
        <v>176</v>
      </c>
      <c r="L44" s="38">
        <f t="shared" si="28"/>
        <v>0.93870902875892848</v>
      </c>
      <c r="M44" s="38">
        <f t="shared" si="28"/>
        <v>1.0298551382201149</v>
      </c>
    </row>
    <row r="45" spans="1:13" x14ac:dyDescent="0.25">
      <c r="A45" s="10">
        <v>8</v>
      </c>
      <c r="D45" s="4">
        <v>1215578</v>
      </c>
      <c r="E45" s="4">
        <v>1235027</v>
      </c>
      <c r="G45" s="36" t="s">
        <v>177</v>
      </c>
      <c r="H45" s="9">
        <f>SUM(D117:D146)</f>
        <v>307220</v>
      </c>
      <c r="I45" s="9">
        <f>SUM(E117:E146)</f>
        <v>334007</v>
      </c>
      <c r="K45" s="36" t="s">
        <v>177</v>
      </c>
      <c r="L45" s="38">
        <f t="shared" si="28"/>
        <v>0.30980016759783691</v>
      </c>
      <c r="M45" s="38">
        <f t="shared" si="28"/>
        <v>0.33681213651080893</v>
      </c>
    </row>
    <row r="46" spans="1:13" x14ac:dyDescent="0.25">
      <c r="A46" s="10">
        <v>9</v>
      </c>
      <c r="D46" s="4">
        <v>1095634</v>
      </c>
      <c r="E46" s="4">
        <v>1093997</v>
      </c>
    </row>
    <row r="47" spans="1:13" x14ac:dyDescent="0.25">
      <c r="A47" s="10">
        <v>10</v>
      </c>
      <c r="D47" s="4">
        <v>1204078</v>
      </c>
      <c r="E47" s="4">
        <v>1215355</v>
      </c>
      <c r="G47" s="36" t="s">
        <v>17</v>
      </c>
      <c r="H47" s="4">
        <f>SUM(H37:H45)</f>
        <v>48696122</v>
      </c>
      <c r="I47" s="4">
        <f>SUM(I37:I45)</f>
        <v>50471029</v>
      </c>
    </row>
    <row r="48" spans="1:13" x14ac:dyDescent="0.25">
      <c r="A48" s="10">
        <v>11</v>
      </c>
      <c r="D48" s="4">
        <v>981933</v>
      </c>
      <c r="E48" s="4">
        <v>969224</v>
      </c>
      <c r="G48" s="36" t="s">
        <v>182</v>
      </c>
      <c r="H48" s="4">
        <f>H47-D148</f>
        <v>0</v>
      </c>
      <c r="I48" s="4">
        <f>I47-E148</f>
        <v>0</v>
      </c>
    </row>
    <row r="49" spans="1:9" x14ac:dyDescent="0.25">
      <c r="A49" s="10">
        <v>12</v>
      </c>
      <c r="D49" s="4">
        <v>1276307</v>
      </c>
      <c r="E49" s="4">
        <v>1281067</v>
      </c>
      <c r="G49" s="36" t="s">
        <v>17</v>
      </c>
      <c r="H49" s="4">
        <f>H47+I47</f>
        <v>99167151</v>
      </c>
      <c r="I49" s="4">
        <f>H49</f>
        <v>99167151</v>
      </c>
    </row>
    <row r="50" spans="1:9" x14ac:dyDescent="0.25">
      <c r="A50" s="10">
        <v>13</v>
      </c>
      <c r="D50" s="4">
        <v>1052707</v>
      </c>
      <c r="E50" s="4">
        <v>1058899</v>
      </c>
    </row>
    <row r="51" spans="1:9" x14ac:dyDescent="0.25">
      <c r="A51" s="10">
        <v>14</v>
      </c>
      <c r="D51" s="4">
        <v>1023946</v>
      </c>
      <c r="E51" s="4">
        <v>1049048</v>
      </c>
    </row>
    <row r="52" spans="1:9" x14ac:dyDescent="0.25">
      <c r="A52" s="10">
        <v>15</v>
      </c>
      <c r="D52" s="4">
        <v>992837</v>
      </c>
      <c r="E52" s="4">
        <v>1022042</v>
      </c>
    </row>
    <row r="53" spans="1:9" x14ac:dyDescent="0.25">
      <c r="A53" s="10">
        <v>16</v>
      </c>
      <c r="D53" s="4">
        <v>984612</v>
      </c>
      <c r="E53" s="4">
        <v>1094871</v>
      </c>
    </row>
    <row r="54" spans="1:9" x14ac:dyDescent="0.25">
      <c r="A54" s="10">
        <v>17</v>
      </c>
      <c r="D54" s="4">
        <v>978629</v>
      </c>
      <c r="E54" s="4">
        <v>1098460</v>
      </c>
    </row>
    <row r="55" spans="1:9" x14ac:dyDescent="0.25">
      <c r="A55" s="10">
        <v>18</v>
      </c>
      <c r="D55" s="4">
        <v>998723</v>
      </c>
      <c r="E55" s="4">
        <v>1089350</v>
      </c>
    </row>
    <row r="56" spans="1:9" x14ac:dyDescent="0.25">
      <c r="A56" s="10">
        <v>19</v>
      </c>
      <c r="D56" s="4">
        <v>848201</v>
      </c>
      <c r="E56" s="4">
        <v>897488</v>
      </c>
    </row>
    <row r="57" spans="1:9" x14ac:dyDescent="0.25">
      <c r="A57" s="10">
        <v>20</v>
      </c>
      <c r="D57" s="4">
        <v>879164</v>
      </c>
      <c r="E57" s="4">
        <v>1192042</v>
      </c>
    </row>
    <row r="58" spans="1:9" x14ac:dyDescent="0.25">
      <c r="A58" s="10">
        <v>21</v>
      </c>
      <c r="D58" s="4">
        <v>800179</v>
      </c>
      <c r="E58" s="4">
        <v>636809</v>
      </c>
    </row>
    <row r="59" spans="1:9" x14ac:dyDescent="0.25">
      <c r="A59" s="10">
        <v>22</v>
      </c>
      <c r="D59" s="4">
        <v>863687</v>
      </c>
      <c r="E59" s="4">
        <v>885528</v>
      </c>
    </row>
    <row r="60" spans="1:9" x14ac:dyDescent="0.25">
      <c r="A60" s="10">
        <v>23</v>
      </c>
      <c r="D60" s="4">
        <v>791814</v>
      </c>
      <c r="E60" s="4">
        <v>825830</v>
      </c>
    </row>
    <row r="61" spans="1:9" x14ac:dyDescent="0.25">
      <c r="A61" s="10">
        <v>24</v>
      </c>
      <c r="D61" s="4">
        <v>690732</v>
      </c>
      <c r="E61" s="4">
        <v>720216</v>
      </c>
    </row>
    <row r="62" spans="1:9" x14ac:dyDescent="0.25">
      <c r="A62" s="10">
        <v>25</v>
      </c>
      <c r="D62" s="4">
        <v>795114</v>
      </c>
      <c r="E62" s="4">
        <v>1072869</v>
      </c>
    </row>
    <row r="63" spans="1:9" x14ac:dyDescent="0.25">
      <c r="A63" s="10">
        <v>26</v>
      </c>
      <c r="D63" s="4">
        <v>748462</v>
      </c>
      <c r="E63" s="4">
        <v>727473</v>
      </c>
    </row>
    <row r="64" spans="1:9" x14ac:dyDescent="0.25">
      <c r="A64" s="10">
        <v>27</v>
      </c>
      <c r="D64" s="4">
        <v>785934</v>
      </c>
      <c r="E64" s="4">
        <v>760804</v>
      </c>
    </row>
    <row r="65" spans="1:5" x14ac:dyDescent="0.25">
      <c r="A65" s="10">
        <v>28</v>
      </c>
      <c r="D65" s="4">
        <v>785014</v>
      </c>
      <c r="E65" s="4">
        <v>807738</v>
      </c>
    </row>
    <row r="66" spans="1:5" x14ac:dyDescent="0.25">
      <c r="A66" s="10">
        <v>29</v>
      </c>
      <c r="D66" s="4">
        <v>505001</v>
      </c>
      <c r="E66" s="4">
        <v>439289</v>
      </c>
    </row>
    <row r="67" spans="1:5" x14ac:dyDescent="0.25">
      <c r="A67" s="10">
        <v>30</v>
      </c>
      <c r="D67" s="4">
        <v>1055694</v>
      </c>
      <c r="E67" s="4">
        <v>1376799</v>
      </c>
    </row>
    <row r="68" spans="1:5" x14ac:dyDescent="0.25">
      <c r="A68" s="10">
        <v>31</v>
      </c>
      <c r="D68" s="4">
        <v>401717</v>
      </c>
      <c r="E68" s="4">
        <v>339826</v>
      </c>
    </row>
    <row r="69" spans="1:5" x14ac:dyDescent="0.25">
      <c r="A69" s="10">
        <v>32</v>
      </c>
      <c r="D69" s="4">
        <v>602761</v>
      </c>
      <c r="E69" s="4">
        <v>581295</v>
      </c>
    </row>
    <row r="70" spans="1:5" x14ac:dyDescent="0.25">
      <c r="A70" s="10">
        <v>33</v>
      </c>
      <c r="D70" s="4">
        <v>573913</v>
      </c>
      <c r="E70" s="4">
        <v>527699</v>
      </c>
    </row>
    <row r="71" spans="1:5" x14ac:dyDescent="0.25">
      <c r="A71" s="10">
        <v>34</v>
      </c>
      <c r="D71" s="4">
        <v>431960</v>
      </c>
      <c r="E71" s="4">
        <v>437786</v>
      </c>
    </row>
    <row r="72" spans="1:5" x14ac:dyDescent="0.25">
      <c r="A72" s="10">
        <v>35</v>
      </c>
      <c r="D72" s="4">
        <v>813420</v>
      </c>
      <c r="E72" s="4">
        <v>952338</v>
      </c>
    </row>
    <row r="73" spans="1:5" x14ac:dyDescent="0.25">
      <c r="A73" s="10">
        <v>36</v>
      </c>
      <c r="D73" s="4">
        <v>570698</v>
      </c>
      <c r="E73" s="4">
        <v>543752</v>
      </c>
    </row>
    <row r="74" spans="1:5" x14ac:dyDescent="0.25">
      <c r="A74" s="10">
        <v>37</v>
      </c>
      <c r="D74" s="4">
        <v>584686</v>
      </c>
      <c r="E74" s="4">
        <v>542612</v>
      </c>
    </row>
    <row r="75" spans="1:5" x14ac:dyDescent="0.25">
      <c r="A75" s="10">
        <v>38</v>
      </c>
      <c r="D75" s="4">
        <v>632533</v>
      </c>
      <c r="E75" s="4">
        <v>605566</v>
      </c>
    </row>
    <row r="76" spans="1:5" x14ac:dyDescent="0.25">
      <c r="A76" s="10">
        <v>39</v>
      </c>
      <c r="D76" s="4">
        <v>399785</v>
      </c>
      <c r="E76" s="4">
        <v>340628</v>
      </c>
    </row>
    <row r="77" spans="1:5" x14ac:dyDescent="0.25">
      <c r="A77" s="10">
        <v>40</v>
      </c>
      <c r="D77" s="4">
        <v>905505</v>
      </c>
      <c r="E77" s="4">
        <v>1199144</v>
      </c>
    </row>
    <row r="78" spans="1:5" x14ac:dyDescent="0.25">
      <c r="A78" s="10">
        <v>41</v>
      </c>
      <c r="D78" s="4">
        <v>308069</v>
      </c>
      <c r="E78" s="4">
        <v>256184</v>
      </c>
    </row>
    <row r="79" spans="1:5" x14ac:dyDescent="0.25">
      <c r="A79" s="10">
        <v>42</v>
      </c>
      <c r="D79" s="4">
        <v>503889</v>
      </c>
      <c r="E79" s="4">
        <v>452626</v>
      </c>
    </row>
    <row r="80" spans="1:5" x14ac:dyDescent="0.25">
      <c r="A80" s="10">
        <v>43</v>
      </c>
      <c r="D80" s="4">
        <v>423710</v>
      </c>
      <c r="E80" s="4">
        <v>385797</v>
      </c>
    </row>
    <row r="81" spans="1:5" x14ac:dyDescent="0.25">
      <c r="A81" s="10">
        <v>44</v>
      </c>
      <c r="D81" s="4">
        <v>341645</v>
      </c>
      <c r="E81" s="4">
        <v>328233</v>
      </c>
    </row>
    <row r="82" spans="1:5" x14ac:dyDescent="0.25">
      <c r="A82" s="10">
        <v>45</v>
      </c>
      <c r="D82" s="4">
        <v>715609</v>
      </c>
      <c r="E82" s="4">
        <v>796360</v>
      </c>
    </row>
    <row r="83" spans="1:5" x14ac:dyDescent="0.25">
      <c r="A83" s="10">
        <v>46</v>
      </c>
      <c r="D83" s="4">
        <v>383680</v>
      </c>
      <c r="E83" s="4">
        <v>340053</v>
      </c>
    </row>
    <row r="84" spans="1:5" x14ac:dyDescent="0.25">
      <c r="A84" s="10">
        <v>47</v>
      </c>
      <c r="D84" s="4">
        <v>360612</v>
      </c>
      <c r="E84" s="4">
        <v>335352</v>
      </c>
    </row>
    <row r="85" spans="1:5" x14ac:dyDescent="0.25">
      <c r="A85" s="10">
        <v>48</v>
      </c>
      <c r="D85" s="4">
        <v>440852</v>
      </c>
      <c r="E85" s="4">
        <v>419733</v>
      </c>
    </row>
    <row r="86" spans="1:5" x14ac:dyDescent="0.25">
      <c r="A86" s="10">
        <v>49</v>
      </c>
      <c r="D86" s="4">
        <v>244786</v>
      </c>
      <c r="E86" s="4">
        <v>223859</v>
      </c>
    </row>
    <row r="87" spans="1:5" x14ac:dyDescent="0.25">
      <c r="A87" s="10">
        <v>50</v>
      </c>
      <c r="D87" s="4">
        <v>812835</v>
      </c>
      <c r="E87" s="4">
        <v>1082324</v>
      </c>
    </row>
    <row r="88" spans="1:5" x14ac:dyDescent="0.25">
      <c r="A88" s="10">
        <v>51</v>
      </c>
      <c r="D88" s="4">
        <v>183378</v>
      </c>
      <c r="E88" s="4">
        <v>170897</v>
      </c>
    </row>
    <row r="89" spans="1:5" x14ac:dyDescent="0.25">
      <c r="A89" s="10">
        <v>52</v>
      </c>
      <c r="D89" s="4">
        <v>313188</v>
      </c>
      <c r="E89" s="4">
        <v>295658</v>
      </c>
    </row>
    <row r="90" spans="1:5" x14ac:dyDescent="0.25">
      <c r="A90" s="10">
        <v>53</v>
      </c>
      <c r="D90" s="4">
        <v>259360</v>
      </c>
      <c r="E90" s="4">
        <v>253700</v>
      </c>
    </row>
    <row r="91" spans="1:5" x14ac:dyDescent="0.25">
      <c r="A91" s="10">
        <v>54</v>
      </c>
      <c r="D91" s="4">
        <v>210742</v>
      </c>
      <c r="E91" s="4">
        <v>222184</v>
      </c>
    </row>
    <row r="92" spans="1:5" x14ac:dyDescent="0.25">
      <c r="A92" s="10">
        <v>55</v>
      </c>
      <c r="D92" s="4">
        <v>542450</v>
      </c>
      <c r="E92" s="4">
        <v>585136</v>
      </c>
    </row>
    <row r="93" spans="1:5" x14ac:dyDescent="0.25">
      <c r="A93" s="10">
        <v>56</v>
      </c>
      <c r="D93" s="4">
        <v>288780</v>
      </c>
      <c r="E93" s="4">
        <v>258577</v>
      </c>
    </row>
    <row r="94" spans="1:5" x14ac:dyDescent="0.25">
      <c r="A94" s="10">
        <v>57</v>
      </c>
      <c r="D94" s="4">
        <v>232543</v>
      </c>
      <c r="E94" s="4">
        <v>208310</v>
      </c>
    </row>
    <row r="95" spans="1:5" x14ac:dyDescent="0.25">
      <c r="A95" s="10">
        <v>58</v>
      </c>
      <c r="D95" s="4">
        <v>252281</v>
      </c>
      <c r="E95" s="4">
        <v>233912</v>
      </c>
    </row>
    <row r="96" spans="1:5" x14ac:dyDescent="0.25">
      <c r="A96" s="10">
        <v>59</v>
      </c>
      <c r="D96" s="4">
        <v>140690</v>
      </c>
      <c r="E96" s="4">
        <v>125306</v>
      </c>
    </row>
    <row r="97" spans="1:5" x14ac:dyDescent="0.25">
      <c r="A97" s="10">
        <v>60</v>
      </c>
      <c r="D97" s="4">
        <v>686050</v>
      </c>
      <c r="E97" s="4">
        <v>907775</v>
      </c>
    </row>
    <row r="98" spans="1:5" x14ac:dyDescent="0.25">
      <c r="A98" s="10">
        <v>61</v>
      </c>
      <c r="D98" s="4">
        <v>118251</v>
      </c>
      <c r="E98" s="4">
        <v>102415</v>
      </c>
    </row>
    <row r="99" spans="1:5" x14ac:dyDescent="0.25">
      <c r="A99" s="10">
        <v>62</v>
      </c>
      <c r="D99" s="4">
        <v>197306</v>
      </c>
      <c r="E99" s="4">
        <v>177053</v>
      </c>
    </row>
    <row r="100" spans="1:5" x14ac:dyDescent="0.25">
      <c r="A100" s="10">
        <v>63</v>
      </c>
      <c r="D100" s="4">
        <v>176982</v>
      </c>
      <c r="E100" s="4">
        <v>158971</v>
      </c>
    </row>
    <row r="101" spans="1:5" x14ac:dyDescent="0.25">
      <c r="A101" s="10">
        <v>64</v>
      </c>
      <c r="D101" s="4">
        <v>122679</v>
      </c>
      <c r="E101" s="4">
        <v>117725</v>
      </c>
    </row>
    <row r="102" spans="1:5" x14ac:dyDescent="0.25">
      <c r="A102" s="10">
        <v>65</v>
      </c>
      <c r="D102" s="4">
        <v>357326</v>
      </c>
      <c r="E102" s="4">
        <v>390908</v>
      </c>
    </row>
    <row r="103" spans="1:5" x14ac:dyDescent="0.25">
      <c r="A103" s="10">
        <v>66</v>
      </c>
      <c r="D103" s="4">
        <v>140457</v>
      </c>
      <c r="E103" s="4">
        <v>113437</v>
      </c>
    </row>
    <row r="104" spans="1:5" x14ac:dyDescent="0.25">
      <c r="A104" s="10">
        <v>67</v>
      </c>
      <c r="D104" s="4">
        <v>148740</v>
      </c>
      <c r="E104" s="4">
        <v>127023</v>
      </c>
    </row>
    <row r="105" spans="1:5" x14ac:dyDescent="0.25">
      <c r="A105" s="10">
        <v>68</v>
      </c>
      <c r="D105" s="4">
        <v>114114</v>
      </c>
      <c r="E105" s="4">
        <v>108737</v>
      </c>
    </row>
    <row r="106" spans="1:5" x14ac:dyDescent="0.25">
      <c r="A106" s="10">
        <v>69</v>
      </c>
      <c r="D106" s="4">
        <v>61105</v>
      </c>
      <c r="E106" s="4">
        <v>60508</v>
      </c>
    </row>
    <row r="107" spans="1:5" x14ac:dyDescent="0.25">
      <c r="A107" s="10">
        <v>70</v>
      </c>
      <c r="D107" s="4">
        <v>379260</v>
      </c>
      <c r="E107" s="4">
        <v>522328</v>
      </c>
    </row>
    <row r="108" spans="1:5" x14ac:dyDescent="0.25">
      <c r="A108" s="10">
        <v>71</v>
      </c>
      <c r="D108" s="4">
        <v>47362</v>
      </c>
      <c r="E108" s="4">
        <v>43292</v>
      </c>
    </row>
    <row r="109" spans="1:5" x14ac:dyDescent="0.25">
      <c r="A109" s="10">
        <v>72</v>
      </c>
      <c r="D109" s="4">
        <v>80630</v>
      </c>
      <c r="E109" s="4">
        <v>71854</v>
      </c>
    </row>
    <row r="110" spans="1:5" x14ac:dyDescent="0.25">
      <c r="A110" s="10">
        <v>73</v>
      </c>
      <c r="D110" s="4">
        <v>62901</v>
      </c>
      <c r="E110" s="4">
        <v>55974</v>
      </c>
    </row>
    <row r="111" spans="1:5" x14ac:dyDescent="0.25">
      <c r="A111" s="10">
        <v>74</v>
      </c>
      <c r="D111" s="4">
        <v>46340</v>
      </c>
      <c r="E111" s="4">
        <v>41171</v>
      </c>
    </row>
    <row r="112" spans="1:5" x14ac:dyDescent="0.25">
      <c r="A112" s="10">
        <v>75</v>
      </c>
      <c r="D112" s="4">
        <v>158782</v>
      </c>
      <c r="E112" s="4">
        <v>159422</v>
      </c>
    </row>
    <row r="113" spans="1:5" x14ac:dyDescent="0.25">
      <c r="A113" s="10">
        <v>76</v>
      </c>
      <c r="D113" s="4">
        <v>49674</v>
      </c>
      <c r="E113" s="4">
        <v>39445</v>
      </c>
    </row>
    <row r="114" spans="1:5" x14ac:dyDescent="0.25">
      <c r="A114" s="10">
        <v>77</v>
      </c>
      <c r="D114" s="4">
        <v>40825</v>
      </c>
      <c r="E114" s="4">
        <v>31463</v>
      </c>
    </row>
    <row r="115" spans="1:5" x14ac:dyDescent="0.25">
      <c r="A115" s="10">
        <v>78</v>
      </c>
      <c r="D115" s="4">
        <v>46067</v>
      </c>
      <c r="E115" s="4">
        <v>39379</v>
      </c>
    </row>
    <row r="116" spans="1:5" x14ac:dyDescent="0.25">
      <c r="A116" s="10">
        <v>79</v>
      </c>
      <c r="D116" s="4">
        <v>19050</v>
      </c>
      <c r="E116" s="4">
        <v>16950</v>
      </c>
    </row>
    <row r="117" spans="1:5" x14ac:dyDescent="0.25">
      <c r="A117" s="10">
        <v>80</v>
      </c>
      <c r="D117" s="4">
        <v>141367</v>
      </c>
      <c r="E117" s="4">
        <v>175101</v>
      </c>
    </row>
    <row r="118" spans="1:5" x14ac:dyDescent="0.25">
      <c r="A118" s="10">
        <v>81</v>
      </c>
      <c r="D118" s="4">
        <v>12177</v>
      </c>
      <c r="E118" s="4">
        <v>10458</v>
      </c>
    </row>
    <row r="119" spans="1:5" x14ac:dyDescent="0.25">
      <c r="A119" s="10">
        <v>82</v>
      </c>
      <c r="D119" s="4">
        <v>18053</v>
      </c>
      <c r="E119" s="4">
        <v>15247</v>
      </c>
    </row>
    <row r="120" spans="1:5" x14ac:dyDescent="0.25">
      <c r="A120" s="10">
        <v>83</v>
      </c>
      <c r="D120" s="4">
        <v>13146</v>
      </c>
      <c r="E120" s="4">
        <v>10975</v>
      </c>
    </row>
    <row r="121" spans="1:5" x14ac:dyDescent="0.25">
      <c r="A121" s="10">
        <v>84</v>
      </c>
      <c r="D121" s="4">
        <v>11994</v>
      </c>
      <c r="E121" s="4">
        <v>9312</v>
      </c>
    </row>
    <row r="122" spans="1:5" x14ac:dyDescent="0.25">
      <c r="A122" s="10">
        <v>85</v>
      </c>
      <c r="D122" s="4">
        <v>36446</v>
      </c>
      <c r="E122" s="4">
        <v>34885</v>
      </c>
    </row>
    <row r="123" spans="1:5" x14ac:dyDescent="0.25">
      <c r="A123" s="10">
        <v>86</v>
      </c>
      <c r="D123" s="4">
        <v>9657</v>
      </c>
      <c r="E123" s="4">
        <v>7264</v>
      </c>
    </row>
    <row r="124" spans="1:5" x14ac:dyDescent="0.25">
      <c r="A124" s="10">
        <v>87</v>
      </c>
      <c r="D124" s="4">
        <v>7869</v>
      </c>
      <c r="E124" s="4">
        <v>6388</v>
      </c>
    </row>
    <row r="125" spans="1:5" x14ac:dyDescent="0.25">
      <c r="A125" s="10">
        <v>88</v>
      </c>
      <c r="D125" s="4">
        <v>6313</v>
      </c>
      <c r="E125" s="4">
        <v>5342</v>
      </c>
    </row>
    <row r="126" spans="1:5" x14ac:dyDescent="0.25">
      <c r="A126" s="10">
        <v>89</v>
      </c>
      <c r="D126" s="4">
        <v>3735</v>
      </c>
      <c r="E126" s="4">
        <v>3650</v>
      </c>
    </row>
    <row r="127" spans="1:5" x14ac:dyDescent="0.25">
      <c r="A127" s="10">
        <v>90</v>
      </c>
      <c r="D127" s="4">
        <v>24476</v>
      </c>
      <c r="E127" s="4">
        <v>32625</v>
      </c>
    </row>
    <row r="128" spans="1:5" x14ac:dyDescent="0.25">
      <c r="A128" s="10">
        <v>91</v>
      </c>
      <c r="D128" s="4">
        <v>1560</v>
      </c>
      <c r="E128" s="4">
        <v>1529</v>
      </c>
    </row>
    <row r="129" spans="1:5" x14ac:dyDescent="0.25">
      <c r="A129" s="10">
        <v>92</v>
      </c>
      <c r="D129" s="4">
        <v>1941</v>
      </c>
      <c r="E129" s="4">
        <v>1997</v>
      </c>
    </row>
    <row r="130" spans="1:5" x14ac:dyDescent="0.25">
      <c r="A130" s="10">
        <v>93</v>
      </c>
      <c r="D130" s="4">
        <v>1670</v>
      </c>
      <c r="E130" s="4">
        <v>1527</v>
      </c>
    </row>
    <row r="131" spans="1:5" x14ac:dyDescent="0.25">
      <c r="A131" s="10">
        <v>94</v>
      </c>
      <c r="D131" s="4">
        <v>1391</v>
      </c>
      <c r="E131" s="4">
        <v>1142</v>
      </c>
    </row>
    <row r="132" spans="1:5" x14ac:dyDescent="0.25">
      <c r="A132" s="10">
        <v>95</v>
      </c>
      <c r="D132" s="4">
        <v>5244</v>
      </c>
      <c r="E132" s="4">
        <v>5745</v>
      </c>
    </row>
    <row r="133" spans="1:5" x14ac:dyDescent="0.25">
      <c r="A133" s="10">
        <v>96</v>
      </c>
      <c r="D133" s="4">
        <v>2154</v>
      </c>
      <c r="E133" s="4">
        <v>1827</v>
      </c>
    </row>
    <row r="134" spans="1:5" x14ac:dyDescent="0.25">
      <c r="A134" s="10">
        <v>97</v>
      </c>
      <c r="D134" s="4">
        <v>1638</v>
      </c>
      <c r="E134" s="4">
        <v>1320</v>
      </c>
    </row>
    <row r="135" spans="1:5" x14ac:dyDescent="0.25">
      <c r="A135" s="10">
        <v>98</v>
      </c>
      <c r="D135" s="4">
        <v>1583</v>
      </c>
      <c r="E135" s="4">
        <v>1437</v>
      </c>
    </row>
    <row r="136" spans="1:5" x14ac:dyDescent="0.25">
      <c r="A136" s="10">
        <v>99</v>
      </c>
      <c r="D136" s="4">
        <v>717</v>
      </c>
      <c r="E136" s="4">
        <v>787</v>
      </c>
    </row>
    <row r="137" spans="1:5" x14ac:dyDescent="0.25">
      <c r="A137" s="10">
        <v>100</v>
      </c>
      <c r="D137" s="4">
        <v>2400</v>
      </c>
      <c r="E137" s="4">
        <v>3635</v>
      </c>
    </row>
    <row r="138" spans="1:5" x14ac:dyDescent="0.25">
      <c r="A138" s="10">
        <v>101</v>
      </c>
      <c r="D138" s="4">
        <v>271</v>
      </c>
      <c r="E138" s="4">
        <v>294</v>
      </c>
    </row>
    <row r="139" spans="1:5" x14ac:dyDescent="0.25">
      <c r="A139" s="10">
        <v>102</v>
      </c>
      <c r="D139" s="4">
        <v>352</v>
      </c>
      <c r="E139" s="4">
        <v>410</v>
      </c>
    </row>
    <row r="140" spans="1:5" x14ac:dyDescent="0.25">
      <c r="A140" s="10">
        <v>103</v>
      </c>
      <c r="D140" s="4">
        <v>255</v>
      </c>
      <c r="E140" s="4">
        <v>252</v>
      </c>
    </row>
    <row r="141" spans="1:5" x14ac:dyDescent="0.25">
      <c r="A141" s="10">
        <v>104</v>
      </c>
      <c r="D141" s="4">
        <v>149</v>
      </c>
      <c r="E141" s="4">
        <v>165</v>
      </c>
    </row>
    <row r="142" spans="1:5" x14ac:dyDescent="0.25">
      <c r="A142" s="10">
        <v>105</v>
      </c>
      <c r="D142" s="4">
        <v>318</v>
      </c>
      <c r="E142" s="4">
        <v>385</v>
      </c>
    </row>
    <row r="143" spans="1:5" x14ac:dyDescent="0.25">
      <c r="A143" s="10">
        <v>106</v>
      </c>
      <c r="D143" s="4">
        <v>115</v>
      </c>
      <c r="E143" s="4">
        <v>110</v>
      </c>
    </row>
    <row r="144" spans="1:5" x14ac:dyDescent="0.25">
      <c r="A144" s="10">
        <v>107</v>
      </c>
      <c r="D144" s="4">
        <v>91</v>
      </c>
      <c r="E144" s="4">
        <v>81</v>
      </c>
    </row>
    <row r="145" spans="1:5" x14ac:dyDescent="0.25">
      <c r="A145" s="10">
        <v>108</v>
      </c>
      <c r="D145" s="4">
        <v>61</v>
      </c>
      <c r="E145" s="4">
        <v>57</v>
      </c>
    </row>
    <row r="146" spans="1:5" x14ac:dyDescent="0.25">
      <c r="A146" s="10">
        <v>109</v>
      </c>
      <c r="D146" s="4">
        <v>77</v>
      </c>
      <c r="E146" s="4">
        <v>60</v>
      </c>
    </row>
    <row r="148" spans="1:5" x14ac:dyDescent="0.25">
      <c r="A148" t="s">
        <v>17</v>
      </c>
      <c r="D148" s="4">
        <f>SUM(D37:D146)</f>
        <v>48696122</v>
      </c>
      <c r="E148" s="4">
        <f>SUM(E37:E146)</f>
        <v>50471029</v>
      </c>
    </row>
  </sheetData>
  <mergeCells count="7">
    <mergeCell ref="D3:E3"/>
    <mergeCell ref="G3:H3"/>
    <mergeCell ref="J3:K3"/>
    <mergeCell ref="N18:T18"/>
    <mergeCell ref="D35:E35"/>
    <mergeCell ref="G35:I35"/>
    <mergeCell ref="K35:M35"/>
  </mergeCells>
  <pageMargins left="0.7" right="0.7" top="0.75" bottom="0.75" header="0.3" footer="0.3"/>
  <pageSetup orientation="portrait" r:id="rId1"/>
  <ignoredErrors>
    <ignoredError sqref="H37:H43 H44:H4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5065-1ECC-43AC-8405-EDEEC798E5A5}">
  <dimension ref="A1:N38"/>
  <sheetViews>
    <sheetView topLeftCell="A40" zoomScaleNormal="100" workbookViewId="0">
      <selection activeCell="R35" sqref="R35"/>
    </sheetView>
  </sheetViews>
  <sheetFormatPr defaultRowHeight="15" x14ac:dyDescent="0.25"/>
  <sheetData>
    <row r="1" spans="1:14" x14ac:dyDescent="0.25">
      <c r="A1" s="5" t="s">
        <v>194</v>
      </c>
    </row>
    <row r="2" spans="1:14" x14ac:dyDescent="0.25">
      <c r="D2" s="2" t="s">
        <v>0</v>
      </c>
      <c r="E2" s="2" t="s">
        <v>1</v>
      </c>
      <c r="F2" s="2"/>
      <c r="G2" s="2" t="s">
        <v>0</v>
      </c>
      <c r="H2" s="2" t="s">
        <v>1</v>
      </c>
      <c r="I2" s="2"/>
      <c r="J2" s="2" t="s">
        <v>0</v>
      </c>
      <c r="K2" s="2" t="s">
        <v>1</v>
      </c>
      <c r="M2" s="2" t="s">
        <v>0</v>
      </c>
      <c r="N2" s="2" t="s">
        <v>1</v>
      </c>
    </row>
    <row r="3" spans="1:14" x14ac:dyDescent="0.25">
      <c r="A3" t="s">
        <v>158</v>
      </c>
      <c r="B3" t="s">
        <v>158</v>
      </c>
      <c r="D3" s="2" t="s">
        <v>173</v>
      </c>
      <c r="E3" s="2" t="s">
        <v>173</v>
      </c>
      <c r="F3" s="2"/>
      <c r="G3" s="2" t="s">
        <v>174</v>
      </c>
      <c r="H3" s="2" t="s">
        <v>174</v>
      </c>
      <c r="I3" s="2"/>
      <c r="J3" s="2" t="s">
        <v>184</v>
      </c>
      <c r="K3" s="2" t="s">
        <v>184</v>
      </c>
      <c r="L3" s="2"/>
      <c r="M3" s="2" t="s">
        <v>172</v>
      </c>
      <c r="N3" s="2" t="s">
        <v>172</v>
      </c>
    </row>
    <row r="4" spans="1:14" x14ac:dyDescent="0.25">
      <c r="A4" s="1" t="s">
        <v>175</v>
      </c>
      <c r="B4">
        <v>5</v>
      </c>
      <c r="D4" s="38">
        <v>14.785951717743314</v>
      </c>
      <c r="E4" s="38">
        <v>14.450658268534601</v>
      </c>
      <c r="G4" s="38">
        <v>14.853729654266891</v>
      </c>
      <c r="H4" s="38">
        <v>14.50429581969223</v>
      </c>
      <c r="J4" s="38">
        <v>15.11217722683833</v>
      </c>
      <c r="K4" s="38">
        <v>14.777359748421693</v>
      </c>
      <c r="M4" s="38">
        <v>13.528830731458646</v>
      </c>
      <c r="N4" s="38">
        <v>13.699237966410873</v>
      </c>
    </row>
    <row r="5" spans="1:14" x14ac:dyDescent="0.25">
      <c r="A5" s="1" t="s">
        <v>4</v>
      </c>
      <c r="B5">
        <v>15</v>
      </c>
      <c r="D5" s="38">
        <v>10.57322248715723</v>
      </c>
      <c r="E5" s="38">
        <v>10.442614408793338</v>
      </c>
      <c r="G5" s="38">
        <v>10.431289996112918</v>
      </c>
      <c r="H5" s="38">
        <v>10.455611770770465</v>
      </c>
      <c r="J5" s="38">
        <v>10.506361829235889</v>
      </c>
      <c r="K5" s="38">
        <v>10.553106192310761</v>
      </c>
      <c r="M5" s="38">
        <v>10.428829401381108</v>
      </c>
      <c r="N5" s="38">
        <v>10.866303903396398</v>
      </c>
    </row>
    <row r="6" spans="1:14" x14ac:dyDescent="0.25">
      <c r="A6" s="1" t="s">
        <v>5</v>
      </c>
      <c r="B6">
        <v>25</v>
      </c>
      <c r="D6" s="38">
        <v>8.1745553532203292</v>
      </c>
      <c r="E6" s="38">
        <v>8.3175613713935768</v>
      </c>
      <c r="G6" s="38">
        <v>8.0908162593007855</v>
      </c>
      <c r="H6" s="38">
        <v>8.1314479299051587</v>
      </c>
      <c r="J6" s="38">
        <v>8.1018632241051147</v>
      </c>
      <c r="K6" s="38">
        <v>8.1190514677954511</v>
      </c>
      <c r="M6" s="38">
        <v>7.7093078936995978</v>
      </c>
      <c r="N6" s="38">
        <v>8.1363616062742388</v>
      </c>
    </row>
    <row r="7" spans="1:14" x14ac:dyDescent="0.25">
      <c r="A7" s="1" t="s">
        <v>6</v>
      </c>
      <c r="B7">
        <v>35</v>
      </c>
      <c r="D7" s="38">
        <v>6.1251154249787767</v>
      </c>
      <c r="E7" s="38">
        <v>6.2499860742011126</v>
      </c>
      <c r="G7" s="38">
        <v>5.9921369133224776</v>
      </c>
      <c r="H7" s="38">
        <v>6.2031677442350057</v>
      </c>
      <c r="J7" s="38">
        <v>5.9719671169022437</v>
      </c>
      <c r="K7" s="38">
        <v>6.1925682867857468</v>
      </c>
      <c r="M7" s="38">
        <v>6.1181217155265459</v>
      </c>
      <c r="N7" s="38">
        <v>6.3007769578859838</v>
      </c>
    </row>
    <row r="8" spans="1:14" x14ac:dyDescent="0.25">
      <c r="A8" s="1" t="s">
        <v>7</v>
      </c>
      <c r="B8">
        <v>45</v>
      </c>
      <c r="D8" s="38">
        <v>4.4061784711287153</v>
      </c>
      <c r="E8" s="38">
        <v>4.5892271293023956</v>
      </c>
      <c r="G8" s="38">
        <v>4.4920887099862785</v>
      </c>
      <c r="H8" s="38">
        <v>4.6555838612589131</v>
      </c>
      <c r="J8" s="38">
        <v>4.3206014868392071</v>
      </c>
      <c r="K8" s="38">
        <v>4.5112833589275061</v>
      </c>
      <c r="M8" s="38">
        <v>4.6672279614042758</v>
      </c>
      <c r="N8" s="38">
        <v>4.7771272565851977</v>
      </c>
    </row>
    <row r="9" spans="1:14" x14ac:dyDescent="0.25">
      <c r="A9" s="1" t="s">
        <v>8</v>
      </c>
      <c r="B9">
        <v>55</v>
      </c>
      <c r="D9" s="38">
        <v>3.050895850621218</v>
      </c>
      <c r="E9" s="38">
        <v>3.3448416135337755</v>
      </c>
      <c r="G9" s="38">
        <v>3.0710807716231581</v>
      </c>
      <c r="H9" s="38">
        <v>3.3620616412817772</v>
      </c>
      <c r="J9" s="38">
        <v>2.9324609655844216</v>
      </c>
      <c r="K9" s="38">
        <v>3.2576641209841051</v>
      </c>
      <c r="M9" s="38">
        <v>3.2634264142568745</v>
      </c>
      <c r="N9" s="38">
        <v>3.4648610606953909</v>
      </c>
    </row>
    <row r="10" spans="1:14" x14ac:dyDescent="0.25">
      <c r="A10" s="1" t="s">
        <v>9</v>
      </c>
      <c r="B10">
        <v>65</v>
      </c>
      <c r="D10" s="38">
        <v>1.8476749963633772</v>
      </c>
      <c r="E10" s="38">
        <v>2.013734179894584</v>
      </c>
      <c r="G10" s="38">
        <v>1.8299072280205626</v>
      </c>
      <c r="H10" s="38">
        <v>2.0716355868869902</v>
      </c>
      <c r="J10" s="38">
        <v>1.7432365614743512</v>
      </c>
      <c r="K10" s="38">
        <v>2.0603969658886987</v>
      </c>
      <c r="M10" s="38">
        <v>2.140839964233721</v>
      </c>
      <c r="N10" s="38">
        <v>2.2835706957034594</v>
      </c>
    </row>
    <row r="11" spans="1:14" x14ac:dyDescent="0.25">
      <c r="A11" s="1" t="s">
        <v>176</v>
      </c>
      <c r="B11">
        <v>75</v>
      </c>
      <c r="D11" s="38">
        <v>0.6424886150625897</v>
      </c>
      <c r="E11" s="38">
        <v>0.72271713185201025</v>
      </c>
      <c r="G11" s="38">
        <v>0.73068774054895458</v>
      </c>
      <c r="H11" s="38">
        <v>0.82971368098723952</v>
      </c>
      <c r="J11" s="38">
        <v>0.69212560531936196</v>
      </c>
      <c r="K11" s="38">
        <v>0.84909131441002128</v>
      </c>
      <c r="M11" s="38">
        <v>0.93870902875892848</v>
      </c>
      <c r="N11" s="38">
        <v>1.0298551382201149</v>
      </c>
    </row>
    <row r="12" spans="1:14" x14ac:dyDescent="0.25">
      <c r="A12" s="1" t="s">
        <v>177</v>
      </c>
      <c r="B12">
        <v>90</v>
      </c>
      <c r="D12" s="38">
        <v>0.11937990566106801</v>
      </c>
      <c r="E12" s="38">
        <v>0.1431890429586227</v>
      </c>
      <c r="G12" s="38">
        <v>0.13128622495389133</v>
      </c>
      <c r="H12" s="38">
        <v>0.16345846684630297</v>
      </c>
      <c r="J12" s="38">
        <v>0.12987920289866556</v>
      </c>
      <c r="K12" s="38">
        <v>0.16880532527843237</v>
      </c>
      <c r="M12" s="38">
        <v>0.30980016759783691</v>
      </c>
      <c r="N12" s="38">
        <v>0.33681213651080893</v>
      </c>
    </row>
    <row r="13" spans="1:14" x14ac:dyDescent="0.25">
      <c r="A13" s="1"/>
      <c r="D13" s="38"/>
      <c r="E13" s="38"/>
      <c r="G13" s="38"/>
      <c r="H13" s="38"/>
      <c r="J13" s="38"/>
      <c r="K13" s="38"/>
      <c r="M13" s="38"/>
      <c r="N13" s="38"/>
    </row>
    <row r="14" spans="1:14" x14ac:dyDescent="0.25">
      <c r="A14" s="5" t="s">
        <v>195</v>
      </c>
      <c r="D14" s="38"/>
      <c r="E14" s="38"/>
      <c r="G14" s="38"/>
      <c r="H14" s="38"/>
      <c r="J14" s="38"/>
      <c r="K14" s="38"/>
      <c r="M14" s="38"/>
      <c r="N14" s="38"/>
    </row>
    <row r="15" spans="1:14" x14ac:dyDescent="0.25">
      <c r="A15" s="1"/>
      <c r="D15" s="38"/>
      <c r="E15" s="38"/>
      <c r="G15" s="38"/>
      <c r="H15" s="38"/>
      <c r="J15" s="38"/>
      <c r="K15" s="38"/>
      <c r="M15" s="38"/>
      <c r="N15" s="38"/>
    </row>
    <row r="16" spans="1:14" x14ac:dyDescent="0.25">
      <c r="D16" s="2" t="s">
        <v>0</v>
      </c>
      <c r="E16" s="2" t="s">
        <v>1</v>
      </c>
      <c r="F16" s="2"/>
      <c r="G16" s="2" t="s">
        <v>0</v>
      </c>
      <c r="H16" s="2" t="s">
        <v>1</v>
      </c>
      <c r="I16" s="2"/>
      <c r="J16" s="2" t="s">
        <v>0</v>
      </c>
      <c r="K16" s="2" t="s">
        <v>1</v>
      </c>
      <c r="M16" s="2" t="s">
        <v>0</v>
      </c>
      <c r="N16" s="2" t="s">
        <v>1</v>
      </c>
    </row>
    <row r="17" spans="1:14" x14ac:dyDescent="0.25">
      <c r="A17" t="s">
        <v>158</v>
      </c>
      <c r="B17" t="s">
        <v>158</v>
      </c>
      <c r="D17" s="2" t="s">
        <v>173</v>
      </c>
      <c r="E17" s="2" t="s">
        <v>173</v>
      </c>
      <c r="F17" s="2"/>
      <c r="G17" s="2" t="s">
        <v>174</v>
      </c>
      <c r="H17" s="2" t="s">
        <v>174</v>
      </c>
      <c r="I17" s="2"/>
      <c r="J17" s="2" t="s">
        <v>184</v>
      </c>
      <c r="K17" s="2" t="s">
        <v>184</v>
      </c>
      <c r="L17" s="2"/>
      <c r="M17" s="2" t="s">
        <v>172</v>
      </c>
      <c r="N17" s="2" t="s">
        <v>172</v>
      </c>
    </row>
    <row r="18" spans="1:14" x14ac:dyDescent="0.25">
      <c r="A18" s="1" t="s">
        <v>175</v>
      </c>
      <c r="B18">
        <v>5</v>
      </c>
      <c r="D18" s="38">
        <f>D4/10</f>
        <v>1.4785951717743315</v>
      </c>
      <c r="E18" s="38">
        <f>E4/10</f>
        <v>1.4450658268534602</v>
      </c>
      <c r="G18" s="38">
        <f>G4/10</f>
        <v>1.4853729654266892</v>
      </c>
      <c r="H18" s="38">
        <f>H4/10</f>
        <v>1.450429581969223</v>
      </c>
      <c r="J18" s="38">
        <f>J4/10</f>
        <v>1.511217722683833</v>
      </c>
      <c r="K18" s="38">
        <f>K4/10</f>
        <v>1.4777359748421692</v>
      </c>
      <c r="M18" s="38">
        <f>M4/10</f>
        <v>1.3528830731458645</v>
      </c>
      <c r="N18" s="38">
        <f>N4/10</f>
        <v>1.3699237966410873</v>
      </c>
    </row>
    <row r="19" spans="1:14" x14ac:dyDescent="0.25">
      <c r="A19" s="1" t="s">
        <v>4</v>
      </c>
      <c r="B19">
        <v>15</v>
      </c>
      <c r="D19" s="38">
        <f t="shared" ref="D19:E19" si="0">D5/10</f>
        <v>1.057322248715723</v>
      </c>
      <c r="E19" s="38">
        <f t="shared" si="0"/>
        <v>1.0442614408793338</v>
      </c>
      <c r="G19" s="38">
        <f t="shared" ref="G19:H19" si="1">G5/10</f>
        <v>1.0431289996112918</v>
      </c>
      <c r="H19" s="38">
        <f t="shared" si="1"/>
        <v>1.0455611770770465</v>
      </c>
      <c r="J19" s="38">
        <f t="shared" ref="J19:K19" si="2">J5/10</f>
        <v>1.0506361829235888</v>
      </c>
      <c r="K19" s="38">
        <f t="shared" si="2"/>
        <v>1.0553106192310762</v>
      </c>
      <c r="M19" s="38">
        <f t="shared" ref="M19:N19" si="3">M5/10</f>
        <v>1.0428829401381108</v>
      </c>
      <c r="N19" s="38">
        <f t="shared" si="3"/>
        <v>1.0866303903396397</v>
      </c>
    </row>
    <row r="20" spans="1:14" x14ac:dyDescent="0.25">
      <c r="A20" s="1" t="s">
        <v>5</v>
      </c>
      <c r="B20">
        <v>25</v>
      </c>
      <c r="D20" s="38">
        <f t="shared" ref="D20:E20" si="4">D6/10</f>
        <v>0.81745553532203297</v>
      </c>
      <c r="E20" s="38">
        <f t="shared" si="4"/>
        <v>0.8317561371393577</v>
      </c>
      <c r="G20" s="38">
        <f t="shared" ref="G20:H20" si="5">G6/10</f>
        <v>0.8090816259300786</v>
      </c>
      <c r="H20" s="38">
        <f t="shared" si="5"/>
        <v>0.8131447929905159</v>
      </c>
      <c r="J20" s="38">
        <f t="shared" ref="J20:K20" si="6">J6/10</f>
        <v>0.81018632241051147</v>
      </c>
      <c r="K20" s="38">
        <f t="shared" si="6"/>
        <v>0.81190514677954506</v>
      </c>
      <c r="M20" s="38">
        <f t="shared" ref="M20:N20" si="7">M6/10</f>
        <v>0.77093078936995973</v>
      </c>
      <c r="N20" s="38">
        <f t="shared" si="7"/>
        <v>0.81363616062742383</v>
      </c>
    </row>
    <row r="21" spans="1:14" x14ac:dyDescent="0.25">
      <c r="A21" s="1" t="s">
        <v>6</v>
      </c>
      <c r="B21">
        <v>35</v>
      </c>
      <c r="D21" s="38">
        <f t="shared" ref="D21:E21" si="8">D7/10</f>
        <v>0.61251154249787765</v>
      </c>
      <c r="E21" s="38">
        <f t="shared" si="8"/>
        <v>0.62499860742011126</v>
      </c>
      <c r="G21" s="38">
        <f t="shared" ref="G21:H21" si="9">G7/10</f>
        <v>0.59921369133224778</v>
      </c>
      <c r="H21" s="38">
        <f t="shared" si="9"/>
        <v>0.62031677442350053</v>
      </c>
      <c r="J21" s="38">
        <f t="shared" ref="J21:K21" si="10">J7/10</f>
        <v>0.59719671169022437</v>
      </c>
      <c r="K21" s="38">
        <f t="shared" si="10"/>
        <v>0.61925682867857468</v>
      </c>
      <c r="M21" s="38">
        <f t="shared" ref="M21:N21" si="11">M7/10</f>
        <v>0.61181217155265455</v>
      </c>
      <c r="N21" s="38">
        <f t="shared" si="11"/>
        <v>0.6300776957885984</v>
      </c>
    </row>
    <row r="22" spans="1:14" x14ac:dyDescent="0.25">
      <c r="A22" s="1" t="s">
        <v>7</v>
      </c>
      <c r="B22">
        <v>45</v>
      </c>
      <c r="D22" s="38">
        <f t="shared" ref="D22:E22" si="12">D8/10</f>
        <v>0.44061784711287155</v>
      </c>
      <c r="E22" s="38">
        <f t="shared" si="12"/>
        <v>0.45892271293023956</v>
      </c>
      <c r="G22" s="38">
        <f t="shared" ref="G22:H22" si="13">G8/10</f>
        <v>0.44920887099862783</v>
      </c>
      <c r="H22" s="38">
        <f t="shared" si="13"/>
        <v>0.46555838612589129</v>
      </c>
      <c r="J22" s="38">
        <f t="shared" ref="J22:K22" si="14">J8/10</f>
        <v>0.43206014868392073</v>
      </c>
      <c r="K22" s="38">
        <f t="shared" si="14"/>
        <v>0.45112833589275059</v>
      </c>
      <c r="M22" s="38">
        <f t="shared" ref="M22:N22" si="15">M8/10</f>
        <v>0.46672279614042755</v>
      </c>
      <c r="N22" s="38">
        <f t="shared" si="15"/>
        <v>0.47771272565851974</v>
      </c>
    </row>
    <row r="23" spans="1:14" x14ac:dyDescent="0.25">
      <c r="A23" s="1" t="s">
        <v>8</v>
      </c>
      <c r="B23">
        <v>55</v>
      </c>
      <c r="D23" s="38">
        <f t="shared" ref="D23:E23" si="16">D9/10</f>
        <v>0.3050895850621218</v>
      </c>
      <c r="E23" s="38">
        <f t="shared" si="16"/>
        <v>0.33448416135337755</v>
      </c>
      <c r="G23" s="38">
        <f t="shared" ref="G23:H23" si="17">G9/10</f>
        <v>0.30710807716231581</v>
      </c>
      <c r="H23" s="38">
        <f t="shared" si="17"/>
        <v>0.33620616412817772</v>
      </c>
      <c r="J23" s="38">
        <f t="shared" ref="J23:K23" si="18">J9/10</f>
        <v>0.29324609655844214</v>
      </c>
      <c r="K23" s="38">
        <f t="shared" si="18"/>
        <v>0.32576641209841051</v>
      </c>
      <c r="M23" s="38">
        <f t="shared" ref="M23:N23" si="19">M9/10</f>
        <v>0.32634264142568747</v>
      </c>
      <c r="N23" s="38">
        <f t="shared" si="19"/>
        <v>0.34648610606953911</v>
      </c>
    </row>
    <row r="24" spans="1:14" x14ac:dyDescent="0.25">
      <c r="A24" s="1" t="s">
        <v>9</v>
      </c>
      <c r="B24">
        <v>65</v>
      </c>
      <c r="D24" s="38">
        <f t="shared" ref="D24:E24" si="20">D10/10</f>
        <v>0.18476749963633771</v>
      </c>
      <c r="E24" s="38">
        <f t="shared" si="20"/>
        <v>0.2013734179894584</v>
      </c>
      <c r="G24" s="38">
        <f t="shared" ref="G24:H24" si="21">G10/10</f>
        <v>0.18299072280205625</v>
      </c>
      <c r="H24" s="38">
        <f t="shared" si="21"/>
        <v>0.20716355868869901</v>
      </c>
      <c r="J24" s="38">
        <f t="shared" ref="J24:K24" si="22">J10/10</f>
        <v>0.17432365614743511</v>
      </c>
      <c r="K24" s="38">
        <f t="shared" si="22"/>
        <v>0.20603969658886986</v>
      </c>
      <c r="M24" s="38">
        <f t="shared" ref="M24:N24" si="23">M10/10</f>
        <v>0.21408399642337211</v>
      </c>
      <c r="N24" s="38">
        <f t="shared" si="23"/>
        <v>0.22835706957034593</v>
      </c>
    </row>
    <row r="25" spans="1:14" x14ac:dyDescent="0.25">
      <c r="A25" s="1" t="s">
        <v>176</v>
      </c>
      <c r="B25">
        <v>75</v>
      </c>
      <c r="D25" s="38">
        <f t="shared" ref="D25:E25" si="24">D11/10</f>
        <v>6.424886150625897E-2</v>
      </c>
      <c r="E25" s="38">
        <f t="shared" si="24"/>
        <v>7.2271713185201023E-2</v>
      </c>
      <c r="G25" s="38">
        <f t="shared" ref="G25:H25" si="25">G11/10</f>
        <v>7.3068774054895452E-2</v>
      </c>
      <c r="H25" s="38">
        <f t="shared" si="25"/>
        <v>8.2971368098723949E-2</v>
      </c>
      <c r="J25" s="38">
        <f t="shared" ref="J25:K25" si="26">J11/10</f>
        <v>6.9212560531936196E-2</v>
      </c>
      <c r="K25" s="38">
        <f t="shared" si="26"/>
        <v>8.4909131441002123E-2</v>
      </c>
      <c r="M25" s="38">
        <f t="shared" ref="M25:N25" si="27">M11/10</f>
        <v>9.387090287589285E-2</v>
      </c>
      <c r="N25" s="38">
        <f t="shared" si="27"/>
        <v>0.10298551382201149</v>
      </c>
    </row>
    <row r="26" spans="1:14" x14ac:dyDescent="0.25">
      <c r="A26" s="1" t="s">
        <v>177</v>
      </c>
      <c r="B26">
        <v>90</v>
      </c>
      <c r="D26" s="38">
        <f t="shared" ref="D26:E26" si="28">D12/10</f>
        <v>1.1937990566106801E-2</v>
      </c>
      <c r="E26" s="38">
        <f t="shared" si="28"/>
        <v>1.4318904295862269E-2</v>
      </c>
      <c r="G26" s="38">
        <f t="shared" ref="G26:H26" si="29">G12/10</f>
        <v>1.3128622495389134E-2</v>
      </c>
      <c r="H26" s="38">
        <f t="shared" si="29"/>
        <v>1.6345846684630298E-2</v>
      </c>
      <c r="J26" s="38">
        <f t="shared" ref="J26:K26" si="30">J12/10</f>
        <v>1.2987920289866556E-2</v>
      </c>
      <c r="K26" s="38">
        <f t="shared" si="30"/>
        <v>1.6880532527843238E-2</v>
      </c>
      <c r="M26" s="38">
        <f t="shared" ref="M26:N26" si="31">M12/10</f>
        <v>3.098001675978369E-2</v>
      </c>
      <c r="N26" s="38">
        <f t="shared" si="31"/>
        <v>3.3681213651080892E-2</v>
      </c>
    </row>
    <row r="27" spans="1:14" x14ac:dyDescent="0.25">
      <c r="A27" s="1"/>
      <c r="D27" s="38"/>
      <c r="E27" s="38"/>
      <c r="G27" s="38"/>
      <c r="H27" s="38"/>
      <c r="J27" s="38"/>
      <c r="K27" s="38"/>
    </row>
    <row r="28" spans="1:14" x14ac:dyDescent="0.25">
      <c r="A28" s="39" t="s">
        <v>185</v>
      </c>
      <c r="H28" s="5" t="s">
        <v>186</v>
      </c>
    </row>
    <row r="29" spans="1:14" x14ac:dyDescent="0.25">
      <c r="A29" s="1" t="s">
        <v>158</v>
      </c>
      <c r="B29" s="2" t="s">
        <v>173</v>
      </c>
      <c r="C29" s="2" t="s">
        <v>174</v>
      </c>
      <c r="D29" s="2" t="s">
        <v>184</v>
      </c>
      <c r="E29" s="2" t="s">
        <v>172</v>
      </c>
      <c r="H29" s="1" t="s">
        <v>158</v>
      </c>
      <c r="I29" s="2" t="s">
        <v>173</v>
      </c>
      <c r="J29" s="2" t="s">
        <v>174</v>
      </c>
      <c r="K29" s="2" t="s">
        <v>184</v>
      </c>
      <c r="L29" s="2" t="s">
        <v>172</v>
      </c>
    </row>
    <row r="30" spans="1:14" x14ac:dyDescent="0.25">
      <c r="A30">
        <v>5</v>
      </c>
      <c r="B30" s="38">
        <f>D18</f>
        <v>1.4785951717743315</v>
      </c>
      <c r="C30" s="38">
        <f>G18</f>
        <v>1.4853729654266892</v>
      </c>
      <c r="D30" s="38">
        <f>J18</f>
        <v>1.511217722683833</v>
      </c>
      <c r="E30" s="38">
        <f>M18</f>
        <v>1.3528830731458645</v>
      </c>
      <c r="H30">
        <v>5</v>
      </c>
      <c r="I30" s="38">
        <f>E18</f>
        <v>1.4450658268534602</v>
      </c>
      <c r="J30" s="38">
        <f>H18</f>
        <v>1.450429581969223</v>
      </c>
      <c r="K30" s="38">
        <f>K18</f>
        <v>1.4777359748421692</v>
      </c>
      <c r="L30" s="38">
        <f>N18</f>
        <v>1.3699237966410873</v>
      </c>
    </row>
    <row r="31" spans="1:14" x14ac:dyDescent="0.25">
      <c r="A31">
        <v>15</v>
      </c>
      <c r="B31" s="38">
        <f t="shared" ref="B31:B38" si="32">D19</f>
        <v>1.057322248715723</v>
      </c>
      <c r="C31" s="38">
        <f t="shared" ref="C31:C38" si="33">G19</f>
        <v>1.0431289996112918</v>
      </c>
      <c r="D31" s="38">
        <f t="shared" ref="D31:D38" si="34">J19</f>
        <v>1.0506361829235888</v>
      </c>
      <c r="E31" s="38">
        <f t="shared" ref="E31:E38" si="35">M19</f>
        <v>1.0428829401381108</v>
      </c>
      <c r="H31">
        <v>15</v>
      </c>
      <c r="I31" s="38">
        <f t="shared" ref="I31:I38" si="36">E19</f>
        <v>1.0442614408793338</v>
      </c>
      <c r="J31" s="38">
        <f t="shared" ref="J31:J38" si="37">H19</f>
        <v>1.0455611770770465</v>
      </c>
      <c r="K31" s="38">
        <f t="shared" ref="K31:K38" si="38">K19</f>
        <v>1.0553106192310762</v>
      </c>
      <c r="L31" s="38">
        <f t="shared" ref="L31:L38" si="39">N19</f>
        <v>1.0866303903396397</v>
      </c>
    </row>
    <row r="32" spans="1:14" x14ac:dyDescent="0.25">
      <c r="A32">
        <v>25</v>
      </c>
      <c r="B32" s="38">
        <f t="shared" si="32"/>
        <v>0.81745553532203297</v>
      </c>
      <c r="C32" s="38">
        <f t="shared" si="33"/>
        <v>0.8090816259300786</v>
      </c>
      <c r="D32" s="38">
        <f t="shared" si="34"/>
        <v>0.81018632241051147</v>
      </c>
      <c r="E32" s="38">
        <f t="shared" si="35"/>
        <v>0.77093078936995973</v>
      </c>
      <c r="H32">
        <v>25</v>
      </c>
      <c r="I32" s="38">
        <f t="shared" si="36"/>
        <v>0.8317561371393577</v>
      </c>
      <c r="J32" s="38">
        <f t="shared" si="37"/>
        <v>0.8131447929905159</v>
      </c>
      <c r="K32" s="38">
        <f t="shared" si="38"/>
        <v>0.81190514677954506</v>
      </c>
      <c r="L32" s="38">
        <f t="shared" si="39"/>
        <v>0.81363616062742383</v>
      </c>
    </row>
    <row r="33" spans="1:12" x14ac:dyDescent="0.25">
      <c r="A33">
        <v>35</v>
      </c>
      <c r="B33" s="38">
        <f t="shared" si="32"/>
        <v>0.61251154249787765</v>
      </c>
      <c r="C33" s="38">
        <f t="shared" si="33"/>
        <v>0.59921369133224778</v>
      </c>
      <c r="D33" s="38">
        <f t="shared" si="34"/>
        <v>0.59719671169022437</v>
      </c>
      <c r="E33" s="38">
        <f t="shared" si="35"/>
        <v>0.61181217155265455</v>
      </c>
      <c r="H33">
        <v>35</v>
      </c>
      <c r="I33" s="38">
        <f t="shared" si="36"/>
        <v>0.62499860742011126</v>
      </c>
      <c r="J33" s="38">
        <f t="shared" si="37"/>
        <v>0.62031677442350053</v>
      </c>
      <c r="K33" s="38">
        <f t="shared" si="38"/>
        <v>0.61925682867857468</v>
      </c>
      <c r="L33" s="38">
        <f t="shared" si="39"/>
        <v>0.6300776957885984</v>
      </c>
    </row>
    <row r="34" spans="1:12" x14ac:dyDescent="0.25">
      <c r="A34">
        <v>45</v>
      </c>
      <c r="B34" s="38">
        <f t="shared" si="32"/>
        <v>0.44061784711287155</v>
      </c>
      <c r="C34" s="38">
        <f t="shared" si="33"/>
        <v>0.44920887099862783</v>
      </c>
      <c r="D34" s="38">
        <f t="shared" si="34"/>
        <v>0.43206014868392073</v>
      </c>
      <c r="E34" s="38">
        <f t="shared" si="35"/>
        <v>0.46672279614042755</v>
      </c>
      <c r="H34">
        <v>45</v>
      </c>
      <c r="I34" s="38">
        <f t="shared" si="36"/>
        <v>0.45892271293023956</v>
      </c>
      <c r="J34" s="38">
        <f t="shared" si="37"/>
        <v>0.46555838612589129</v>
      </c>
      <c r="K34" s="38">
        <f t="shared" si="38"/>
        <v>0.45112833589275059</v>
      </c>
      <c r="L34" s="38">
        <f t="shared" si="39"/>
        <v>0.47771272565851974</v>
      </c>
    </row>
    <row r="35" spans="1:12" x14ac:dyDescent="0.25">
      <c r="A35">
        <v>55</v>
      </c>
      <c r="B35" s="38">
        <f t="shared" si="32"/>
        <v>0.3050895850621218</v>
      </c>
      <c r="C35" s="38">
        <f t="shared" si="33"/>
        <v>0.30710807716231581</v>
      </c>
      <c r="D35" s="38">
        <f t="shared" si="34"/>
        <v>0.29324609655844214</v>
      </c>
      <c r="E35" s="38">
        <f t="shared" si="35"/>
        <v>0.32634264142568747</v>
      </c>
      <c r="H35">
        <v>55</v>
      </c>
      <c r="I35" s="38">
        <f t="shared" si="36"/>
        <v>0.33448416135337755</v>
      </c>
      <c r="J35" s="38">
        <f t="shared" si="37"/>
        <v>0.33620616412817772</v>
      </c>
      <c r="K35" s="38">
        <f t="shared" si="38"/>
        <v>0.32576641209841051</v>
      </c>
      <c r="L35" s="38">
        <f t="shared" si="39"/>
        <v>0.34648610606953911</v>
      </c>
    </row>
    <row r="36" spans="1:12" x14ac:dyDescent="0.25">
      <c r="A36">
        <v>65</v>
      </c>
      <c r="B36" s="38">
        <f t="shared" si="32"/>
        <v>0.18476749963633771</v>
      </c>
      <c r="C36" s="38">
        <f t="shared" si="33"/>
        <v>0.18299072280205625</v>
      </c>
      <c r="D36" s="38">
        <f t="shared" si="34"/>
        <v>0.17432365614743511</v>
      </c>
      <c r="E36" s="38">
        <f t="shared" si="35"/>
        <v>0.21408399642337211</v>
      </c>
      <c r="H36">
        <v>65</v>
      </c>
      <c r="I36" s="38">
        <f t="shared" si="36"/>
        <v>0.2013734179894584</v>
      </c>
      <c r="J36" s="38">
        <f t="shared" si="37"/>
        <v>0.20716355868869901</v>
      </c>
      <c r="K36" s="38">
        <f t="shared" si="38"/>
        <v>0.20603969658886986</v>
      </c>
      <c r="L36" s="38">
        <f t="shared" si="39"/>
        <v>0.22835706957034593</v>
      </c>
    </row>
    <row r="37" spans="1:12" x14ac:dyDescent="0.25">
      <c r="A37">
        <v>75</v>
      </c>
      <c r="B37" s="38">
        <f t="shared" si="32"/>
        <v>6.424886150625897E-2</v>
      </c>
      <c r="C37" s="38">
        <f t="shared" si="33"/>
        <v>7.3068774054895452E-2</v>
      </c>
      <c r="D37" s="38">
        <f t="shared" si="34"/>
        <v>6.9212560531936196E-2</v>
      </c>
      <c r="E37" s="38">
        <f t="shared" si="35"/>
        <v>9.387090287589285E-2</v>
      </c>
      <c r="H37">
        <v>75</v>
      </c>
      <c r="I37" s="38">
        <f t="shared" si="36"/>
        <v>7.2271713185201023E-2</v>
      </c>
      <c r="J37" s="38">
        <f t="shared" si="37"/>
        <v>8.2971368098723949E-2</v>
      </c>
      <c r="K37" s="38">
        <f t="shared" si="38"/>
        <v>8.4909131441002123E-2</v>
      </c>
      <c r="L37" s="38">
        <f t="shared" si="39"/>
        <v>0.10298551382201149</v>
      </c>
    </row>
    <row r="38" spans="1:12" x14ac:dyDescent="0.25">
      <c r="A38">
        <v>90</v>
      </c>
      <c r="B38" s="38">
        <f t="shared" si="32"/>
        <v>1.1937990566106801E-2</v>
      </c>
      <c r="C38" s="38">
        <f t="shared" si="33"/>
        <v>1.3128622495389134E-2</v>
      </c>
      <c r="D38" s="38">
        <f t="shared" si="34"/>
        <v>1.2987920289866556E-2</v>
      </c>
      <c r="E38" s="38">
        <f t="shared" si="35"/>
        <v>3.098001675978369E-2</v>
      </c>
      <c r="H38">
        <v>90</v>
      </c>
      <c r="I38" s="38">
        <f t="shared" si="36"/>
        <v>1.4318904295862269E-2</v>
      </c>
      <c r="J38" s="38">
        <f t="shared" si="37"/>
        <v>1.6345846684630298E-2</v>
      </c>
      <c r="K38" s="38">
        <f t="shared" si="38"/>
        <v>1.6880532527843238E-2</v>
      </c>
      <c r="L38" s="38">
        <f t="shared" si="39"/>
        <v>3.3681213651080892E-2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MX-1895-raw</vt:lpstr>
      <vt:lpstr>MX-1895-dis</vt:lpstr>
      <vt:lpstr>MX-1895-corr</vt:lpstr>
      <vt:lpstr>MX-1900-raw</vt:lpstr>
      <vt:lpstr>MX-1900-dis</vt:lpstr>
      <vt:lpstr>RU-1897-raw</vt:lpstr>
      <vt:lpstr>RU-1897</vt:lpstr>
      <vt:lpstr>RU-vs-MX</vt:lpstr>
      <vt:lpstr>RU-vs-MX v2</vt:lpstr>
      <vt:lpstr>MX-Teran</vt:lpstr>
      <vt:lpstr>MX-Teran-vs-RU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2026-04-23T03:26:50Z</dcterms:created>
  <dcterms:modified xsi:type="dcterms:W3CDTF">2026-05-23T18:11:59Z</dcterms:modified>
</cp:coreProperties>
</file>