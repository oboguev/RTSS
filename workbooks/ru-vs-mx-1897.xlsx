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D270F2F3-37AD-4521-A1AE-9F102B2A1251}" xr6:coauthVersionLast="45" xr6:coauthVersionMax="45" xr10:uidLastSave="{00000000-0000-0000-0000-000000000000}"/>
  <bookViews>
    <workbookView xWindow="-60" yWindow="-60" windowWidth="38520" windowHeight="23700" activeTab="2" xr2:uid="{ADE3E715-68A0-475F-BFDD-EA0E2833FCCA}"/>
  </bookViews>
  <sheets>
    <sheet name="Notes" sheetId="1" r:id="rId1"/>
    <sheet name="MX-1895-raw" sheetId="6" r:id="rId2"/>
    <sheet name="MX-1895" sheetId="8" r:id="rId3"/>
    <sheet name="MX-1900-raw" sheetId="2" r:id="rId4"/>
    <sheet name="RU-1897-raw" sheetId="4" r:id="rId5"/>
    <sheet name="RU-1897" sheetId="7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5" i="8" l="1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Q115" i="7"/>
  <c r="N115" i="7"/>
  <c r="K115" i="7"/>
  <c r="I115" i="7"/>
  <c r="H115" i="7"/>
  <c r="F115" i="7"/>
  <c r="E115" i="7"/>
  <c r="C115" i="7"/>
  <c r="B115" i="7"/>
  <c r="Q113" i="7"/>
  <c r="Q112" i="7"/>
  <c r="Q111" i="7"/>
  <c r="Q110" i="7"/>
  <c r="Q109" i="7"/>
  <c r="Q108" i="7"/>
  <c r="Q107" i="7"/>
  <c r="Q106" i="7"/>
  <c r="Q105" i="7"/>
  <c r="Q104" i="7"/>
  <c r="Q103" i="7"/>
  <c r="Q102" i="7"/>
  <c r="Q101" i="7"/>
  <c r="Q100" i="7"/>
  <c r="Q99" i="7"/>
  <c r="Q98" i="7"/>
  <c r="Q97" i="7"/>
  <c r="Q96" i="7"/>
  <c r="Q95" i="7"/>
  <c r="Q94" i="7"/>
  <c r="Q93" i="7"/>
  <c r="Q92" i="7"/>
  <c r="Q91" i="7"/>
  <c r="Q90" i="7"/>
  <c r="Q89" i="7"/>
  <c r="Q88" i="7"/>
  <c r="Q87" i="7"/>
  <c r="Q86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I113" i="7"/>
  <c r="H113" i="7"/>
  <c r="I112" i="7"/>
  <c r="H112" i="7"/>
  <c r="I111" i="7"/>
  <c r="H111" i="7"/>
  <c r="I110" i="7"/>
  <c r="H110" i="7"/>
  <c r="I109" i="7"/>
  <c r="H109" i="7"/>
  <c r="I108" i="7"/>
  <c r="H108" i="7"/>
  <c r="I107" i="7"/>
  <c r="H107" i="7"/>
  <c r="I106" i="7"/>
  <c r="H106" i="7"/>
  <c r="I105" i="7"/>
  <c r="H105" i="7"/>
  <c r="I104" i="7"/>
  <c r="H104" i="7"/>
  <c r="I103" i="7"/>
  <c r="H103" i="7"/>
  <c r="I102" i="7"/>
  <c r="H102" i="7"/>
  <c r="I101" i="7"/>
  <c r="H101" i="7"/>
  <c r="I100" i="7"/>
  <c r="H100" i="7"/>
  <c r="I99" i="7"/>
  <c r="H99" i="7"/>
  <c r="I98" i="7"/>
  <c r="H98" i="7"/>
  <c r="I97" i="7"/>
  <c r="H97" i="7"/>
  <c r="I96" i="7"/>
  <c r="H96" i="7"/>
  <c r="I95" i="7"/>
  <c r="H95" i="7"/>
  <c r="I94" i="7"/>
  <c r="H94" i="7"/>
  <c r="I93" i="7"/>
  <c r="H93" i="7"/>
  <c r="I92" i="7"/>
  <c r="H92" i="7"/>
  <c r="I91" i="7"/>
  <c r="H91" i="7"/>
  <c r="I90" i="7"/>
  <c r="H90" i="7"/>
  <c r="I89" i="7"/>
  <c r="H89" i="7"/>
  <c r="I88" i="7"/>
  <c r="H88" i="7"/>
  <c r="I87" i="7"/>
  <c r="H87" i="7"/>
  <c r="I86" i="7"/>
  <c r="H86" i="7"/>
  <c r="I85" i="7"/>
  <c r="H85" i="7"/>
  <c r="I84" i="7"/>
  <c r="H84" i="7"/>
  <c r="I83" i="7"/>
  <c r="H83" i="7"/>
  <c r="I82" i="7"/>
  <c r="H82" i="7"/>
  <c r="I81" i="7"/>
  <c r="H81" i="7"/>
  <c r="I80" i="7"/>
  <c r="H80" i="7"/>
  <c r="I79" i="7"/>
  <c r="H79" i="7"/>
  <c r="I78" i="7"/>
  <c r="H78" i="7"/>
  <c r="I77" i="7"/>
  <c r="H77" i="7"/>
  <c r="I76" i="7"/>
  <c r="H76" i="7"/>
  <c r="I75" i="7"/>
  <c r="H75" i="7"/>
  <c r="I74" i="7"/>
  <c r="H74" i="7"/>
  <c r="I73" i="7"/>
  <c r="H73" i="7"/>
  <c r="I72" i="7"/>
  <c r="H72" i="7"/>
  <c r="I71" i="7"/>
  <c r="H71" i="7"/>
  <c r="I70" i="7"/>
  <c r="H70" i="7"/>
  <c r="I69" i="7"/>
  <c r="H69" i="7"/>
  <c r="I68" i="7"/>
  <c r="H68" i="7"/>
  <c r="I67" i="7"/>
  <c r="H67" i="7"/>
  <c r="I66" i="7"/>
  <c r="H66" i="7"/>
  <c r="I65" i="7"/>
  <c r="H65" i="7"/>
  <c r="I64" i="7"/>
  <c r="H64" i="7"/>
  <c r="I63" i="7"/>
  <c r="H63" i="7"/>
  <c r="I62" i="7"/>
  <c r="H62" i="7"/>
  <c r="I61" i="7"/>
  <c r="H61" i="7"/>
  <c r="I60" i="7"/>
  <c r="H60" i="7"/>
  <c r="I59" i="7"/>
  <c r="H59" i="7"/>
  <c r="I58" i="7"/>
  <c r="H58" i="7"/>
  <c r="I57" i="7"/>
  <c r="H57" i="7"/>
  <c r="I56" i="7"/>
  <c r="H56" i="7"/>
  <c r="I55" i="7"/>
  <c r="H55" i="7"/>
  <c r="I54" i="7"/>
  <c r="H54" i="7"/>
  <c r="I53" i="7"/>
  <c r="H53" i="7"/>
  <c r="I52" i="7"/>
  <c r="H52" i="7"/>
  <c r="I51" i="7"/>
  <c r="H51" i="7"/>
  <c r="I50" i="7"/>
  <c r="H50" i="7"/>
  <c r="I49" i="7"/>
  <c r="H49" i="7"/>
  <c r="I48" i="7"/>
  <c r="H48" i="7"/>
  <c r="I47" i="7"/>
  <c r="H47" i="7"/>
  <c r="I46" i="7"/>
  <c r="H46" i="7"/>
  <c r="I45" i="7"/>
  <c r="H45" i="7"/>
  <c r="I44" i="7"/>
  <c r="H44" i="7"/>
  <c r="I43" i="7"/>
  <c r="H43" i="7"/>
  <c r="I42" i="7"/>
  <c r="H42" i="7"/>
  <c r="I41" i="7"/>
  <c r="H41" i="7"/>
  <c r="I40" i="7"/>
  <c r="H40" i="7"/>
  <c r="I39" i="7"/>
  <c r="H39" i="7"/>
  <c r="I38" i="7"/>
  <c r="H38" i="7"/>
  <c r="I37" i="7"/>
  <c r="H3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H25" i="7"/>
  <c r="I24" i="7"/>
  <c r="H24" i="7"/>
  <c r="I23" i="7"/>
  <c r="H23" i="7"/>
  <c r="I22" i="7"/>
  <c r="H22" i="7"/>
  <c r="I21" i="7"/>
  <c r="H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H10" i="7"/>
  <c r="I9" i="7"/>
  <c r="H9" i="7"/>
  <c r="I8" i="7"/>
  <c r="H8" i="7"/>
  <c r="I7" i="7"/>
  <c r="H7" i="7"/>
  <c r="I6" i="7"/>
  <c r="H6" i="7"/>
  <c r="I5" i="7"/>
  <c r="H5" i="7"/>
  <c r="D32" i="6" l="1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<sst xmlns="http://schemas.openxmlformats.org/spreadsheetml/2006/main" count="169" uniqueCount="129">
  <si>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</si>
  <si>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</si>
  <si>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</si>
  <si>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</si>
  <si>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</si>
  <si>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</si>
  <si>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</si>
  <si>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</si>
  <si>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</si>
  <si>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</si>
  <si>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</si>
  <si>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</si>
  <si>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</si>
  <si>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</si>
  <si>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</si>
  <si>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</si>
  <si>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стр. 29-33</t>
  </si>
  <si>
    <t>Mexico : Tip. de la Secretaria de Fomento, 1901,</t>
  </si>
  <si>
    <t>age</t>
  </si>
  <si>
    <t>всего</t>
  </si>
  <si>
    <t>Общий свод по Империи результатов разработки данных первой всеобщей переписи населения, произведенной 28 января 1897 года,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</si>
  <si>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</si>
  <si>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</si>
  <si>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</si>
  <si>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</si>
  <si>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</si>
  <si>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</si>
  <si>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</si>
  <si>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</si>
  <si>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</si>
  <si>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</si>
  <si>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</si>
  <si>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</si>
  <si>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</si>
  <si>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</si>
  <si>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</si>
  <si>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</si>
  <si>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</si>
  <si>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</si>
  <si>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</si>
  <si>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</si>
  <si>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</si>
  <si>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</si>
  <si>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</si>
  <si>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</si>
  <si>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</si>
  <si>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</si>
  <si>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</si>
  <si>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</si>
  <si>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</si>
  <si>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</si>
  <si>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</si>
  <si>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</si>
  <si>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</si>
  <si>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</si>
  <si>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</si>
  <si>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</si>
  <si>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</si>
  <si>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</si>
  <si>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</si>
  <si>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</si>
  <si>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</si>
  <si>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</si>
  <si>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</si>
  <si>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</si>
  <si>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</si>
  <si>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</si>
  <si>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</si>
  <si>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</si>
  <si>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</si>
  <si>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</si>
  <si>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</si>
  <si>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</si>
  <si>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</si>
  <si>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</si>
  <si>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</si>
  <si>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</si>
  <si>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</si>
  <si>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</si>
  <si>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</si>
  <si>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</si>
  <si>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</si>
  <si>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</si>
  <si>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</si>
  <si>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</si>
  <si>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</si>
  <si>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</si>
  <si>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</si>
  <si>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</si>
  <si>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</si>
  <si>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</si>
  <si>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</si>
  <si>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México, 1899</t>
  </si>
  <si>
    <t>MX-1895-raw</t>
  </si>
  <si>
    <t>Половозрастная структура населения Мексики по переписи 1895 года</t>
  </si>
  <si>
    <t>стр. 6-15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</si>
  <si>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</si>
  <si>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</si>
  <si>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</si>
  <si>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</si>
  <si>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</si>
  <si>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</si>
  <si>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</si>
  <si>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</si>
  <si>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</si>
  <si>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</si>
  <si>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</si>
  <si>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</si>
  <si>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</si>
  <si>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</si>
  <si>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</si>
  <si>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</si>
  <si>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</si>
  <si>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</si>
  <si>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</si>
  <si>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</si>
  <si>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</si>
  <si>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</si>
  <si>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</si>
  <si>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</si>
  <si>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</si>
  <si>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</si>
  <si>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</si>
  <si>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</si>
  <si>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</si>
  <si>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</si>
  <si>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MX-1895</t>
  </si>
  <si>
    <t>программой RTSS/UnbinDataSum, метод CSASRA</t>
  </si>
  <si>
    <t>Дезагрегация MX-1895-raw в годовые по возрасту значения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</si>
</sst>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0" fontId="0" fillId="0" borderId="0" xfId="0" applyNumberFormat="1"/>
    <xf numFmtId="3" fontId="2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3" fontId="3" fillId="0" borderId="0" xfId="0" applyNumberFormat="1" applyFont="1" applyAlignment="1">
      <alignment vertical="center"/>
    </xf>
    <xf numFmtId="3" fontId="0" fillId="0" borderId="0" xfId="0" applyNumberFormat="1" applyFont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1" fillId="2" borderId="0" xfId="0" applyNumberFormat="1" applyFont="1" applyFill="1"/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41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s="5" t="s">
        <v>93</v>
      </c>
    </row>
    <row r="3" spans="1:2" x14ac:dyDescent="0.25">
      <c r="B3" t="s">
        <v>94</v>
      </c>
    </row>
    <row r="4" spans="1:2" x14ac:dyDescent="0.25">
      <c r="B4" t="s">
        <v>88</v>
      </c>
    </row>
    <row r="6" spans="1:2" x14ac:dyDescent="0.25">
      <c r="B6" t="s">
        <v>90</v>
      </c>
    </row>
    <row r="7" spans="1:2" x14ac:dyDescent="0.25">
      <c r="B7" t="s">
        <v>91</v>
      </c>
    </row>
    <row r="8" spans="1:2" x14ac:dyDescent="0.25">
      <c r="B8" t="s">
        <v>92</v>
      </c>
    </row>
    <row r="9" spans="1:2" x14ac:dyDescent="0.25">
      <c r="B9" t="s">
        <v>95</v>
      </c>
    </row>
    <row r="11" spans="1:2" x14ac:dyDescent="0.25">
      <c r="A11" s="5" t="s">
        <v>89</v>
      </c>
    </row>
    <row r="14" spans="1:2" x14ac:dyDescent="0.25">
      <c r="B14" t="s">
        <v>14</v>
      </c>
    </row>
    <row r="15" spans="1:2" x14ac:dyDescent="0.25">
      <c r="B15" t="s">
        <v>88</v>
      </c>
    </row>
    <row r="17" spans="1:2" x14ac:dyDescent="0.25">
      <c r="B17" t="s">
        <v>13</v>
      </c>
    </row>
    <row r="18" spans="1:2" x14ac:dyDescent="0.25">
      <c r="B18" t="s">
        <v>15</v>
      </c>
    </row>
    <row r="19" spans="1:2" x14ac:dyDescent="0.25">
      <c r="B19" t="s">
        <v>17</v>
      </c>
    </row>
    <row r="20" spans="1:2" x14ac:dyDescent="0.25">
      <c r="B20" t="s">
        <v>16</v>
      </c>
    </row>
    <row r="22" spans="1:2" x14ac:dyDescent="0.25">
      <c r="A22" s="5" t="s">
        <v>22</v>
      </c>
    </row>
    <row r="24" spans="1:2" x14ac:dyDescent="0.25">
      <c r="B24" t="s">
        <v>23</v>
      </c>
    </row>
    <row r="25" spans="1:2" x14ac:dyDescent="0.25">
      <c r="B25" t="s">
        <v>24</v>
      </c>
    </row>
    <row r="26" spans="1:2" x14ac:dyDescent="0.25">
      <c r="B26" t="s">
        <v>88</v>
      </c>
    </row>
    <row r="28" spans="1:2" x14ac:dyDescent="0.25">
      <c r="B28" t="s">
        <v>20</v>
      </c>
    </row>
    <row r="29" spans="1:2" x14ac:dyDescent="0.25">
      <c r="B29" t="s">
        <v>21</v>
      </c>
    </row>
    <row r="32" spans="1:2" x14ac:dyDescent="0.25">
      <c r="A32" s="5" t="s">
        <v>126</v>
      </c>
    </row>
    <row r="34" spans="1:2" x14ac:dyDescent="0.25">
      <c r="B34" t="s">
        <v>128</v>
      </c>
    </row>
    <row r="35" spans="1:2" x14ac:dyDescent="0.25">
      <c r="B35" t="s">
        <v>127</v>
      </c>
    </row>
    <row r="38" spans="1:2" x14ac:dyDescent="0.25">
      <c r="A38" s="5" t="s">
        <v>117</v>
      </c>
    </row>
    <row r="40" spans="1:2" x14ac:dyDescent="0.25">
      <c r="B40" t="s">
        <v>23</v>
      </c>
    </row>
    <row r="41" spans="1:2" x14ac:dyDescent="0.25">
      <c r="B41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B34" sqref="B34:C34"/>
    </sheetView>
  </sheetViews>
  <sheetFormatPr defaultRowHeight="15" x14ac:dyDescent="0.25"/>
  <cols>
    <col min="1" max="1" width="10.42578125" customWidth="1"/>
  </cols>
  <sheetData>
    <row r="3" spans="1:9" x14ac:dyDescent="0.25">
      <c r="A3" s="6" t="s">
        <v>18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 x14ac:dyDescent="0.25">
      <c r="A4" s="2" t="s">
        <v>96</v>
      </c>
      <c r="B4" s="11">
        <v>324202</v>
      </c>
      <c r="C4" s="11">
        <v>308727</v>
      </c>
      <c r="D4" s="11">
        <v>632929</v>
      </c>
      <c r="F4" s="4">
        <f>B4+C4-D4</f>
        <v>0</v>
      </c>
    </row>
    <row r="5" spans="1:9" x14ac:dyDescent="0.25">
      <c r="A5" s="2">
        <v>2</v>
      </c>
      <c r="B5" s="11">
        <v>189934</v>
      </c>
      <c r="C5" s="11">
        <v>185418</v>
      </c>
      <c r="D5" s="11">
        <v>375352</v>
      </c>
      <c r="F5" s="4">
        <f t="shared" ref="F5:F30" si="0">B5+C5-D5</f>
        <v>0</v>
      </c>
    </row>
    <row r="6" spans="1:9" x14ac:dyDescent="0.25">
      <c r="A6" s="2">
        <v>3</v>
      </c>
      <c r="B6" s="11">
        <v>189977</v>
      </c>
      <c r="C6" s="11">
        <v>187240</v>
      </c>
      <c r="D6" s="11">
        <v>377217</v>
      </c>
      <c r="F6" s="4">
        <f t="shared" si="0"/>
        <v>0</v>
      </c>
    </row>
    <row r="7" spans="1:9" x14ac:dyDescent="0.25">
      <c r="A7" s="2">
        <v>4</v>
      </c>
      <c r="B7" s="11">
        <v>191481</v>
      </c>
      <c r="C7" s="11">
        <v>190397</v>
      </c>
      <c r="D7" s="11">
        <v>381878</v>
      </c>
      <c r="F7" s="4">
        <f t="shared" si="0"/>
        <v>0</v>
      </c>
    </row>
    <row r="8" spans="1:9" x14ac:dyDescent="0.25">
      <c r="A8" s="3" t="s">
        <v>29</v>
      </c>
      <c r="B8" s="11">
        <v>192191</v>
      </c>
      <c r="C8" s="11">
        <v>182763</v>
      </c>
      <c r="D8" s="11">
        <v>374954</v>
      </c>
      <c r="F8" s="4">
        <f t="shared" si="0"/>
        <v>0</v>
      </c>
    </row>
    <row r="9" spans="1:9" x14ac:dyDescent="0.25">
      <c r="A9" s="3" t="s">
        <v>114</v>
      </c>
      <c r="B9" s="11">
        <v>890484</v>
      </c>
      <c r="C9" s="11">
        <v>835203</v>
      </c>
      <c r="D9" s="11">
        <v>1725687</v>
      </c>
      <c r="F9" s="4">
        <f t="shared" si="0"/>
        <v>0</v>
      </c>
    </row>
    <row r="10" spans="1:9" x14ac:dyDescent="0.25">
      <c r="A10" s="3" t="s">
        <v>115</v>
      </c>
      <c r="B10" s="11">
        <v>686088</v>
      </c>
      <c r="C10" s="11">
        <v>656595</v>
      </c>
      <c r="D10" s="11">
        <v>1342683</v>
      </c>
      <c r="F10" s="4">
        <f t="shared" si="0"/>
        <v>0</v>
      </c>
    </row>
    <row r="11" spans="1:9" x14ac:dyDescent="0.25">
      <c r="A11" s="3" t="s">
        <v>97</v>
      </c>
      <c r="B11" s="11">
        <v>594385</v>
      </c>
      <c r="C11" s="11">
        <v>725053</v>
      </c>
      <c r="D11" s="11">
        <v>1319438</v>
      </c>
      <c r="F11" s="4">
        <f t="shared" si="0"/>
        <v>0</v>
      </c>
    </row>
    <row r="12" spans="1:9" x14ac:dyDescent="0.25">
      <c r="A12" s="3" t="s">
        <v>98</v>
      </c>
      <c r="B12" s="11">
        <v>502893</v>
      </c>
      <c r="C12" s="11">
        <v>565579</v>
      </c>
      <c r="D12" s="11">
        <v>1068472</v>
      </c>
      <c r="F12" s="4">
        <f t="shared" si="0"/>
        <v>0</v>
      </c>
    </row>
    <row r="13" spans="1:9" x14ac:dyDescent="0.25">
      <c r="A13" s="3" t="s">
        <v>99</v>
      </c>
      <c r="B13" s="11">
        <v>590050</v>
      </c>
      <c r="C13" s="11">
        <v>664566</v>
      </c>
      <c r="D13" s="11">
        <v>1254616</v>
      </c>
      <c r="F13" s="4">
        <f t="shared" si="0"/>
        <v>0</v>
      </c>
    </row>
    <row r="14" spans="1:9" x14ac:dyDescent="0.25">
      <c r="A14" s="3" t="s">
        <v>100</v>
      </c>
      <c r="B14" s="11">
        <v>342363</v>
      </c>
      <c r="C14" s="11">
        <v>322093</v>
      </c>
      <c r="D14" s="11">
        <v>664456</v>
      </c>
      <c r="F14" s="4">
        <f t="shared" si="0"/>
        <v>0</v>
      </c>
    </row>
    <row r="15" spans="1:9" x14ac:dyDescent="0.25">
      <c r="A15" s="3" t="s">
        <v>101</v>
      </c>
      <c r="B15" s="11">
        <v>459923</v>
      </c>
      <c r="C15" s="11">
        <v>471960</v>
      </c>
      <c r="D15" s="11">
        <v>931883</v>
      </c>
      <c r="F15" s="4">
        <f t="shared" si="0"/>
        <v>0</v>
      </c>
    </row>
    <row r="16" spans="1:9" x14ac:dyDescent="0.25">
      <c r="A16" s="3" t="s">
        <v>102</v>
      </c>
      <c r="B16" s="11">
        <v>210453</v>
      </c>
      <c r="C16" s="11">
        <v>197859</v>
      </c>
      <c r="D16" s="11">
        <v>408312</v>
      </c>
      <c r="F16" s="4">
        <f t="shared" si="0"/>
        <v>0</v>
      </c>
      <c r="H16" s="9"/>
      <c r="I16" s="9"/>
    </row>
    <row r="17" spans="1:6" x14ac:dyDescent="0.25">
      <c r="A17" s="3" t="s">
        <v>103</v>
      </c>
      <c r="B17" s="11">
        <v>282259</v>
      </c>
      <c r="C17" s="11">
        <v>303959</v>
      </c>
      <c r="D17" s="11">
        <v>586218</v>
      </c>
      <c r="F17" s="4">
        <f t="shared" si="0"/>
        <v>0</v>
      </c>
    </row>
    <row r="18" spans="1:6" x14ac:dyDescent="0.25">
      <c r="A18" s="3" t="s">
        <v>104</v>
      </c>
      <c r="B18" s="11">
        <v>122072</v>
      </c>
      <c r="C18" s="11">
        <v>112213</v>
      </c>
      <c r="D18" s="11">
        <v>234285</v>
      </c>
      <c r="F18" s="4">
        <f t="shared" si="0"/>
        <v>0</v>
      </c>
    </row>
    <row r="19" spans="1:6" x14ac:dyDescent="0.25">
      <c r="A19" s="3" t="s">
        <v>105</v>
      </c>
      <c r="B19" s="11">
        <v>191098</v>
      </c>
      <c r="C19" s="11">
        <v>195181</v>
      </c>
      <c r="D19" s="11">
        <v>386279</v>
      </c>
      <c r="F19" s="4">
        <f t="shared" si="0"/>
        <v>0</v>
      </c>
    </row>
    <row r="20" spans="1:6" x14ac:dyDescent="0.25">
      <c r="A20" s="3" t="s">
        <v>106</v>
      </c>
      <c r="B20" s="11">
        <v>86413</v>
      </c>
      <c r="C20" s="11">
        <v>65737</v>
      </c>
      <c r="D20" s="11">
        <v>152150</v>
      </c>
      <c r="F20" s="4">
        <f t="shared" si="0"/>
        <v>0</v>
      </c>
    </row>
    <row r="21" spans="1:6" x14ac:dyDescent="0.25">
      <c r="A21" s="3" t="s">
        <v>107</v>
      </c>
      <c r="B21" s="11">
        <v>71229</v>
      </c>
      <c r="C21" s="11">
        <v>62344</v>
      </c>
      <c r="D21" s="11">
        <v>133573</v>
      </c>
      <c r="F21" s="4">
        <f t="shared" si="0"/>
        <v>0</v>
      </c>
    </row>
    <row r="22" spans="1:6" x14ac:dyDescent="0.25">
      <c r="A22" s="3" t="s">
        <v>108</v>
      </c>
      <c r="B22" s="11">
        <v>24290</v>
      </c>
      <c r="C22" s="11">
        <v>20055</v>
      </c>
      <c r="D22" s="11">
        <v>44345</v>
      </c>
      <c r="F22" s="4">
        <f t="shared" si="0"/>
        <v>0</v>
      </c>
    </row>
    <row r="23" spans="1:6" x14ac:dyDescent="0.25">
      <c r="A23" s="3" t="s">
        <v>109</v>
      </c>
      <c r="B23" s="11">
        <v>24513</v>
      </c>
      <c r="C23" s="11">
        <v>23791</v>
      </c>
      <c r="D23" s="11">
        <v>48304</v>
      </c>
      <c r="F23" s="4">
        <f t="shared" si="0"/>
        <v>0</v>
      </c>
    </row>
    <row r="24" spans="1:6" x14ac:dyDescent="0.25">
      <c r="A24" s="3" t="s">
        <v>110</v>
      </c>
      <c r="B24" s="11">
        <v>7276</v>
      </c>
      <c r="C24" s="11">
        <v>6575</v>
      </c>
      <c r="D24" s="11">
        <v>13851</v>
      </c>
      <c r="F24" s="4">
        <f t="shared" si="0"/>
        <v>0</v>
      </c>
    </row>
    <row r="25" spans="1:6" x14ac:dyDescent="0.25">
      <c r="A25" s="3" t="s">
        <v>111</v>
      </c>
      <c r="B25" s="11">
        <v>6151</v>
      </c>
      <c r="C25" s="11">
        <v>5910</v>
      </c>
      <c r="D25" s="11">
        <v>12061</v>
      </c>
      <c r="F25" s="4">
        <f t="shared" si="0"/>
        <v>0</v>
      </c>
    </row>
    <row r="26" spans="1:6" x14ac:dyDescent="0.25">
      <c r="A26" s="3" t="s">
        <v>112</v>
      </c>
      <c r="B26" s="11">
        <v>2174</v>
      </c>
      <c r="C26" s="11">
        <v>1935</v>
      </c>
      <c r="D26" s="11">
        <v>4109</v>
      </c>
      <c r="F26" s="4">
        <f t="shared" si="0"/>
        <v>0</v>
      </c>
    </row>
    <row r="27" spans="1:6" x14ac:dyDescent="0.25">
      <c r="A27" s="3" t="s">
        <v>113</v>
      </c>
      <c r="B27" s="11">
        <v>1585</v>
      </c>
      <c r="C27" s="11">
        <v>1616</v>
      </c>
      <c r="D27" s="11">
        <v>3201</v>
      </c>
      <c r="F27" s="4">
        <f t="shared" si="0"/>
        <v>0</v>
      </c>
    </row>
    <row r="28" spans="1:6" x14ac:dyDescent="0.25">
      <c r="A28" s="3" t="s">
        <v>123</v>
      </c>
      <c r="B28" s="11">
        <v>330</v>
      </c>
      <c r="C28" s="11">
        <v>381</v>
      </c>
      <c r="D28" s="11">
        <v>711</v>
      </c>
      <c r="F28" s="4">
        <f t="shared" si="0"/>
        <v>0</v>
      </c>
    </row>
    <row r="29" spans="1:6" x14ac:dyDescent="0.25">
      <c r="A29" s="3" t="s">
        <v>11</v>
      </c>
      <c r="B29" s="11">
        <v>6497</v>
      </c>
      <c r="C29" s="11">
        <v>8112</v>
      </c>
      <c r="D29" s="11">
        <v>14609</v>
      </c>
      <c r="F29" s="4">
        <f t="shared" si="0"/>
        <v>0</v>
      </c>
    </row>
    <row r="30" spans="1:6" x14ac:dyDescent="0.25">
      <c r="A30" s="3" t="s">
        <v>19</v>
      </c>
      <c r="B30" s="12">
        <v>6190311</v>
      </c>
      <c r="C30" s="12">
        <v>6301262</v>
      </c>
      <c r="D30" s="12" t="s">
        <v>116</v>
      </c>
      <c r="F30" s="4">
        <f t="shared" si="0"/>
        <v>0</v>
      </c>
    </row>
    <row r="31" spans="1:6" x14ac:dyDescent="0.25">
      <c r="A31" s="1"/>
    </row>
    <row r="32" spans="1:6" x14ac:dyDescent="0.25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 x14ac:dyDescent="0.25">
      <c r="A33" s="1"/>
    </row>
    <row r="34" spans="1:3" x14ac:dyDescent="0.25">
      <c r="A34" s="1" t="s">
        <v>125</v>
      </c>
      <c r="B34" s="4">
        <f>SUM(B4:B28)</f>
        <v>6183814</v>
      </c>
      <c r="C34" s="4">
        <f>SUM(C4:C28)</f>
        <v>6293150</v>
      </c>
    </row>
    <row r="35" spans="1:3" x14ac:dyDescent="0.25">
      <c r="A35" s="1"/>
    </row>
    <row r="36" spans="1:3" x14ac:dyDescent="0.25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abSelected="1" topLeftCell="A19" workbookViewId="0">
      <selection activeCell="M48" sqref="M48"/>
    </sheetView>
  </sheetViews>
  <sheetFormatPr defaultRowHeight="15" x14ac:dyDescent="0.25"/>
  <cols>
    <col min="7" max="7" width="11.140625" bestFit="1" customWidth="1"/>
  </cols>
  <sheetData>
    <row r="3" spans="1:7" x14ac:dyDescent="0.25">
      <c r="A3" s="6" t="s">
        <v>18</v>
      </c>
      <c r="B3" s="6" t="s">
        <v>0</v>
      </c>
      <c r="C3" s="6" t="s">
        <v>1</v>
      </c>
    </row>
    <row r="4" spans="1:7" x14ac:dyDescent="0.25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 x14ac:dyDescent="0.25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124</v>
      </c>
      <c r="B115">
        <f>SUM(B4:B113)</f>
        <v>6183814.1522739995</v>
      </c>
      <c r="C115">
        <f>SUM(C4:C113)</f>
        <v>6293152.0130910007</v>
      </c>
      <c r="G115" s="18">
        <f>SUM(G4:G113) / (B115 + C115)</f>
        <v>23.431344095841261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3:F22"/>
  <sheetViews>
    <sheetView workbookViewId="0">
      <selection activeCell="B3" sqref="B3:D3"/>
    </sheetView>
  </sheetViews>
  <sheetFormatPr defaultRowHeight="15" x14ac:dyDescent="0.25"/>
  <cols>
    <col min="2" max="2" width="13.140625" customWidth="1"/>
    <col min="3" max="3" width="15.5703125" customWidth="1"/>
    <col min="4" max="4" width="13" customWidth="1"/>
  </cols>
  <sheetData>
    <row r="3" spans="1:6" x14ac:dyDescent="0.25">
      <c r="B3" s="2" t="s">
        <v>0</v>
      </c>
      <c r="C3" s="2" t="s">
        <v>1</v>
      </c>
      <c r="D3" s="2" t="s">
        <v>2</v>
      </c>
      <c r="F3" s="2" t="s">
        <v>12</v>
      </c>
    </row>
    <row r="4" spans="1:6" x14ac:dyDescent="0.25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</row>
    <row r="5" spans="1:6" x14ac:dyDescent="0.25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</row>
    <row r="6" spans="1:6" x14ac:dyDescent="0.25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</row>
    <row r="7" spans="1:6" x14ac:dyDescent="0.25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</row>
    <row r="8" spans="1:6" x14ac:dyDescent="0.25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</row>
    <row r="9" spans="1:6" x14ac:dyDescent="0.25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</row>
    <row r="10" spans="1:6" x14ac:dyDescent="0.25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</row>
    <row r="11" spans="1:6" x14ac:dyDescent="0.25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</row>
    <row r="12" spans="1:6" x14ac:dyDescent="0.25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6" x14ac:dyDescent="0.25">
      <c r="A13" s="1"/>
    </row>
    <row r="14" spans="1:6" x14ac:dyDescent="0.25">
      <c r="A14" s="1" t="s">
        <v>19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6" x14ac:dyDescent="0.25">
      <c r="A15" s="1"/>
    </row>
    <row r="16" spans="1:6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65" workbookViewId="0">
      <selection sqref="A1:L129"/>
    </sheetView>
  </sheetViews>
  <sheetFormatPr defaultRowHeight="15" x14ac:dyDescent="0.25"/>
  <cols>
    <col min="2" max="2" width="17" customWidth="1"/>
    <col min="3" max="3" width="12.7109375" customWidth="1"/>
    <col min="4" max="4" width="7.140625" customWidth="1"/>
    <col min="5" max="5" width="8.28515625" customWidth="1"/>
    <col min="6" max="6" width="11.28515625" customWidth="1"/>
    <col min="7" max="7" width="16.5703125" customWidth="1"/>
    <col min="8" max="8" width="10.28515625" bestFit="1" customWidth="1"/>
    <col min="9" max="9" width="10.140625" bestFit="1" customWidth="1"/>
  </cols>
  <sheetData>
    <row r="1" spans="1:13" x14ac:dyDescent="0.25">
      <c r="B1" s="13" t="s">
        <v>80</v>
      </c>
      <c r="C1" s="13"/>
      <c r="D1" s="6"/>
      <c r="E1" s="6"/>
      <c r="H1" s="13" t="s">
        <v>81</v>
      </c>
      <c r="I1" s="13"/>
    </row>
    <row r="3" spans="1:13" x14ac:dyDescent="0.25">
      <c r="A3" s="6" t="s">
        <v>18</v>
      </c>
      <c r="B3" s="6" t="s">
        <v>0</v>
      </c>
      <c r="C3" s="6" t="s">
        <v>1</v>
      </c>
      <c r="D3" s="6"/>
      <c r="E3" s="13" t="s">
        <v>12</v>
      </c>
      <c r="F3" s="13"/>
      <c r="H3" s="6" t="s">
        <v>0</v>
      </c>
      <c r="I3" s="6" t="s">
        <v>1</v>
      </c>
      <c r="K3" s="13" t="s">
        <v>12</v>
      </c>
      <c r="L3" s="13"/>
    </row>
    <row r="4" spans="1:13" x14ac:dyDescent="0.25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 x14ac:dyDescent="0.25">
      <c r="A5" s="3" t="s">
        <v>25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 x14ac:dyDescent="0.25">
      <c r="A6" s="3" t="s">
        <v>26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 x14ac:dyDescent="0.25">
      <c r="A7" s="3" t="s">
        <v>27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 x14ac:dyDescent="0.25">
      <c r="A8" s="3" t="s">
        <v>28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 x14ac:dyDescent="0.25">
      <c r="A9" s="3" t="s">
        <v>29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 x14ac:dyDescent="0.25">
      <c r="A10" s="3" t="s">
        <v>30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 x14ac:dyDescent="0.25">
      <c r="A11" s="3" t="s">
        <v>31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 x14ac:dyDescent="0.25">
      <c r="A12" s="3" t="s">
        <v>32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 x14ac:dyDescent="0.25">
      <c r="A13" s="3" t="s">
        <v>33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 x14ac:dyDescent="0.25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 x14ac:dyDescent="0.25">
      <c r="A15" s="3" t="s">
        <v>34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 x14ac:dyDescent="0.25">
      <c r="A16" s="3" t="s">
        <v>35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 x14ac:dyDescent="0.25">
      <c r="A17" s="3" t="s">
        <v>36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 x14ac:dyDescent="0.25">
      <c r="A18" s="3" t="s">
        <v>37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 x14ac:dyDescent="0.25">
      <c r="A19" s="3" t="s">
        <v>38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 x14ac:dyDescent="0.25">
      <c r="A20" s="3" t="s">
        <v>39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 x14ac:dyDescent="0.25">
      <c r="A21" s="3" t="s">
        <v>40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 x14ac:dyDescent="0.25">
      <c r="A22" s="3" t="s">
        <v>41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 x14ac:dyDescent="0.25">
      <c r="A23" s="3" t="s">
        <v>42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 x14ac:dyDescent="0.25">
      <c r="A24" s="3" t="s">
        <v>43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 x14ac:dyDescent="0.25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 x14ac:dyDescent="0.25">
      <c r="A26" s="3" t="s">
        <v>44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 x14ac:dyDescent="0.25">
      <c r="A27" s="3" t="s">
        <v>45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 x14ac:dyDescent="0.25">
      <c r="A28" s="3" t="s">
        <v>46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 x14ac:dyDescent="0.25">
      <c r="A29" s="3" t="s">
        <v>47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 x14ac:dyDescent="0.25">
      <c r="A30" s="3" t="s">
        <v>48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 x14ac:dyDescent="0.25">
      <c r="A31" s="3" t="s">
        <v>49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 x14ac:dyDescent="0.25">
      <c r="A32" s="3" t="s">
        <v>50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 x14ac:dyDescent="0.25">
      <c r="A33" s="3" t="s">
        <v>51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 x14ac:dyDescent="0.25">
      <c r="A34" s="3" t="s">
        <v>52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 x14ac:dyDescent="0.25">
      <c r="A35" s="3" t="s">
        <v>53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 x14ac:dyDescent="0.25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 x14ac:dyDescent="0.25">
      <c r="A37" s="3" t="s">
        <v>54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 x14ac:dyDescent="0.25">
      <c r="A38" s="3" t="s">
        <v>55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 x14ac:dyDescent="0.25">
      <c r="A39" s="3" t="s">
        <v>56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 x14ac:dyDescent="0.25">
      <c r="A40" s="3" t="s">
        <v>57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 x14ac:dyDescent="0.25">
      <c r="A41" s="3" t="s">
        <v>58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 x14ac:dyDescent="0.25">
      <c r="A42" s="3" t="s">
        <v>59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 x14ac:dyDescent="0.25">
      <c r="A43" s="3" t="s">
        <v>60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 x14ac:dyDescent="0.25">
      <c r="A44" s="3" t="s">
        <v>61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 x14ac:dyDescent="0.25">
      <c r="A45" s="3" t="s">
        <v>62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 x14ac:dyDescent="0.25">
      <c r="A46" s="3" t="s">
        <v>63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 x14ac:dyDescent="0.25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 x14ac:dyDescent="0.25">
      <c r="A48" s="3" t="s">
        <v>64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 x14ac:dyDescent="0.25">
      <c r="A49" s="3" t="s">
        <v>65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 x14ac:dyDescent="0.25">
      <c r="A50" s="3" t="s">
        <v>66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 x14ac:dyDescent="0.25">
      <c r="A51" s="3" t="s">
        <v>67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 x14ac:dyDescent="0.25">
      <c r="A52" s="3" t="s">
        <v>68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 x14ac:dyDescent="0.25">
      <c r="A53" s="3" t="s">
        <v>69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 x14ac:dyDescent="0.25">
      <c r="A54" s="3" t="s">
        <v>70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 x14ac:dyDescent="0.25">
      <c r="A55" s="3" t="s">
        <v>71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 x14ac:dyDescent="0.25">
      <c r="A56" s="3" t="s">
        <v>72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 x14ac:dyDescent="0.25">
      <c r="A57" s="3" t="s">
        <v>73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 x14ac:dyDescent="0.25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 x14ac:dyDescent="0.25">
      <c r="A59" s="3" t="s">
        <v>74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 x14ac:dyDescent="0.25">
      <c r="A60" s="3" t="s">
        <v>75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 x14ac:dyDescent="0.25">
      <c r="A61" s="3" t="s">
        <v>76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 x14ac:dyDescent="0.25">
      <c r="A62" s="3" t="s">
        <v>77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 x14ac:dyDescent="0.25">
      <c r="A63" s="3" t="s">
        <v>78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 x14ac:dyDescent="0.25">
      <c r="A64" s="3" t="s">
        <v>79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 x14ac:dyDescent="0.25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 x14ac:dyDescent="0.25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 x14ac:dyDescent="0.25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 x14ac:dyDescent="0.25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 x14ac:dyDescent="0.25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 x14ac:dyDescent="0.25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 x14ac:dyDescent="0.25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 x14ac:dyDescent="0.25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 x14ac:dyDescent="0.25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 x14ac:dyDescent="0.25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 x14ac:dyDescent="0.25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 x14ac:dyDescent="0.25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 x14ac:dyDescent="0.25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 x14ac:dyDescent="0.25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 x14ac:dyDescent="0.25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 x14ac:dyDescent="0.25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 x14ac:dyDescent="0.25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 x14ac:dyDescent="0.25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 x14ac:dyDescent="0.25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 x14ac:dyDescent="0.25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 x14ac:dyDescent="0.25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 x14ac:dyDescent="0.25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 x14ac:dyDescent="0.25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 x14ac:dyDescent="0.25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 x14ac:dyDescent="0.25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 x14ac:dyDescent="0.25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 x14ac:dyDescent="0.25">
      <c r="A91" s="2" t="s">
        <v>82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 x14ac:dyDescent="0.25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 x14ac:dyDescent="0.25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 x14ac:dyDescent="0.25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 x14ac:dyDescent="0.25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 x14ac:dyDescent="0.25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 x14ac:dyDescent="0.25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 x14ac:dyDescent="0.25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 x14ac:dyDescent="0.25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 x14ac:dyDescent="0.25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 x14ac:dyDescent="0.25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 x14ac:dyDescent="0.25">
      <c r="A102" s="2" t="s">
        <v>83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 x14ac:dyDescent="0.25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 x14ac:dyDescent="0.25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 x14ac:dyDescent="0.25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 x14ac:dyDescent="0.25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 x14ac:dyDescent="0.25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 x14ac:dyDescent="0.25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 x14ac:dyDescent="0.25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 x14ac:dyDescent="0.25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 x14ac:dyDescent="0.25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 x14ac:dyDescent="0.25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 x14ac:dyDescent="0.25">
      <c r="A113" s="2" t="s">
        <v>84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 x14ac:dyDescent="0.25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 x14ac:dyDescent="0.25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 x14ac:dyDescent="0.25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 x14ac:dyDescent="0.25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 x14ac:dyDescent="0.25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 x14ac:dyDescent="0.25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 x14ac:dyDescent="0.25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 x14ac:dyDescent="0.25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 x14ac:dyDescent="0.25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 x14ac:dyDescent="0.25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 x14ac:dyDescent="0.25">
      <c r="A124" s="2" t="s">
        <v>85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 x14ac:dyDescent="0.25">
      <c r="A125" s="2" t="s">
        <v>86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 x14ac:dyDescent="0.25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 x14ac:dyDescent="0.25">
      <c r="A127" s="2" t="s">
        <v>87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3" x14ac:dyDescent="0.25">
      <c r="A129" s="10" t="s">
        <v>12</v>
      </c>
      <c r="B129" s="9">
        <f>B4 + B14 + B25 + B36 + B47 + B58 + B69 + B80 + B91 + B102 + B113 + B124 + B125 + B126 - B127</f>
        <v>0</v>
      </c>
      <c r="C129" s="9">
        <f>C4 + C14 + C25 + C36 + C47 + C58 + C69 + C80 + C91 + C102 + C113 + C124 + C125 + C126 - C127</f>
        <v>0</v>
      </c>
      <c r="D129" s="8"/>
      <c r="E129" s="8"/>
      <c r="F129" s="8"/>
      <c r="G129" s="8"/>
      <c r="H129" s="9">
        <f>H4 + H14 + H25 + H36 + H47 + H58 + H69 + H80 + H91 + H102 + H113 + H124 + H125 + H126 - H127</f>
        <v>0</v>
      </c>
      <c r="I129" s="9">
        <f>I4 + I14 + I25 + I36 + I47 + I58 + I69 + I80 + I91 + I102 + I113 + I124 + I125 + I126 - I127</f>
        <v>0</v>
      </c>
      <c r="J129" s="8"/>
      <c r="K129" s="8"/>
      <c r="L129" s="8"/>
      <c r="M129" s="8"/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Q115"/>
  <sheetViews>
    <sheetView workbookViewId="0"/>
  </sheetViews>
  <sheetFormatPr defaultRowHeight="15" x14ac:dyDescent="0.25"/>
  <cols>
    <col min="1" max="1" width="6.28515625" customWidth="1"/>
    <col min="2" max="2" width="10.140625" bestFit="1" customWidth="1"/>
    <col min="3" max="3" width="11.140625" customWidth="1"/>
    <col min="5" max="5" width="9.7109375" customWidth="1"/>
    <col min="6" max="6" width="12" customWidth="1"/>
    <col min="8" max="8" width="16.28515625" customWidth="1"/>
    <col min="9" max="9" width="18.85546875" customWidth="1"/>
    <col min="11" max="11" width="19.42578125" bestFit="1" customWidth="1"/>
    <col min="17" max="17" width="28.28515625" bestFit="1" customWidth="1"/>
  </cols>
  <sheetData>
    <row r="1" spans="1:17" x14ac:dyDescent="0.25">
      <c r="B1" s="13" t="s">
        <v>122</v>
      </c>
      <c r="C1" s="13"/>
      <c r="D1" s="13"/>
      <c r="E1" s="13"/>
      <c r="F1" s="13"/>
      <c r="G1" s="13"/>
      <c r="H1" s="13"/>
      <c r="I1" s="13"/>
      <c r="K1" s="17" t="s">
        <v>120</v>
      </c>
      <c r="L1" s="17"/>
      <c r="M1" s="17"/>
      <c r="N1" s="17"/>
      <c r="O1" s="17"/>
      <c r="P1" s="17"/>
      <c r="Q1" s="17"/>
    </row>
    <row r="2" spans="1:17" x14ac:dyDescent="0.25">
      <c r="B2" s="13" t="s">
        <v>80</v>
      </c>
      <c r="C2" s="13"/>
      <c r="D2" s="6"/>
      <c r="E2" s="13" t="s">
        <v>81</v>
      </c>
      <c r="F2" s="13"/>
      <c r="H2" s="13" t="s">
        <v>119</v>
      </c>
      <c r="I2" s="13"/>
      <c r="K2" s="5" t="s">
        <v>80</v>
      </c>
      <c r="L2" s="5"/>
      <c r="M2" s="5"/>
      <c r="N2" s="5" t="s">
        <v>81</v>
      </c>
      <c r="O2" s="5"/>
      <c r="P2" s="5"/>
      <c r="Q2" s="5" t="s">
        <v>119</v>
      </c>
    </row>
    <row r="4" spans="1:17" x14ac:dyDescent="0.25">
      <c r="A4" s="6" t="s">
        <v>18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17" x14ac:dyDescent="0.25">
      <c r="A5" s="14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H5" s="4">
        <f>B5+E5</f>
        <v>1799585</v>
      </c>
      <c r="I5" s="4">
        <f>C5+F5</f>
        <v>1792949</v>
      </c>
      <c r="K5" s="4">
        <f>(B5+C5) * (0.5 +$A5)</f>
        <v>1693829</v>
      </c>
      <c r="N5" s="4">
        <f>(E5+F5) * (0.5 +$A5)</f>
        <v>102438</v>
      </c>
      <c r="O5" s="4"/>
      <c r="Q5" s="4">
        <f>(H5+I5) * (0.5 +$A5)</f>
        <v>1796267</v>
      </c>
    </row>
    <row r="6" spans="1:17" x14ac:dyDescent="0.25">
      <c r="A6" s="14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H6" s="4">
        <f t="shared" ref="H6:H69" si="0">B6+E6</f>
        <v>1430584</v>
      </c>
      <c r="I6" s="4">
        <f t="shared" ref="I6:I69" si="1">C6+F6</f>
        <v>1450048</v>
      </c>
      <c r="K6" s="4">
        <f t="shared" ref="K6:K69" si="2">(B6+C6) * (0.5 +$A6)</f>
        <v>4092984</v>
      </c>
      <c r="N6" s="4">
        <f t="shared" ref="N6:N69" si="3">(E6+F6) * (0.5 +$A6)</f>
        <v>227964</v>
      </c>
      <c r="O6" s="4"/>
      <c r="Q6" s="4">
        <f t="shared" ref="Q6:Q69" si="4">(H6+I6) * (0.5 +$A6)</f>
        <v>4320948</v>
      </c>
    </row>
    <row r="7" spans="1:17" x14ac:dyDescent="0.25">
      <c r="A7" s="14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H7" s="4">
        <f t="shared" si="0"/>
        <v>1450430</v>
      </c>
      <c r="I7" s="4">
        <f t="shared" si="1"/>
        <v>1460857</v>
      </c>
      <c r="K7" s="4">
        <f t="shared" si="2"/>
        <v>6887350</v>
      </c>
      <c r="N7" s="4">
        <f t="shared" si="3"/>
        <v>390867.5</v>
      </c>
      <c r="O7" s="4"/>
      <c r="Q7" s="4">
        <f t="shared" si="4"/>
        <v>7278217.5</v>
      </c>
    </row>
    <row r="8" spans="1:17" x14ac:dyDescent="0.25">
      <c r="A8" s="14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H8" s="4">
        <f t="shared" si="0"/>
        <v>1428134</v>
      </c>
      <c r="I8" s="4">
        <f t="shared" si="1"/>
        <v>1448117</v>
      </c>
      <c r="K8" s="4">
        <f t="shared" si="2"/>
        <v>9496235</v>
      </c>
      <c r="N8" s="4">
        <f t="shared" si="3"/>
        <v>570643.5</v>
      </c>
      <c r="O8" s="4"/>
      <c r="Q8" s="4">
        <f t="shared" si="4"/>
        <v>10066878.5</v>
      </c>
    </row>
    <row r="9" spans="1:17" x14ac:dyDescent="0.25">
      <c r="A9" s="14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H9" s="4">
        <f t="shared" si="0"/>
        <v>1331294</v>
      </c>
      <c r="I9" s="4">
        <f t="shared" si="1"/>
        <v>1363876</v>
      </c>
      <c r="K9" s="4">
        <f t="shared" si="2"/>
        <v>11454430.5</v>
      </c>
      <c r="N9" s="4">
        <f t="shared" si="3"/>
        <v>673834.5</v>
      </c>
      <c r="O9" s="4"/>
      <c r="Q9" s="4">
        <f t="shared" si="4"/>
        <v>12128265</v>
      </c>
    </row>
    <row r="10" spans="1:17" x14ac:dyDescent="0.25">
      <c r="A10" s="14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H10" s="4">
        <f t="shared" si="0"/>
        <v>1253530</v>
      </c>
      <c r="I10" s="4">
        <f t="shared" si="1"/>
        <v>1269384</v>
      </c>
      <c r="K10" s="4">
        <f t="shared" si="2"/>
        <v>13122384</v>
      </c>
      <c r="N10" s="4">
        <f t="shared" si="3"/>
        <v>753643</v>
      </c>
      <c r="O10" s="4"/>
      <c r="Q10" s="4">
        <f t="shared" si="4"/>
        <v>13876027</v>
      </c>
    </row>
    <row r="11" spans="1:17" x14ac:dyDescent="0.25">
      <c r="A11" s="14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H11" s="4">
        <f t="shared" si="0"/>
        <v>1232195</v>
      </c>
      <c r="I11" s="4">
        <f t="shared" si="1"/>
        <v>1247881</v>
      </c>
      <c r="K11" s="4">
        <f t="shared" si="2"/>
        <v>15215726.5</v>
      </c>
      <c r="N11" s="4">
        <f t="shared" si="3"/>
        <v>904767.5</v>
      </c>
      <c r="O11" s="4"/>
      <c r="Q11" s="4">
        <f t="shared" si="4"/>
        <v>16120494</v>
      </c>
    </row>
    <row r="12" spans="1:17" x14ac:dyDescent="0.25">
      <c r="A12" s="14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H12" s="4">
        <f t="shared" si="0"/>
        <v>1179192</v>
      </c>
      <c r="I12" s="4">
        <f t="shared" si="1"/>
        <v>1223008</v>
      </c>
      <c r="K12" s="4">
        <f t="shared" si="2"/>
        <v>16985760</v>
      </c>
      <c r="N12" s="4">
        <f t="shared" si="3"/>
        <v>1030740</v>
      </c>
      <c r="O12" s="4"/>
      <c r="Q12" s="4">
        <f t="shared" si="4"/>
        <v>18016500</v>
      </c>
    </row>
    <row r="13" spans="1:17" x14ac:dyDescent="0.25">
      <c r="A13" s="14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H13" s="4">
        <f t="shared" si="0"/>
        <v>1215578</v>
      </c>
      <c r="I13" s="4">
        <f t="shared" si="1"/>
        <v>1235027</v>
      </c>
      <c r="K13" s="4">
        <f t="shared" si="2"/>
        <v>19683229</v>
      </c>
      <c r="N13" s="4">
        <f t="shared" si="3"/>
        <v>1146913.5</v>
      </c>
      <c r="O13" s="4"/>
      <c r="Q13" s="4">
        <f t="shared" si="4"/>
        <v>20830142.5</v>
      </c>
    </row>
    <row r="14" spans="1:17" x14ac:dyDescent="0.25">
      <c r="A14" s="14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H14" s="4">
        <f t="shared" si="0"/>
        <v>1095634</v>
      </c>
      <c r="I14" s="4">
        <f t="shared" si="1"/>
        <v>1093997</v>
      </c>
      <c r="K14" s="4">
        <f t="shared" si="2"/>
        <v>19665950</v>
      </c>
      <c r="N14" s="4">
        <f t="shared" si="3"/>
        <v>1135544.5</v>
      </c>
      <c r="O14" s="4"/>
      <c r="Q14" s="4">
        <f t="shared" si="4"/>
        <v>20801494.5</v>
      </c>
    </row>
    <row r="15" spans="1:17" x14ac:dyDescent="0.25">
      <c r="A15" s="14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H15" s="4">
        <f t="shared" si="0"/>
        <v>1204078</v>
      </c>
      <c r="I15" s="4">
        <f t="shared" si="1"/>
        <v>1215355</v>
      </c>
      <c r="K15" s="4">
        <f t="shared" si="2"/>
        <v>24057390</v>
      </c>
      <c r="N15" s="4">
        <f t="shared" si="3"/>
        <v>1346656.5</v>
      </c>
      <c r="O15" s="4"/>
      <c r="Q15" s="4">
        <f t="shared" si="4"/>
        <v>25404046.5</v>
      </c>
    </row>
    <row r="16" spans="1:17" x14ac:dyDescent="0.25">
      <c r="A16" s="14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H16" s="4">
        <f t="shared" si="0"/>
        <v>981933</v>
      </c>
      <c r="I16" s="4">
        <f t="shared" si="1"/>
        <v>969224</v>
      </c>
      <c r="K16" s="4">
        <f t="shared" si="2"/>
        <v>21156481</v>
      </c>
      <c r="N16" s="4">
        <f t="shared" si="3"/>
        <v>1281824.5</v>
      </c>
      <c r="O16" s="4"/>
      <c r="Q16" s="4">
        <f t="shared" si="4"/>
        <v>22438305.5</v>
      </c>
    </row>
    <row r="17" spans="1:17" x14ac:dyDescent="0.25">
      <c r="A17" s="14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H17" s="4">
        <f t="shared" si="0"/>
        <v>1276307</v>
      </c>
      <c r="I17" s="4">
        <f t="shared" si="1"/>
        <v>1281067</v>
      </c>
      <c r="K17" s="4">
        <f t="shared" si="2"/>
        <v>30279437.5</v>
      </c>
      <c r="N17" s="4">
        <f t="shared" si="3"/>
        <v>1687737.5</v>
      </c>
      <c r="O17" s="4"/>
      <c r="Q17" s="4">
        <f t="shared" si="4"/>
        <v>31967175</v>
      </c>
    </row>
    <row r="18" spans="1:17" x14ac:dyDescent="0.25">
      <c r="A18" s="14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H18" s="4">
        <f t="shared" si="0"/>
        <v>1052707</v>
      </c>
      <c r="I18" s="4">
        <f t="shared" si="1"/>
        <v>1058899</v>
      </c>
      <c r="K18" s="4">
        <f t="shared" si="2"/>
        <v>26928436.5</v>
      </c>
      <c r="N18" s="4">
        <f t="shared" si="3"/>
        <v>1578244.5</v>
      </c>
      <c r="O18" s="4"/>
      <c r="Q18" s="4">
        <f t="shared" si="4"/>
        <v>28506681</v>
      </c>
    </row>
    <row r="19" spans="1:17" x14ac:dyDescent="0.25">
      <c r="A19" s="14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H19" s="4">
        <f t="shared" si="0"/>
        <v>1023946</v>
      </c>
      <c r="I19" s="4">
        <f t="shared" si="1"/>
        <v>1049048</v>
      </c>
      <c r="K19" s="4">
        <f t="shared" si="2"/>
        <v>28373252</v>
      </c>
      <c r="N19" s="4">
        <f t="shared" si="3"/>
        <v>1685161</v>
      </c>
      <c r="O19" s="4"/>
      <c r="Q19" s="4">
        <f t="shared" si="4"/>
        <v>30058413</v>
      </c>
    </row>
    <row r="20" spans="1:17" x14ac:dyDescent="0.25">
      <c r="A20" s="14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H20" s="4">
        <f t="shared" si="0"/>
        <v>992837</v>
      </c>
      <c r="I20" s="4">
        <f t="shared" si="1"/>
        <v>1022042</v>
      </c>
      <c r="K20" s="4">
        <f t="shared" si="2"/>
        <v>29476102</v>
      </c>
      <c r="N20" s="4">
        <f t="shared" si="3"/>
        <v>1754522.5</v>
      </c>
      <c r="O20" s="4"/>
      <c r="Q20" s="4">
        <f t="shared" si="4"/>
        <v>31230624.5</v>
      </c>
    </row>
    <row r="21" spans="1:17" x14ac:dyDescent="0.25">
      <c r="A21" s="14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H21" s="4">
        <f t="shared" si="0"/>
        <v>984612</v>
      </c>
      <c r="I21" s="4">
        <f t="shared" si="1"/>
        <v>1094871</v>
      </c>
      <c r="K21" s="4">
        <f t="shared" si="2"/>
        <v>32427301.5</v>
      </c>
      <c r="N21" s="4">
        <f t="shared" si="3"/>
        <v>1884168</v>
      </c>
      <c r="O21" s="4"/>
      <c r="Q21" s="4">
        <f t="shared" si="4"/>
        <v>34311469.5</v>
      </c>
    </row>
    <row r="22" spans="1:17" x14ac:dyDescent="0.25">
      <c r="A22" s="14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H22" s="4">
        <f t="shared" si="0"/>
        <v>978629</v>
      </c>
      <c r="I22" s="4">
        <f t="shared" si="1"/>
        <v>1098460</v>
      </c>
      <c r="K22" s="4">
        <f t="shared" si="2"/>
        <v>34365887.5</v>
      </c>
      <c r="N22" s="4">
        <f t="shared" si="3"/>
        <v>1983170</v>
      </c>
      <c r="O22" s="4"/>
      <c r="Q22" s="4">
        <f t="shared" si="4"/>
        <v>36349057.5</v>
      </c>
    </row>
    <row r="23" spans="1:17" x14ac:dyDescent="0.25">
      <c r="A23" s="14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H23" s="4">
        <f t="shared" si="0"/>
        <v>998723</v>
      </c>
      <c r="I23" s="4">
        <f t="shared" si="1"/>
        <v>1089350</v>
      </c>
      <c r="K23" s="4">
        <f t="shared" si="2"/>
        <v>36576405.5</v>
      </c>
      <c r="N23" s="4">
        <f t="shared" si="3"/>
        <v>2052945</v>
      </c>
      <c r="O23" s="4"/>
      <c r="Q23" s="4">
        <f t="shared" si="4"/>
        <v>38629350.5</v>
      </c>
    </row>
    <row r="24" spans="1:17" x14ac:dyDescent="0.25">
      <c r="A24" s="14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H24" s="4">
        <f t="shared" si="0"/>
        <v>848201</v>
      </c>
      <c r="I24" s="4">
        <f t="shared" si="1"/>
        <v>897488</v>
      </c>
      <c r="K24" s="4">
        <f t="shared" si="2"/>
        <v>32127283.5</v>
      </c>
      <c r="N24" s="4">
        <f t="shared" si="3"/>
        <v>1913652</v>
      </c>
      <c r="O24" s="4"/>
      <c r="Q24" s="4">
        <f t="shared" si="4"/>
        <v>34040935.5</v>
      </c>
    </row>
    <row r="25" spans="1:17" x14ac:dyDescent="0.25">
      <c r="A25" s="14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H25" s="4">
        <f t="shared" si="0"/>
        <v>879164</v>
      </c>
      <c r="I25" s="4">
        <f t="shared" si="1"/>
        <v>1192042</v>
      </c>
      <c r="K25" s="4">
        <f t="shared" si="2"/>
        <v>40121206</v>
      </c>
      <c r="N25" s="4">
        <f t="shared" si="3"/>
        <v>2338517</v>
      </c>
      <c r="O25" s="4"/>
      <c r="Q25" s="4">
        <f t="shared" si="4"/>
        <v>42459723</v>
      </c>
    </row>
    <row r="26" spans="1:17" x14ac:dyDescent="0.25">
      <c r="A26" s="14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H26" s="4">
        <f t="shared" si="0"/>
        <v>800179</v>
      </c>
      <c r="I26" s="4">
        <f t="shared" si="1"/>
        <v>636809</v>
      </c>
      <c r="K26" s="4">
        <f t="shared" si="2"/>
        <v>29058604.5</v>
      </c>
      <c r="N26" s="4">
        <f t="shared" si="3"/>
        <v>1836637.5</v>
      </c>
      <c r="O26" s="4"/>
      <c r="Q26" s="4">
        <f t="shared" si="4"/>
        <v>30895242</v>
      </c>
    </row>
    <row r="27" spans="1:17" x14ac:dyDescent="0.25">
      <c r="A27" s="14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H27" s="4">
        <f t="shared" si="0"/>
        <v>863687</v>
      </c>
      <c r="I27" s="4">
        <f t="shared" si="1"/>
        <v>885528</v>
      </c>
      <c r="K27" s="4">
        <f t="shared" si="2"/>
        <v>36971910</v>
      </c>
      <c r="N27" s="4">
        <f t="shared" si="3"/>
        <v>2385427.5</v>
      </c>
      <c r="O27" s="4"/>
      <c r="Q27" s="4">
        <f t="shared" si="4"/>
        <v>39357337.5</v>
      </c>
    </row>
    <row r="28" spans="1:17" x14ac:dyDescent="0.25">
      <c r="A28" s="14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H28" s="4">
        <f t="shared" si="0"/>
        <v>791814</v>
      </c>
      <c r="I28" s="4">
        <f t="shared" si="1"/>
        <v>825830</v>
      </c>
      <c r="K28" s="4">
        <f t="shared" si="2"/>
        <v>35792074.5</v>
      </c>
      <c r="N28" s="4">
        <f t="shared" si="3"/>
        <v>2222559.5</v>
      </c>
      <c r="O28" s="4"/>
      <c r="Q28" s="4">
        <f t="shared" si="4"/>
        <v>38014634</v>
      </c>
    </row>
    <row r="29" spans="1:17" x14ac:dyDescent="0.25">
      <c r="A29" s="14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H29" s="4">
        <f t="shared" si="0"/>
        <v>690732</v>
      </c>
      <c r="I29" s="4">
        <f t="shared" si="1"/>
        <v>720216</v>
      </c>
      <c r="K29" s="4">
        <f t="shared" si="2"/>
        <v>32473157.5</v>
      </c>
      <c r="N29" s="4">
        <f t="shared" si="3"/>
        <v>2095068.5</v>
      </c>
      <c r="O29" s="4"/>
      <c r="Q29" s="4">
        <f t="shared" si="4"/>
        <v>34568226</v>
      </c>
    </row>
    <row r="30" spans="1:17" x14ac:dyDescent="0.25">
      <c r="A30" s="14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H30" s="4">
        <f t="shared" si="0"/>
        <v>795114</v>
      </c>
      <c r="I30" s="4">
        <f t="shared" si="1"/>
        <v>1072869</v>
      </c>
      <c r="K30" s="4">
        <f t="shared" si="2"/>
        <v>44900374.5</v>
      </c>
      <c r="N30" s="4">
        <f t="shared" si="3"/>
        <v>2733192</v>
      </c>
      <c r="O30" s="4"/>
      <c r="Q30" s="4">
        <f t="shared" si="4"/>
        <v>47633566.5</v>
      </c>
    </row>
    <row r="31" spans="1:17" x14ac:dyDescent="0.25">
      <c r="A31" s="14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H31" s="4">
        <f t="shared" si="0"/>
        <v>748462</v>
      </c>
      <c r="I31" s="4">
        <f t="shared" si="1"/>
        <v>727473</v>
      </c>
      <c r="K31" s="4">
        <f t="shared" si="2"/>
        <v>36835821.5</v>
      </c>
      <c r="N31" s="4">
        <f t="shared" si="3"/>
        <v>2276456</v>
      </c>
      <c r="O31" s="4"/>
      <c r="Q31" s="4">
        <f t="shared" si="4"/>
        <v>39112277.5</v>
      </c>
    </row>
    <row r="32" spans="1:17" x14ac:dyDescent="0.25">
      <c r="A32" s="14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H32" s="4">
        <f t="shared" si="0"/>
        <v>785934</v>
      </c>
      <c r="I32" s="4">
        <f t="shared" si="1"/>
        <v>760804</v>
      </c>
      <c r="K32" s="4">
        <f t="shared" si="2"/>
        <v>39990472.5</v>
      </c>
      <c r="N32" s="4">
        <f t="shared" si="3"/>
        <v>2544822.5</v>
      </c>
      <c r="O32" s="4"/>
      <c r="Q32" s="4">
        <f t="shared" si="4"/>
        <v>42535295</v>
      </c>
    </row>
    <row r="33" spans="1:17" x14ac:dyDescent="0.25">
      <c r="A33" s="14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H33" s="4">
        <f t="shared" si="0"/>
        <v>785014</v>
      </c>
      <c r="I33" s="4">
        <f t="shared" si="1"/>
        <v>807738</v>
      </c>
      <c r="K33" s="4">
        <f t="shared" si="2"/>
        <v>42849693</v>
      </c>
      <c r="N33" s="4">
        <f t="shared" si="3"/>
        <v>2543739</v>
      </c>
      <c r="O33" s="4"/>
      <c r="Q33" s="4">
        <f t="shared" si="4"/>
        <v>45393432</v>
      </c>
    </row>
    <row r="34" spans="1:17" x14ac:dyDescent="0.25">
      <c r="A34" s="14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H34" s="4">
        <f t="shared" si="0"/>
        <v>505001</v>
      </c>
      <c r="I34" s="4">
        <f t="shared" si="1"/>
        <v>439289</v>
      </c>
      <c r="K34" s="4">
        <f t="shared" si="2"/>
        <v>26163550</v>
      </c>
      <c r="N34" s="4">
        <f t="shared" si="3"/>
        <v>1693005</v>
      </c>
      <c r="O34" s="4"/>
      <c r="Q34" s="4">
        <f t="shared" si="4"/>
        <v>27856555</v>
      </c>
    </row>
    <row r="35" spans="1:17" x14ac:dyDescent="0.25">
      <c r="A35" s="14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H35" s="4">
        <f t="shared" si="0"/>
        <v>1055694</v>
      </c>
      <c r="I35" s="4">
        <f t="shared" si="1"/>
        <v>1376799</v>
      </c>
      <c r="K35" s="4">
        <f t="shared" si="2"/>
        <v>70276178.5</v>
      </c>
      <c r="N35" s="4">
        <f t="shared" si="3"/>
        <v>3914858</v>
      </c>
      <c r="O35" s="4"/>
      <c r="Q35" s="4">
        <f t="shared" si="4"/>
        <v>74191036.5</v>
      </c>
    </row>
    <row r="36" spans="1:17" x14ac:dyDescent="0.25">
      <c r="A36" s="14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H36" s="4">
        <f t="shared" si="0"/>
        <v>401717</v>
      </c>
      <c r="I36" s="4">
        <f t="shared" si="1"/>
        <v>339826</v>
      </c>
      <c r="K36" s="4">
        <f t="shared" si="2"/>
        <v>21891271.5</v>
      </c>
      <c r="N36" s="4">
        <f t="shared" si="3"/>
        <v>1467333</v>
      </c>
      <c r="O36" s="4"/>
      <c r="Q36" s="4">
        <f t="shared" si="4"/>
        <v>23358604.5</v>
      </c>
    </row>
    <row r="37" spans="1:17" x14ac:dyDescent="0.25">
      <c r="A37" s="14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H37" s="4">
        <f t="shared" si="0"/>
        <v>602761</v>
      </c>
      <c r="I37" s="4">
        <f t="shared" si="1"/>
        <v>581295</v>
      </c>
      <c r="K37" s="4">
        <f t="shared" si="2"/>
        <v>36228432.5</v>
      </c>
      <c r="N37" s="4">
        <f t="shared" si="3"/>
        <v>2253387.5</v>
      </c>
      <c r="O37" s="4"/>
      <c r="Q37" s="4">
        <f t="shared" si="4"/>
        <v>38481820</v>
      </c>
    </row>
    <row r="38" spans="1:17" x14ac:dyDescent="0.25">
      <c r="A38" s="14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H38" s="4">
        <f t="shared" si="0"/>
        <v>573913</v>
      </c>
      <c r="I38" s="4">
        <f t="shared" si="1"/>
        <v>527699</v>
      </c>
      <c r="K38" s="4">
        <f t="shared" si="2"/>
        <v>34672366</v>
      </c>
      <c r="N38" s="4">
        <f t="shared" si="3"/>
        <v>2231636</v>
      </c>
      <c r="O38" s="4"/>
      <c r="Q38" s="4">
        <f t="shared" si="4"/>
        <v>36904002</v>
      </c>
    </row>
    <row r="39" spans="1:17" x14ac:dyDescent="0.25">
      <c r="A39" s="14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H39" s="4">
        <f t="shared" si="0"/>
        <v>431960</v>
      </c>
      <c r="I39" s="4">
        <f t="shared" si="1"/>
        <v>437786</v>
      </c>
      <c r="K39" s="4">
        <f t="shared" si="2"/>
        <v>28176219</v>
      </c>
      <c r="N39" s="4">
        <f t="shared" si="3"/>
        <v>1830018</v>
      </c>
      <c r="O39" s="4"/>
      <c r="Q39" s="4">
        <f t="shared" si="4"/>
        <v>30006237</v>
      </c>
    </row>
    <row r="40" spans="1:17" x14ac:dyDescent="0.25">
      <c r="A40" s="14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H40" s="4">
        <f t="shared" si="0"/>
        <v>813420</v>
      </c>
      <c r="I40" s="4">
        <f t="shared" si="1"/>
        <v>952338</v>
      </c>
      <c r="K40" s="4">
        <f t="shared" si="2"/>
        <v>59139095</v>
      </c>
      <c r="N40" s="4">
        <f t="shared" si="3"/>
        <v>3545314</v>
      </c>
      <c r="O40" s="4"/>
      <c r="Q40" s="4">
        <f t="shared" si="4"/>
        <v>62684409</v>
      </c>
    </row>
    <row r="41" spans="1:17" x14ac:dyDescent="0.25">
      <c r="A41" s="14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H41" s="4">
        <f t="shared" si="0"/>
        <v>570698</v>
      </c>
      <c r="I41" s="4">
        <f t="shared" si="1"/>
        <v>543752</v>
      </c>
      <c r="K41" s="4">
        <f t="shared" si="2"/>
        <v>38092823.5</v>
      </c>
      <c r="N41" s="4">
        <f t="shared" si="3"/>
        <v>2584601.5</v>
      </c>
      <c r="O41" s="4"/>
      <c r="Q41" s="4">
        <f t="shared" si="4"/>
        <v>40677425</v>
      </c>
    </row>
    <row r="42" spans="1:17" x14ac:dyDescent="0.25">
      <c r="A42" s="14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H42" s="4">
        <f t="shared" si="0"/>
        <v>584686</v>
      </c>
      <c r="I42" s="4">
        <f t="shared" si="1"/>
        <v>542612</v>
      </c>
      <c r="K42" s="4">
        <f t="shared" si="2"/>
        <v>39446512.5</v>
      </c>
      <c r="N42" s="4">
        <f t="shared" si="3"/>
        <v>2827162.5</v>
      </c>
      <c r="O42" s="4"/>
      <c r="Q42" s="4">
        <f t="shared" si="4"/>
        <v>42273675</v>
      </c>
    </row>
    <row r="43" spans="1:17" x14ac:dyDescent="0.25">
      <c r="A43" s="14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H43" s="4">
        <f t="shared" si="0"/>
        <v>632533</v>
      </c>
      <c r="I43" s="4">
        <f t="shared" si="1"/>
        <v>605566</v>
      </c>
      <c r="K43" s="4">
        <f t="shared" si="2"/>
        <v>44733034.5</v>
      </c>
      <c r="N43" s="4">
        <f t="shared" si="3"/>
        <v>2933777</v>
      </c>
      <c r="O43" s="4"/>
      <c r="Q43" s="4">
        <f t="shared" si="4"/>
        <v>47666811.5</v>
      </c>
    </row>
    <row r="44" spans="1:17" x14ac:dyDescent="0.25">
      <c r="A44" s="14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H44" s="4">
        <f t="shared" si="0"/>
        <v>399785</v>
      </c>
      <c r="I44" s="4">
        <f t="shared" si="1"/>
        <v>340628</v>
      </c>
      <c r="K44" s="4">
        <f t="shared" si="2"/>
        <v>27295527</v>
      </c>
      <c r="N44" s="4">
        <f t="shared" si="3"/>
        <v>1950786.5</v>
      </c>
      <c r="O44" s="4"/>
      <c r="Q44" s="4">
        <f t="shared" si="4"/>
        <v>29246313.5</v>
      </c>
    </row>
    <row r="45" spans="1:17" x14ac:dyDescent="0.25">
      <c r="A45" s="14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H45" s="4">
        <f t="shared" si="0"/>
        <v>905505</v>
      </c>
      <c r="I45" s="4">
        <f t="shared" si="1"/>
        <v>1199144</v>
      </c>
      <c r="K45" s="4">
        <f t="shared" si="2"/>
        <v>80318871</v>
      </c>
      <c r="N45" s="4">
        <f t="shared" si="3"/>
        <v>4919413.5</v>
      </c>
      <c r="O45" s="4"/>
      <c r="Q45" s="4">
        <f t="shared" si="4"/>
        <v>85238284.5</v>
      </c>
    </row>
    <row r="46" spans="1:17" x14ac:dyDescent="0.25">
      <c r="A46" s="14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H46" s="4">
        <f t="shared" si="0"/>
        <v>308069</v>
      </c>
      <c r="I46" s="4">
        <f t="shared" si="1"/>
        <v>256184</v>
      </c>
      <c r="K46" s="4">
        <f t="shared" si="2"/>
        <v>21782769</v>
      </c>
      <c r="N46" s="4">
        <f t="shared" si="3"/>
        <v>1633730.5</v>
      </c>
      <c r="O46" s="4"/>
      <c r="Q46" s="4">
        <f t="shared" si="4"/>
        <v>23416499.5</v>
      </c>
    </row>
    <row r="47" spans="1:17" x14ac:dyDescent="0.25">
      <c r="A47" s="14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H47" s="4">
        <f t="shared" si="0"/>
        <v>503889</v>
      </c>
      <c r="I47" s="4">
        <f t="shared" si="1"/>
        <v>452626</v>
      </c>
      <c r="K47" s="4">
        <f t="shared" si="2"/>
        <v>38124327.5</v>
      </c>
      <c r="N47" s="4">
        <f t="shared" si="3"/>
        <v>2527560</v>
      </c>
      <c r="O47" s="4"/>
      <c r="Q47" s="4">
        <f t="shared" si="4"/>
        <v>40651887.5</v>
      </c>
    </row>
    <row r="48" spans="1:17" x14ac:dyDescent="0.25">
      <c r="A48" s="14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H48" s="4">
        <f t="shared" si="0"/>
        <v>423710</v>
      </c>
      <c r="I48" s="4">
        <f t="shared" si="1"/>
        <v>385797</v>
      </c>
      <c r="K48" s="4">
        <f t="shared" si="2"/>
        <v>33017979</v>
      </c>
      <c r="N48" s="4">
        <f t="shared" si="3"/>
        <v>2195575.5</v>
      </c>
      <c r="O48" s="4"/>
      <c r="Q48" s="4">
        <f t="shared" si="4"/>
        <v>35213554.5</v>
      </c>
    </row>
    <row r="49" spans="1:17" x14ac:dyDescent="0.25">
      <c r="A49" s="14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H49" s="4">
        <f t="shared" si="0"/>
        <v>341645</v>
      </c>
      <c r="I49" s="4">
        <f t="shared" si="1"/>
        <v>328233</v>
      </c>
      <c r="K49" s="4">
        <f t="shared" si="2"/>
        <v>27826473</v>
      </c>
      <c r="N49" s="4">
        <f t="shared" si="3"/>
        <v>1983098</v>
      </c>
      <c r="O49" s="4"/>
      <c r="Q49" s="4">
        <f t="shared" si="4"/>
        <v>29809571</v>
      </c>
    </row>
    <row r="50" spans="1:17" x14ac:dyDescent="0.25">
      <c r="A50" s="14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H50" s="4">
        <f t="shared" si="0"/>
        <v>715609</v>
      </c>
      <c r="I50" s="4">
        <f t="shared" si="1"/>
        <v>796360</v>
      </c>
      <c r="K50" s="4">
        <f t="shared" si="2"/>
        <v>64843278.5</v>
      </c>
      <c r="N50" s="4">
        <f t="shared" si="3"/>
        <v>3951311</v>
      </c>
      <c r="O50" s="4"/>
      <c r="Q50" s="4">
        <f t="shared" si="4"/>
        <v>68794589.5</v>
      </c>
    </row>
    <row r="51" spans="1:17" x14ac:dyDescent="0.25">
      <c r="A51" s="14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H51" s="4">
        <f t="shared" si="0"/>
        <v>383680</v>
      </c>
      <c r="I51" s="4">
        <f t="shared" si="1"/>
        <v>340053</v>
      </c>
      <c r="K51" s="4">
        <f t="shared" si="2"/>
        <v>31448880</v>
      </c>
      <c r="N51" s="4">
        <f t="shared" si="3"/>
        <v>2204704.5</v>
      </c>
      <c r="O51" s="4"/>
      <c r="Q51" s="4">
        <f t="shared" si="4"/>
        <v>33653584.5</v>
      </c>
    </row>
    <row r="52" spans="1:17" x14ac:dyDescent="0.25">
      <c r="A52" s="14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H52" s="4">
        <f t="shared" si="0"/>
        <v>360612</v>
      </c>
      <c r="I52" s="4">
        <f t="shared" si="1"/>
        <v>335352</v>
      </c>
      <c r="K52" s="4">
        <f t="shared" si="2"/>
        <v>30752450</v>
      </c>
      <c r="N52" s="4">
        <f t="shared" si="3"/>
        <v>2305840</v>
      </c>
      <c r="O52" s="4"/>
      <c r="Q52" s="4">
        <f t="shared" si="4"/>
        <v>33058290</v>
      </c>
    </row>
    <row r="53" spans="1:17" x14ac:dyDescent="0.25">
      <c r="A53" s="14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H53" s="4">
        <f t="shared" si="0"/>
        <v>440852</v>
      </c>
      <c r="I53" s="4">
        <f t="shared" si="1"/>
        <v>419733</v>
      </c>
      <c r="K53" s="4">
        <f t="shared" si="2"/>
        <v>39108023.5</v>
      </c>
      <c r="N53" s="4">
        <f t="shared" si="3"/>
        <v>2630349</v>
      </c>
      <c r="O53" s="4"/>
      <c r="Q53" s="4">
        <f t="shared" si="4"/>
        <v>41738372.5</v>
      </c>
    </row>
    <row r="54" spans="1:17" x14ac:dyDescent="0.25">
      <c r="A54" s="14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H54" s="4">
        <f t="shared" si="0"/>
        <v>244786</v>
      </c>
      <c r="I54" s="4">
        <f t="shared" si="1"/>
        <v>223859</v>
      </c>
      <c r="K54" s="4">
        <f t="shared" si="2"/>
        <v>21550270.5</v>
      </c>
      <c r="N54" s="4">
        <f t="shared" si="3"/>
        <v>1647657</v>
      </c>
      <c r="O54" s="4"/>
      <c r="Q54" s="4">
        <f t="shared" si="4"/>
        <v>23197927.5</v>
      </c>
    </row>
    <row r="55" spans="1:17" x14ac:dyDescent="0.25">
      <c r="A55" s="14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H55" s="4">
        <f t="shared" si="0"/>
        <v>812835</v>
      </c>
      <c r="I55" s="4">
        <f t="shared" si="1"/>
        <v>1082324</v>
      </c>
      <c r="K55" s="4">
        <f t="shared" si="2"/>
        <v>90467316</v>
      </c>
      <c r="N55" s="4">
        <f t="shared" si="3"/>
        <v>5238213.5</v>
      </c>
      <c r="O55" s="4"/>
      <c r="Q55" s="4">
        <f t="shared" si="4"/>
        <v>95705529.5</v>
      </c>
    </row>
    <row r="56" spans="1:17" x14ac:dyDescent="0.25">
      <c r="A56" s="14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H56" s="4">
        <f t="shared" si="0"/>
        <v>183378</v>
      </c>
      <c r="I56" s="4">
        <f t="shared" si="1"/>
        <v>170897</v>
      </c>
      <c r="K56" s="4">
        <f t="shared" si="2"/>
        <v>16908222.5</v>
      </c>
      <c r="N56" s="4">
        <f t="shared" si="3"/>
        <v>1336940</v>
      </c>
      <c r="O56" s="4"/>
      <c r="Q56" s="4">
        <f t="shared" si="4"/>
        <v>18245162.5</v>
      </c>
    </row>
    <row r="57" spans="1:17" x14ac:dyDescent="0.25">
      <c r="A57" s="14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H57" s="4">
        <f t="shared" si="0"/>
        <v>313188</v>
      </c>
      <c r="I57" s="4">
        <f t="shared" si="1"/>
        <v>295658</v>
      </c>
      <c r="K57" s="4">
        <f t="shared" si="2"/>
        <v>29951145</v>
      </c>
      <c r="N57" s="4">
        <f t="shared" si="3"/>
        <v>2013270</v>
      </c>
      <c r="O57" s="4"/>
      <c r="Q57" s="4">
        <f t="shared" si="4"/>
        <v>31964415</v>
      </c>
    </row>
    <row r="58" spans="1:17" x14ac:dyDescent="0.25">
      <c r="A58" s="14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H58" s="4">
        <f t="shared" si="0"/>
        <v>259360</v>
      </c>
      <c r="I58" s="4">
        <f t="shared" si="1"/>
        <v>253700</v>
      </c>
      <c r="K58" s="4">
        <f t="shared" si="2"/>
        <v>25675880.5</v>
      </c>
      <c r="N58" s="4">
        <f t="shared" si="3"/>
        <v>1772829.5</v>
      </c>
      <c r="O58" s="4"/>
      <c r="Q58" s="4">
        <f t="shared" si="4"/>
        <v>27448710</v>
      </c>
    </row>
    <row r="59" spans="1:17" x14ac:dyDescent="0.25">
      <c r="A59" s="14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H59" s="4">
        <f t="shared" si="0"/>
        <v>210742</v>
      </c>
      <c r="I59" s="4">
        <f t="shared" si="1"/>
        <v>222184</v>
      </c>
      <c r="K59" s="4">
        <f t="shared" si="2"/>
        <v>21955052.5</v>
      </c>
      <c r="N59" s="4">
        <f t="shared" si="3"/>
        <v>1639414.5</v>
      </c>
      <c r="O59" s="4"/>
      <c r="Q59" s="4">
        <f t="shared" si="4"/>
        <v>23594467</v>
      </c>
    </row>
    <row r="60" spans="1:17" x14ac:dyDescent="0.25">
      <c r="A60" s="14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H60" s="4">
        <f t="shared" si="0"/>
        <v>542450</v>
      </c>
      <c r="I60" s="4">
        <f t="shared" si="1"/>
        <v>585136</v>
      </c>
      <c r="K60" s="4">
        <f t="shared" si="2"/>
        <v>59049669</v>
      </c>
      <c r="N60" s="4">
        <f t="shared" si="3"/>
        <v>3531354</v>
      </c>
      <c r="O60" s="4"/>
      <c r="Q60" s="4">
        <f t="shared" si="4"/>
        <v>62581023</v>
      </c>
    </row>
    <row r="61" spans="1:17" x14ac:dyDescent="0.25">
      <c r="A61" s="14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H61" s="4">
        <f t="shared" si="0"/>
        <v>288780</v>
      </c>
      <c r="I61" s="4">
        <f t="shared" si="1"/>
        <v>258577</v>
      </c>
      <c r="K61" s="4">
        <f t="shared" si="2"/>
        <v>28816017</v>
      </c>
      <c r="N61" s="4">
        <f t="shared" si="3"/>
        <v>2109653.5</v>
      </c>
      <c r="O61" s="4"/>
      <c r="Q61" s="4">
        <f t="shared" si="4"/>
        <v>30925670.5</v>
      </c>
    </row>
    <row r="62" spans="1:17" x14ac:dyDescent="0.25">
      <c r="A62" s="14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H62" s="4">
        <f t="shared" si="0"/>
        <v>232543</v>
      </c>
      <c r="I62" s="4">
        <f t="shared" si="1"/>
        <v>208310</v>
      </c>
      <c r="K62" s="4">
        <f t="shared" si="2"/>
        <v>23496110</v>
      </c>
      <c r="N62" s="4">
        <f t="shared" si="3"/>
        <v>1852937.5</v>
      </c>
      <c r="O62" s="4"/>
      <c r="Q62" s="4">
        <f t="shared" si="4"/>
        <v>25349047.5</v>
      </c>
    </row>
    <row r="63" spans="1:17" x14ac:dyDescent="0.25">
      <c r="A63" s="14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H63" s="4">
        <f t="shared" si="0"/>
        <v>252281</v>
      </c>
      <c r="I63" s="4">
        <f t="shared" si="1"/>
        <v>233912</v>
      </c>
      <c r="K63" s="4">
        <f t="shared" si="2"/>
        <v>26604103.5</v>
      </c>
      <c r="N63" s="4">
        <f t="shared" si="3"/>
        <v>1838187</v>
      </c>
      <c r="O63" s="4"/>
      <c r="Q63" s="4">
        <f t="shared" si="4"/>
        <v>28442290.5</v>
      </c>
    </row>
    <row r="64" spans="1:17" x14ac:dyDescent="0.25">
      <c r="A64" s="14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H64" s="4">
        <f t="shared" si="0"/>
        <v>140690</v>
      </c>
      <c r="I64" s="4">
        <f t="shared" si="1"/>
        <v>125306</v>
      </c>
      <c r="K64" s="4">
        <f t="shared" si="2"/>
        <v>14616115.5</v>
      </c>
      <c r="N64" s="4">
        <f t="shared" si="3"/>
        <v>1210646.5</v>
      </c>
      <c r="O64" s="4"/>
      <c r="Q64" s="4">
        <f t="shared" si="4"/>
        <v>15826762</v>
      </c>
    </row>
    <row r="65" spans="1:17" x14ac:dyDescent="0.25">
      <c r="A65" s="14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H65" s="4">
        <f t="shared" si="0"/>
        <v>686050</v>
      </c>
      <c r="I65" s="4">
        <f t="shared" si="1"/>
        <v>907775</v>
      </c>
      <c r="K65" s="4">
        <f t="shared" si="2"/>
        <v>91045421.5</v>
      </c>
      <c r="N65" s="4">
        <f t="shared" si="3"/>
        <v>5380991</v>
      </c>
      <c r="O65" s="4"/>
      <c r="Q65" s="4">
        <f t="shared" si="4"/>
        <v>96426412.5</v>
      </c>
    </row>
    <row r="66" spans="1:17" x14ac:dyDescent="0.25">
      <c r="A66" s="14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H66" s="4">
        <f t="shared" si="0"/>
        <v>118251</v>
      </c>
      <c r="I66" s="4">
        <f t="shared" si="1"/>
        <v>102415</v>
      </c>
      <c r="K66" s="4">
        <f t="shared" si="2"/>
        <v>12492679.5</v>
      </c>
      <c r="N66" s="4">
        <f t="shared" si="3"/>
        <v>1078279.5</v>
      </c>
      <c r="O66" s="4"/>
      <c r="Q66" s="4">
        <f t="shared" si="4"/>
        <v>13570959</v>
      </c>
    </row>
    <row r="67" spans="1:17" x14ac:dyDescent="0.25">
      <c r="A67" s="14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H67" s="4">
        <f t="shared" si="0"/>
        <v>197306</v>
      </c>
      <c r="I67" s="4">
        <f t="shared" si="1"/>
        <v>177053</v>
      </c>
      <c r="K67" s="4">
        <f t="shared" si="2"/>
        <v>21804625</v>
      </c>
      <c r="N67" s="4">
        <f t="shared" si="3"/>
        <v>1592812.5</v>
      </c>
      <c r="O67" s="4"/>
      <c r="Q67" s="4">
        <f t="shared" si="4"/>
        <v>23397437.5</v>
      </c>
    </row>
    <row r="68" spans="1:17" x14ac:dyDescent="0.25">
      <c r="A68" s="14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H68" s="4">
        <f t="shared" si="0"/>
        <v>176982</v>
      </c>
      <c r="I68" s="4">
        <f t="shared" si="1"/>
        <v>158971</v>
      </c>
      <c r="K68" s="4">
        <f t="shared" si="2"/>
        <v>19881723</v>
      </c>
      <c r="N68" s="4">
        <f t="shared" si="3"/>
        <v>1451292.5</v>
      </c>
      <c r="O68" s="4"/>
      <c r="Q68" s="4">
        <f t="shared" si="4"/>
        <v>21333015.5</v>
      </c>
    </row>
    <row r="69" spans="1:17" x14ac:dyDescent="0.25">
      <c r="A69" s="14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H69" s="4">
        <f t="shared" si="0"/>
        <v>122679</v>
      </c>
      <c r="I69" s="4">
        <f t="shared" si="1"/>
        <v>117725</v>
      </c>
      <c r="K69" s="4">
        <f t="shared" si="2"/>
        <v>14403237</v>
      </c>
      <c r="N69" s="4">
        <f t="shared" si="3"/>
        <v>1102821</v>
      </c>
      <c r="O69" s="4"/>
      <c r="Q69" s="4">
        <f t="shared" si="4"/>
        <v>15506058</v>
      </c>
    </row>
    <row r="70" spans="1:17" x14ac:dyDescent="0.25">
      <c r="A70" s="14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H70" s="4">
        <f t="shared" ref="H70:H113" si="5">B70+E70</f>
        <v>357326</v>
      </c>
      <c r="I70" s="4">
        <f t="shared" ref="I70:I113" si="6">C70+F70</f>
        <v>390908</v>
      </c>
      <c r="K70" s="4">
        <f t="shared" ref="K70:K113" si="7">(B70+C70) * (0.5 +$A70)</f>
        <v>46415789</v>
      </c>
      <c r="N70" s="4">
        <f t="shared" ref="N70:N113" si="8">(E70+F70) * (0.5 +$A70)</f>
        <v>2593538</v>
      </c>
      <c r="O70" s="4"/>
      <c r="Q70" s="4">
        <f t="shared" ref="Q70:Q113" si="9">(H70+I70) * (0.5 +$A70)</f>
        <v>49009327</v>
      </c>
    </row>
    <row r="71" spans="1:17" x14ac:dyDescent="0.25">
      <c r="A71" s="14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H71" s="4">
        <f t="shared" si="5"/>
        <v>140457</v>
      </c>
      <c r="I71" s="4">
        <f t="shared" si="6"/>
        <v>113437</v>
      </c>
      <c r="K71" s="4">
        <f t="shared" si="7"/>
        <v>15631556.5</v>
      </c>
      <c r="N71" s="4">
        <f t="shared" si="8"/>
        <v>1252394.5</v>
      </c>
      <c r="O71" s="4"/>
      <c r="Q71" s="4">
        <f t="shared" si="9"/>
        <v>16883951</v>
      </c>
    </row>
    <row r="72" spans="1:17" x14ac:dyDescent="0.25">
      <c r="A72" s="14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H72" s="4">
        <f t="shared" si="5"/>
        <v>148740</v>
      </c>
      <c r="I72" s="4">
        <f t="shared" si="6"/>
        <v>127023</v>
      </c>
      <c r="K72" s="4">
        <f t="shared" si="7"/>
        <v>17245102.5</v>
      </c>
      <c r="N72" s="4">
        <f t="shared" si="8"/>
        <v>1368900</v>
      </c>
      <c r="O72" s="4"/>
      <c r="Q72" s="4">
        <f t="shared" si="9"/>
        <v>18614002.5</v>
      </c>
    </row>
    <row r="73" spans="1:17" x14ac:dyDescent="0.25">
      <c r="A73" s="14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H73" s="4">
        <f t="shared" si="5"/>
        <v>114114</v>
      </c>
      <c r="I73" s="4">
        <f t="shared" si="6"/>
        <v>108737</v>
      </c>
      <c r="K73" s="4">
        <f t="shared" si="7"/>
        <v>14303690.5</v>
      </c>
      <c r="N73" s="4">
        <f t="shared" si="8"/>
        <v>961603</v>
      </c>
      <c r="O73" s="4"/>
      <c r="Q73" s="4">
        <f t="shared" si="9"/>
        <v>15265293.5</v>
      </c>
    </row>
    <row r="74" spans="1:17" x14ac:dyDescent="0.25">
      <c r="A74" s="14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H74" s="4">
        <f t="shared" si="5"/>
        <v>61105</v>
      </c>
      <c r="I74" s="4">
        <f t="shared" si="6"/>
        <v>60508</v>
      </c>
      <c r="K74" s="4">
        <f t="shared" si="7"/>
        <v>7838974.5</v>
      </c>
      <c r="N74" s="4">
        <f t="shared" si="8"/>
        <v>613129</v>
      </c>
      <c r="O74" s="4"/>
      <c r="Q74" s="4">
        <f t="shared" si="9"/>
        <v>8452103.5</v>
      </c>
    </row>
    <row r="75" spans="1:17" x14ac:dyDescent="0.25">
      <c r="A75" s="14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H75" s="4">
        <f t="shared" si="5"/>
        <v>379260</v>
      </c>
      <c r="I75" s="4">
        <f t="shared" si="6"/>
        <v>522328</v>
      </c>
      <c r="K75" s="4">
        <f t="shared" si="7"/>
        <v>59824678.5</v>
      </c>
      <c r="N75" s="4">
        <f t="shared" si="8"/>
        <v>3737275.5</v>
      </c>
      <c r="O75" s="4"/>
      <c r="Q75" s="4">
        <f t="shared" si="9"/>
        <v>63561954</v>
      </c>
    </row>
    <row r="76" spans="1:17" x14ac:dyDescent="0.25">
      <c r="A76" s="14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H76" s="4">
        <f t="shared" si="5"/>
        <v>47362</v>
      </c>
      <c r="I76" s="4">
        <f t="shared" si="6"/>
        <v>43292</v>
      </c>
      <c r="K76" s="4">
        <f t="shared" si="7"/>
        <v>5982119</v>
      </c>
      <c r="N76" s="4">
        <f t="shared" si="8"/>
        <v>499642</v>
      </c>
      <c r="O76" s="4"/>
      <c r="Q76" s="4">
        <f t="shared" si="9"/>
        <v>6481761</v>
      </c>
    </row>
    <row r="77" spans="1:17" x14ac:dyDescent="0.25">
      <c r="A77" s="14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H77" s="4">
        <f t="shared" si="5"/>
        <v>80630</v>
      </c>
      <c r="I77" s="4">
        <f t="shared" si="6"/>
        <v>71854</v>
      </c>
      <c r="K77" s="4">
        <f t="shared" si="7"/>
        <v>10312472.5</v>
      </c>
      <c r="N77" s="4">
        <f t="shared" si="8"/>
        <v>742617.5</v>
      </c>
      <c r="O77" s="4"/>
      <c r="Q77" s="4">
        <f t="shared" si="9"/>
        <v>11055090</v>
      </c>
    </row>
    <row r="78" spans="1:17" x14ac:dyDescent="0.25">
      <c r="A78" s="14">
        <v>74</v>
      </c>
      <c r="B78" s="7">
        <v>42652</v>
      </c>
      <c r="C78" s="7">
        <v>38230</v>
      </c>
      <c r="D78" s="7"/>
      <c r="E78" s="7">
        <v>3688</v>
      </c>
      <c r="F78" s="7">
        <v>2941</v>
      </c>
      <c r="H78" s="4">
        <f t="shared" si="5"/>
        <v>46340</v>
      </c>
      <c r="I78" s="4">
        <f t="shared" si="6"/>
        <v>41171</v>
      </c>
      <c r="K78" s="4">
        <f t="shared" si="7"/>
        <v>6025709</v>
      </c>
      <c r="N78" s="4">
        <f t="shared" si="8"/>
        <v>493860.5</v>
      </c>
      <c r="O78" s="4"/>
      <c r="Q78" s="4">
        <f t="shared" si="9"/>
        <v>6519569.5</v>
      </c>
    </row>
    <row r="79" spans="1:17" x14ac:dyDescent="0.25">
      <c r="A79" s="14">
        <v>75</v>
      </c>
      <c r="B79" s="7">
        <v>149460</v>
      </c>
      <c r="C79" s="7">
        <v>151133</v>
      </c>
      <c r="D79" s="7"/>
      <c r="E79" s="7">
        <v>9322</v>
      </c>
      <c r="F79" s="7">
        <v>8289</v>
      </c>
      <c r="H79" s="4">
        <f t="shared" si="5"/>
        <v>158782</v>
      </c>
      <c r="I79" s="4">
        <f t="shared" si="6"/>
        <v>159422</v>
      </c>
      <c r="K79" s="4">
        <f t="shared" si="7"/>
        <v>22694771.5</v>
      </c>
      <c r="N79" s="4">
        <f t="shared" si="8"/>
        <v>1329630.5</v>
      </c>
      <c r="O79" s="4"/>
      <c r="Q79" s="4">
        <f t="shared" si="9"/>
        <v>24024402</v>
      </c>
    </row>
    <row r="80" spans="1:17" x14ac:dyDescent="0.25">
      <c r="A80" s="14">
        <v>76</v>
      </c>
      <c r="B80" s="7">
        <v>45629</v>
      </c>
      <c r="C80" s="7">
        <v>36698</v>
      </c>
      <c r="D80" s="7"/>
      <c r="E80" s="7">
        <v>4045</v>
      </c>
      <c r="F80" s="7">
        <v>2747</v>
      </c>
      <c r="H80" s="4">
        <f t="shared" si="5"/>
        <v>49674</v>
      </c>
      <c r="I80" s="4">
        <f t="shared" si="6"/>
        <v>39445</v>
      </c>
      <c r="K80" s="4">
        <f t="shared" si="7"/>
        <v>6298015.5</v>
      </c>
      <c r="N80" s="4">
        <f t="shared" si="8"/>
        <v>519588</v>
      </c>
      <c r="O80" s="4"/>
      <c r="Q80" s="4">
        <f t="shared" si="9"/>
        <v>6817603.5</v>
      </c>
    </row>
    <row r="81" spans="1:17" x14ac:dyDescent="0.25">
      <c r="A81" s="14">
        <v>77</v>
      </c>
      <c r="B81" s="7">
        <v>37136</v>
      </c>
      <c r="C81" s="7">
        <v>29059</v>
      </c>
      <c r="D81" s="7"/>
      <c r="E81" s="7">
        <v>3689</v>
      </c>
      <c r="F81" s="7">
        <v>2404</v>
      </c>
      <c r="H81" s="4">
        <f t="shared" si="5"/>
        <v>40825</v>
      </c>
      <c r="I81" s="4">
        <f t="shared" si="6"/>
        <v>31463</v>
      </c>
      <c r="K81" s="4">
        <f t="shared" si="7"/>
        <v>5130112.5</v>
      </c>
      <c r="N81" s="4">
        <f t="shared" si="8"/>
        <v>472207.5</v>
      </c>
      <c r="O81" s="4"/>
      <c r="Q81" s="4">
        <f t="shared" si="9"/>
        <v>5602320</v>
      </c>
    </row>
    <row r="82" spans="1:17" x14ac:dyDescent="0.25">
      <c r="A82" s="14">
        <v>78</v>
      </c>
      <c r="B82" s="7">
        <v>42429</v>
      </c>
      <c r="C82" s="7">
        <v>36768</v>
      </c>
      <c r="D82" s="7"/>
      <c r="E82" s="7">
        <v>3638</v>
      </c>
      <c r="F82" s="7">
        <v>2611</v>
      </c>
      <c r="H82" s="4">
        <f t="shared" si="5"/>
        <v>46067</v>
      </c>
      <c r="I82" s="4">
        <f t="shared" si="6"/>
        <v>39379</v>
      </c>
      <c r="K82" s="4">
        <f t="shared" si="7"/>
        <v>6216964.5</v>
      </c>
      <c r="N82" s="4">
        <f t="shared" si="8"/>
        <v>490546.5</v>
      </c>
      <c r="O82" s="4"/>
      <c r="Q82" s="4">
        <f t="shared" si="9"/>
        <v>6707511</v>
      </c>
    </row>
    <row r="83" spans="1:17" x14ac:dyDescent="0.25">
      <c r="A83" s="14">
        <v>79</v>
      </c>
      <c r="B83" s="7">
        <v>17313</v>
      </c>
      <c r="C83" s="7">
        <v>15690</v>
      </c>
      <c r="D83" s="7"/>
      <c r="E83" s="7">
        <v>1737</v>
      </c>
      <c r="F83" s="7">
        <v>1260</v>
      </c>
      <c r="H83" s="4">
        <f t="shared" si="5"/>
        <v>19050</v>
      </c>
      <c r="I83" s="4">
        <f t="shared" si="6"/>
        <v>16950</v>
      </c>
      <c r="K83" s="4">
        <f t="shared" si="7"/>
        <v>2623738.5</v>
      </c>
      <c r="N83" s="4">
        <f t="shared" si="8"/>
        <v>238261.5</v>
      </c>
      <c r="O83" s="4"/>
      <c r="Q83" s="4">
        <f t="shared" si="9"/>
        <v>2862000</v>
      </c>
    </row>
    <row r="84" spans="1:17" x14ac:dyDescent="0.25">
      <c r="A84" s="14">
        <v>80</v>
      </c>
      <c r="B84" s="7">
        <v>131060</v>
      </c>
      <c r="C84" s="7">
        <v>163226</v>
      </c>
      <c r="D84" s="7"/>
      <c r="E84" s="7">
        <v>10307</v>
      </c>
      <c r="F84" s="7">
        <v>11875</v>
      </c>
      <c r="H84" s="4">
        <f t="shared" si="5"/>
        <v>141367</v>
      </c>
      <c r="I84" s="4">
        <f t="shared" si="6"/>
        <v>175101</v>
      </c>
      <c r="K84" s="4">
        <f t="shared" si="7"/>
        <v>23690023</v>
      </c>
      <c r="N84" s="4">
        <f t="shared" si="8"/>
        <v>1785651</v>
      </c>
      <c r="O84" s="4"/>
      <c r="Q84" s="4">
        <f t="shared" si="9"/>
        <v>25475674</v>
      </c>
    </row>
    <row r="85" spans="1:17" x14ac:dyDescent="0.25">
      <c r="A85" s="14">
        <v>81</v>
      </c>
      <c r="B85" s="7">
        <v>10969</v>
      </c>
      <c r="C85" s="7">
        <v>9583</v>
      </c>
      <c r="D85" s="7"/>
      <c r="E85" s="7">
        <v>1208</v>
      </c>
      <c r="F85" s="7">
        <v>875</v>
      </c>
      <c r="H85" s="4">
        <f t="shared" si="5"/>
        <v>12177</v>
      </c>
      <c r="I85" s="4">
        <f t="shared" si="6"/>
        <v>10458</v>
      </c>
      <c r="K85" s="4">
        <f t="shared" si="7"/>
        <v>1674988</v>
      </c>
      <c r="N85" s="4">
        <f t="shared" si="8"/>
        <v>169764.5</v>
      </c>
      <c r="O85" s="4"/>
      <c r="Q85" s="4">
        <f t="shared" si="9"/>
        <v>1844752.5</v>
      </c>
    </row>
    <row r="86" spans="1:17" x14ac:dyDescent="0.25">
      <c r="A86" s="14">
        <v>82</v>
      </c>
      <c r="B86" s="7">
        <v>16538</v>
      </c>
      <c r="C86" s="7">
        <v>14100</v>
      </c>
      <c r="D86" s="7"/>
      <c r="E86" s="7">
        <v>1515</v>
      </c>
      <c r="F86" s="7">
        <v>1147</v>
      </c>
      <c r="H86" s="4">
        <f t="shared" si="5"/>
        <v>18053</v>
      </c>
      <c r="I86" s="4">
        <f t="shared" si="6"/>
        <v>15247</v>
      </c>
      <c r="K86" s="4">
        <f t="shared" si="7"/>
        <v>2527635</v>
      </c>
      <c r="N86" s="4">
        <f t="shared" si="8"/>
        <v>219615</v>
      </c>
      <c r="O86" s="4"/>
      <c r="Q86" s="4">
        <f t="shared" si="9"/>
        <v>2747250</v>
      </c>
    </row>
    <row r="87" spans="1:17" x14ac:dyDescent="0.25">
      <c r="A87" s="14">
        <v>83</v>
      </c>
      <c r="B87" s="7">
        <v>11952</v>
      </c>
      <c r="C87" s="7">
        <v>10103</v>
      </c>
      <c r="D87" s="7"/>
      <c r="E87" s="7">
        <v>1194</v>
      </c>
      <c r="F87" s="7">
        <v>872</v>
      </c>
      <c r="H87" s="4">
        <f t="shared" si="5"/>
        <v>13146</v>
      </c>
      <c r="I87" s="4">
        <f t="shared" si="6"/>
        <v>10975</v>
      </c>
      <c r="K87" s="4">
        <f t="shared" si="7"/>
        <v>1841592.5</v>
      </c>
      <c r="N87" s="4">
        <f t="shared" si="8"/>
        <v>172511</v>
      </c>
      <c r="O87" s="4"/>
      <c r="Q87" s="4">
        <f t="shared" si="9"/>
        <v>2014103.5</v>
      </c>
    </row>
    <row r="88" spans="1:17" x14ac:dyDescent="0.25">
      <c r="A88" s="14">
        <v>84</v>
      </c>
      <c r="B88" s="7">
        <v>10947</v>
      </c>
      <c r="C88" s="7">
        <v>8651</v>
      </c>
      <c r="D88" s="7"/>
      <c r="E88" s="7">
        <v>1047</v>
      </c>
      <c r="F88" s="7">
        <v>661</v>
      </c>
      <c r="H88" s="4">
        <f t="shared" si="5"/>
        <v>11994</v>
      </c>
      <c r="I88" s="4">
        <f t="shared" si="6"/>
        <v>9312</v>
      </c>
      <c r="K88" s="4">
        <f t="shared" si="7"/>
        <v>1656031</v>
      </c>
      <c r="N88" s="4">
        <f t="shared" si="8"/>
        <v>144326</v>
      </c>
      <c r="O88" s="4"/>
      <c r="Q88" s="4">
        <f t="shared" si="9"/>
        <v>1800357</v>
      </c>
    </row>
    <row r="89" spans="1:17" x14ac:dyDescent="0.25">
      <c r="A89" s="14">
        <v>85</v>
      </c>
      <c r="B89" s="7">
        <v>33818</v>
      </c>
      <c r="C89" s="7">
        <v>32819</v>
      </c>
      <c r="D89" s="7"/>
      <c r="E89" s="7">
        <v>2628</v>
      </c>
      <c r="F89" s="7">
        <v>2066</v>
      </c>
      <c r="H89" s="4">
        <f t="shared" si="5"/>
        <v>36446</v>
      </c>
      <c r="I89" s="4">
        <f t="shared" si="6"/>
        <v>34885</v>
      </c>
      <c r="K89" s="4">
        <f t="shared" si="7"/>
        <v>5697463.5</v>
      </c>
      <c r="N89" s="4">
        <f t="shared" si="8"/>
        <v>401337</v>
      </c>
      <c r="O89" s="4"/>
      <c r="Q89" s="4">
        <f t="shared" si="9"/>
        <v>6098800.5</v>
      </c>
    </row>
    <row r="90" spans="1:17" x14ac:dyDescent="0.25">
      <c r="A90" s="14">
        <v>86</v>
      </c>
      <c r="B90" s="7">
        <v>8708</v>
      </c>
      <c r="C90" s="7">
        <v>6685</v>
      </c>
      <c r="D90" s="7"/>
      <c r="E90" s="7">
        <v>949</v>
      </c>
      <c r="F90" s="7">
        <v>579</v>
      </c>
      <c r="H90" s="4">
        <f t="shared" si="5"/>
        <v>9657</v>
      </c>
      <c r="I90" s="4">
        <f t="shared" si="6"/>
        <v>7264</v>
      </c>
      <c r="K90" s="4">
        <f t="shared" si="7"/>
        <v>1331494.5</v>
      </c>
      <c r="N90" s="4">
        <f t="shared" si="8"/>
        <v>132172</v>
      </c>
      <c r="O90" s="4"/>
      <c r="Q90" s="4">
        <f t="shared" si="9"/>
        <v>1463666.5</v>
      </c>
    </row>
    <row r="91" spans="1:17" x14ac:dyDescent="0.25">
      <c r="A91" s="14">
        <v>87</v>
      </c>
      <c r="B91" s="7">
        <v>7036</v>
      </c>
      <c r="C91" s="7">
        <v>5869</v>
      </c>
      <c r="D91" s="7"/>
      <c r="E91" s="7">
        <v>833</v>
      </c>
      <c r="F91" s="7">
        <v>519</v>
      </c>
      <c r="H91" s="4">
        <f t="shared" si="5"/>
        <v>7869</v>
      </c>
      <c r="I91" s="4">
        <f t="shared" si="6"/>
        <v>6388</v>
      </c>
      <c r="K91" s="4">
        <f t="shared" si="7"/>
        <v>1129187.5</v>
      </c>
      <c r="N91" s="4">
        <f t="shared" si="8"/>
        <v>118300</v>
      </c>
      <c r="O91" s="4"/>
      <c r="Q91" s="4">
        <f t="shared" si="9"/>
        <v>1247487.5</v>
      </c>
    </row>
    <row r="92" spans="1:17" x14ac:dyDescent="0.25">
      <c r="A92" s="14">
        <v>88</v>
      </c>
      <c r="B92" s="7">
        <v>5592</v>
      </c>
      <c r="C92" s="7">
        <v>4856</v>
      </c>
      <c r="D92" s="7"/>
      <c r="E92" s="7">
        <v>721</v>
      </c>
      <c r="F92" s="7">
        <v>486</v>
      </c>
      <c r="H92" s="4">
        <f t="shared" si="5"/>
        <v>6313</v>
      </c>
      <c r="I92" s="4">
        <f t="shared" si="6"/>
        <v>5342</v>
      </c>
      <c r="K92" s="4">
        <f t="shared" si="7"/>
        <v>924648</v>
      </c>
      <c r="N92" s="4">
        <f t="shared" si="8"/>
        <v>106819.5</v>
      </c>
      <c r="O92" s="4"/>
      <c r="Q92" s="4">
        <f t="shared" si="9"/>
        <v>1031467.5</v>
      </c>
    </row>
    <row r="93" spans="1:17" x14ac:dyDescent="0.25">
      <c r="A93" s="14">
        <v>89</v>
      </c>
      <c r="B93" s="7">
        <v>3253</v>
      </c>
      <c r="C93" s="7">
        <v>3295</v>
      </c>
      <c r="D93" s="7"/>
      <c r="E93" s="7">
        <v>482</v>
      </c>
      <c r="F93" s="7">
        <v>355</v>
      </c>
      <c r="H93" s="4">
        <f t="shared" si="5"/>
        <v>3735</v>
      </c>
      <c r="I93" s="4">
        <f t="shared" si="6"/>
        <v>3650</v>
      </c>
      <c r="K93" s="4">
        <f t="shared" si="7"/>
        <v>586046</v>
      </c>
      <c r="N93" s="4">
        <f t="shared" si="8"/>
        <v>74911.5</v>
      </c>
      <c r="O93" s="4"/>
      <c r="Q93" s="4">
        <f t="shared" si="9"/>
        <v>660957.5</v>
      </c>
    </row>
    <row r="94" spans="1:17" x14ac:dyDescent="0.25">
      <c r="A94" s="14">
        <v>90</v>
      </c>
      <c r="B94" s="7">
        <v>22012</v>
      </c>
      <c r="C94" s="7">
        <v>29902</v>
      </c>
      <c r="D94" s="7"/>
      <c r="E94" s="7">
        <v>2464</v>
      </c>
      <c r="F94" s="7">
        <v>2723</v>
      </c>
      <c r="H94" s="4">
        <f t="shared" si="5"/>
        <v>24476</v>
      </c>
      <c r="I94" s="4">
        <f t="shared" si="6"/>
        <v>32625</v>
      </c>
      <c r="K94" s="4">
        <f t="shared" si="7"/>
        <v>4698217</v>
      </c>
      <c r="N94" s="4">
        <f t="shared" si="8"/>
        <v>469423.5</v>
      </c>
      <c r="O94" s="4"/>
      <c r="Q94" s="4">
        <f t="shared" si="9"/>
        <v>5167640.5</v>
      </c>
    </row>
    <row r="95" spans="1:17" x14ac:dyDescent="0.25">
      <c r="A95" s="14">
        <v>91</v>
      </c>
      <c r="B95" s="7">
        <v>1301</v>
      </c>
      <c r="C95" s="7">
        <v>1367</v>
      </c>
      <c r="D95" s="7"/>
      <c r="E95" s="7">
        <v>259</v>
      </c>
      <c r="F95" s="7">
        <v>162</v>
      </c>
      <c r="H95" s="4">
        <f t="shared" si="5"/>
        <v>1560</v>
      </c>
      <c r="I95" s="4">
        <f t="shared" si="6"/>
        <v>1529</v>
      </c>
      <c r="K95" s="4">
        <f t="shared" si="7"/>
        <v>244122</v>
      </c>
      <c r="N95" s="4">
        <f t="shared" si="8"/>
        <v>38521.5</v>
      </c>
      <c r="O95" s="4"/>
      <c r="Q95" s="4">
        <f t="shared" si="9"/>
        <v>282643.5</v>
      </c>
    </row>
    <row r="96" spans="1:17" x14ac:dyDescent="0.25">
      <c r="A96" s="14">
        <v>92</v>
      </c>
      <c r="B96" s="7">
        <v>1675</v>
      </c>
      <c r="C96" s="7">
        <v>1816</v>
      </c>
      <c r="D96" s="7"/>
      <c r="E96" s="7">
        <v>266</v>
      </c>
      <c r="F96" s="7">
        <v>181</v>
      </c>
      <c r="H96" s="4">
        <f t="shared" si="5"/>
        <v>1941</v>
      </c>
      <c r="I96" s="4">
        <f t="shared" si="6"/>
        <v>1997</v>
      </c>
      <c r="K96" s="4">
        <f t="shared" si="7"/>
        <v>322917.5</v>
      </c>
      <c r="N96" s="4">
        <f t="shared" si="8"/>
        <v>41347.5</v>
      </c>
      <c r="O96" s="4"/>
      <c r="Q96" s="4">
        <f t="shared" si="9"/>
        <v>364265</v>
      </c>
    </row>
    <row r="97" spans="1:17" x14ac:dyDescent="0.25">
      <c r="A97" s="14">
        <v>93</v>
      </c>
      <c r="B97" s="7">
        <v>1425</v>
      </c>
      <c r="C97" s="7">
        <v>1386</v>
      </c>
      <c r="D97" s="7"/>
      <c r="E97" s="7">
        <v>245</v>
      </c>
      <c r="F97" s="7">
        <v>141</v>
      </c>
      <c r="H97" s="4">
        <f t="shared" si="5"/>
        <v>1670</v>
      </c>
      <c r="I97" s="4">
        <f t="shared" si="6"/>
        <v>1527</v>
      </c>
      <c r="K97" s="4">
        <f t="shared" si="7"/>
        <v>262828.5</v>
      </c>
      <c r="N97" s="4">
        <f t="shared" si="8"/>
        <v>36091</v>
      </c>
      <c r="O97" s="4"/>
      <c r="Q97" s="4">
        <f t="shared" si="9"/>
        <v>298919.5</v>
      </c>
    </row>
    <row r="98" spans="1:17" x14ac:dyDescent="0.25">
      <c r="A98" s="14">
        <v>94</v>
      </c>
      <c r="B98" s="7">
        <v>1192</v>
      </c>
      <c r="C98" s="7">
        <v>1041</v>
      </c>
      <c r="D98" s="7"/>
      <c r="E98" s="7">
        <v>199</v>
      </c>
      <c r="F98" s="7">
        <v>101</v>
      </c>
      <c r="H98" s="4">
        <f t="shared" si="5"/>
        <v>1391</v>
      </c>
      <c r="I98" s="4">
        <f t="shared" si="6"/>
        <v>1142</v>
      </c>
      <c r="K98" s="4">
        <f t="shared" si="7"/>
        <v>211018.5</v>
      </c>
      <c r="N98" s="4">
        <f t="shared" si="8"/>
        <v>28350</v>
      </c>
      <c r="O98" s="4"/>
      <c r="Q98" s="4">
        <f t="shared" si="9"/>
        <v>239368.5</v>
      </c>
    </row>
    <row r="99" spans="1:17" x14ac:dyDescent="0.25">
      <c r="A99" s="14">
        <v>95</v>
      </c>
      <c r="B99" s="7">
        <v>4720</v>
      </c>
      <c r="C99" s="7">
        <v>5317</v>
      </c>
      <c r="D99" s="7"/>
      <c r="E99" s="7">
        <v>524</v>
      </c>
      <c r="F99" s="7">
        <v>428</v>
      </c>
      <c r="H99" s="4">
        <f t="shared" si="5"/>
        <v>5244</v>
      </c>
      <c r="I99" s="4">
        <f t="shared" si="6"/>
        <v>5745</v>
      </c>
      <c r="K99" s="4">
        <f t="shared" si="7"/>
        <v>958533.5</v>
      </c>
      <c r="N99" s="4">
        <f t="shared" si="8"/>
        <v>90916</v>
      </c>
      <c r="O99" s="4"/>
      <c r="Q99" s="4">
        <f t="shared" si="9"/>
        <v>1049449.5</v>
      </c>
    </row>
    <row r="100" spans="1:17" x14ac:dyDescent="0.25">
      <c r="A100" s="14">
        <v>96</v>
      </c>
      <c r="B100" s="7">
        <v>1839</v>
      </c>
      <c r="C100" s="7">
        <v>1646</v>
      </c>
      <c r="D100" s="7"/>
      <c r="E100" s="7">
        <v>315</v>
      </c>
      <c r="F100" s="7">
        <v>181</v>
      </c>
      <c r="H100" s="4">
        <f t="shared" si="5"/>
        <v>2154</v>
      </c>
      <c r="I100" s="4">
        <f t="shared" si="6"/>
        <v>1827</v>
      </c>
      <c r="K100" s="4">
        <f t="shared" si="7"/>
        <v>336302.5</v>
      </c>
      <c r="N100" s="4">
        <f t="shared" si="8"/>
        <v>47864</v>
      </c>
      <c r="O100" s="4"/>
      <c r="Q100" s="4">
        <f t="shared" si="9"/>
        <v>384166.5</v>
      </c>
    </row>
    <row r="101" spans="1:17" x14ac:dyDescent="0.25">
      <c r="A101" s="14">
        <v>97</v>
      </c>
      <c r="B101" s="7">
        <v>1432</v>
      </c>
      <c r="C101" s="7">
        <v>1213</v>
      </c>
      <c r="D101" s="7"/>
      <c r="E101" s="7">
        <v>206</v>
      </c>
      <c r="F101" s="7">
        <v>107</v>
      </c>
      <c r="H101" s="4">
        <f t="shared" si="5"/>
        <v>1638</v>
      </c>
      <c r="I101" s="4">
        <f t="shared" si="6"/>
        <v>1320</v>
      </c>
      <c r="K101" s="4">
        <f t="shared" si="7"/>
        <v>257887.5</v>
      </c>
      <c r="N101" s="4">
        <f t="shared" si="8"/>
        <v>30517.5</v>
      </c>
      <c r="O101" s="4"/>
      <c r="Q101" s="4">
        <f t="shared" si="9"/>
        <v>288405</v>
      </c>
    </row>
    <row r="102" spans="1:17" x14ac:dyDescent="0.25">
      <c r="A102" s="14">
        <v>98</v>
      </c>
      <c r="B102" s="7">
        <v>1400</v>
      </c>
      <c r="C102" s="7">
        <v>1331</v>
      </c>
      <c r="D102" s="7"/>
      <c r="E102" s="7">
        <v>183</v>
      </c>
      <c r="F102" s="7">
        <v>106</v>
      </c>
      <c r="H102" s="4">
        <f t="shared" si="5"/>
        <v>1583</v>
      </c>
      <c r="I102" s="4">
        <f t="shared" si="6"/>
        <v>1437</v>
      </c>
      <c r="K102" s="4">
        <f t="shared" si="7"/>
        <v>269003.5</v>
      </c>
      <c r="N102" s="4">
        <f t="shared" si="8"/>
        <v>28466.5</v>
      </c>
      <c r="O102" s="4"/>
      <c r="Q102" s="4">
        <f t="shared" si="9"/>
        <v>297470</v>
      </c>
    </row>
    <row r="103" spans="1:17" x14ac:dyDescent="0.25">
      <c r="A103" s="14">
        <v>99</v>
      </c>
      <c r="B103" s="7">
        <v>609</v>
      </c>
      <c r="C103" s="7">
        <v>699</v>
      </c>
      <c r="D103" s="7"/>
      <c r="E103" s="7">
        <v>108</v>
      </c>
      <c r="F103" s="7">
        <v>88</v>
      </c>
      <c r="H103" s="4">
        <f t="shared" si="5"/>
        <v>717</v>
      </c>
      <c r="I103" s="4">
        <f t="shared" si="6"/>
        <v>787</v>
      </c>
      <c r="K103" s="4">
        <f t="shared" si="7"/>
        <v>130146</v>
      </c>
      <c r="N103" s="4">
        <f t="shared" si="8"/>
        <v>19502</v>
      </c>
      <c r="O103" s="4"/>
      <c r="Q103" s="4">
        <f t="shared" si="9"/>
        <v>149648</v>
      </c>
    </row>
    <row r="104" spans="1:17" x14ac:dyDescent="0.25">
      <c r="A104" s="14">
        <v>100</v>
      </c>
      <c r="B104" s="7">
        <v>2044</v>
      </c>
      <c r="C104" s="7">
        <v>3241</v>
      </c>
      <c r="D104" s="7"/>
      <c r="E104" s="7">
        <v>356</v>
      </c>
      <c r="F104" s="7">
        <v>394</v>
      </c>
      <c r="H104" s="4">
        <f t="shared" si="5"/>
        <v>2400</v>
      </c>
      <c r="I104" s="4">
        <f t="shared" si="6"/>
        <v>3635</v>
      </c>
      <c r="K104" s="4">
        <f t="shared" si="7"/>
        <v>531142.5</v>
      </c>
      <c r="N104" s="4">
        <f t="shared" si="8"/>
        <v>75375</v>
      </c>
      <c r="O104" s="4"/>
      <c r="Q104" s="4">
        <f t="shared" si="9"/>
        <v>606517.5</v>
      </c>
    </row>
    <row r="105" spans="1:17" x14ac:dyDescent="0.25">
      <c r="A105" s="14">
        <v>101</v>
      </c>
      <c r="B105" s="7">
        <v>230</v>
      </c>
      <c r="C105" s="7">
        <v>258</v>
      </c>
      <c r="D105" s="7"/>
      <c r="E105" s="7">
        <v>41</v>
      </c>
      <c r="F105" s="7">
        <v>36</v>
      </c>
      <c r="H105" s="4">
        <f t="shared" si="5"/>
        <v>271</v>
      </c>
      <c r="I105" s="4">
        <f t="shared" si="6"/>
        <v>294</v>
      </c>
      <c r="K105" s="4">
        <f t="shared" si="7"/>
        <v>49532</v>
      </c>
      <c r="N105" s="4">
        <f t="shared" si="8"/>
        <v>7815.5</v>
      </c>
      <c r="O105" s="4"/>
      <c r="Q105" s="4">
        <f t="shared" si="9"/>
        <v>57347.5</v>
      </c>
    </row>
    <row r="106" spans="1:17" x14ac:dyDescent="0.25">
      <c r="A106" s="14">
        <v>102</v>
      </c>
      <c r="B106" s="7">
        <v>278</v>
      </c>
      <c r="C106" s="7">
        <v>358</v>
      </c>
      <c r="D106" s="7"/>
      <c r="E106" s="7">
        <v>74</v>
      </c>
      <c r="F106" s="7">
        <v>52</v>
      </c>
      <c r="H106" s="4">
        <f t="shared" si="5"/>
        <v>352</v>
      </c>
      <c r="I106" s="4">
        <f t="shared" si="6"/>
        <v>410</v>
      </c>
      <c r="K106" s="4">
        <f t="shared" si="7"/>
        <v>65190</v>
      </c>
      <c r="N106" s="4">
        <f t="shared" si="8"/>
        <v>12915</v>
      </c>
      <c r="O106" s="4"/>
      <c r="Q106" s="4">
        <f t="shared" si="9"/>
        <v>78105</v>
      </c>
    </row>
    <row r="107" spans="1:17" x14ac:dyDescent="0.25">
      <c r="A107" s="14">
        <v>103</v>
      </c>
      <c r="B107" s="7">
        <v>202</v>
      </c>
      <c r="C107" s="7">
        <v>226</v>
      </c>
      <c r="D107" s="7"/>
      <c r="E107" s="7">
        <v>53</v>
      </c>
      <c r="F107" s="7">
        <v>26</v>
      </c>
      <c r="H107" s="4">
        <f t="shared" si="5"/>
        <v>255</v>
      </c>
      <c r="I107" s="4">
        <f t="shared" si="6"/>
        <v>252</v>
      </c>
      <c r="K107" s="4">
        <f t="shared" si="7"/>
        <v>44298</v>
      </c>
      <c r="N107" s="4">
        <f t="shared" si="8"/>
        <v>8176.5</v>
      </c>
      <c r="O107" s="4"/>
      <c r="Q107" s="4">
        <f t="shared" si="9"/>
        <v>52474.5</v>
      </c>
    </row>
    <row r="108" spans="1:17" x14ac:dyDescent="0.25">
      <c r="A108" s="14">
        <v>104</v>
      </c>
      <c r="B108" s="7">
        <v>125</v>
      </c>
      <c r="C108" s="7">
        <v>143</v>
      </c>
      <c r="D108" s="7"/>
      <c r="E108" s="7">
        <v>24</v>
      </c>
      <c r="F108" s="7">
        <v>22</v>
      </c>
      <c r="H108" s="4">
        <f t="shared" si="5"/>
        <v>149</v>
      </c>
      <c r="I108" s="4">
        <f t="shared" si="6"/>
        <v>165</v>
      </c>
      <c r="K108" s="4">
        <f t="shared" si="7"/>
        <v>28006</v>
      </c>
      <c r="N108" s="4">
        <f t="shared" si="8"/>
        <v>4807</v>
      </c>
      <c r="O108" s="4"/>
      <c r="Q108" s="4">
        <f t="shared" si="9"/>
        <v>32813</v>
      </c>
    </row>
    <row r="109" spans="1:17" x14ac:dyDescent="0.25">
      <c r="A109" s="14">
        <v>105</v>
      </c>
      <c r="B109" s="7">
        <v>249</v>
      </c>
      <c r="C109" s="7">
        <v>350</v>
      </c>
      <c r="D109" s="7"/>
      <c r="E109" s="7">
        <v>69</v>
      </c>
      <c r="F109" s="7">
        <v>35</v>
      </c>
      <c r="H109" s="4">
        <f t="shared" si="5"/>
        <v>318</v>
      </c>
      <c r="I109" s="4">
        <f t="shared" si="6"/>
        <v>385</v>
      </c>
      <c r="K109" s="4">
        <f t="shared" si="7"/>
        <v>63194.5</v>
      </c>
      <c r="N109" s="4">
        <f t="shared" si="8"/>
        <v>10972</v>
      </c>
      <c r="O109" s="4"/>
      <c r="Q109" s="4">
        <f t="shared" si="9"/>
        <v>74166.5</v>
      </c>
    </row>
    <row r="110" spans="1:17" x14ac:dyDescent="0.25">
      <c r="A110" s="14">
        <v>106</v>
      </c>
      <c r="B110" s="7">
        <v>83</v>
      </c>
      <c r="C110" s="7">
        <v>91</v>
      </c>
      <c r="D110" s="7"/>
      <c r="E110" s="7">
        <v>32</v>
      </c>
      <c r="F110" s="7">
        <v>19</v>
      </c>
      <c r="H110" s="4">
        <f t="shared" si="5"/>
        <v>115</v>
      </c>
      <c r="I110" s="4">
        <f t="shared" si="6"/>
        <v>110</v>
      </c>
      <c r="K110" s="4">
        <f t="shared" si="7"/>
        <v>18531</v>
      </c>
      <c r="N110" s="4">
        <f t="shared" si="8"/>
        <v>5431.5</v>
      </c>
      <c r="O110" s="4"/>
      <c r="Q110" s="4">
        <f t="shared" si="9"/>
        <v>23962.5</v>
      </c>
    </row>
    <row r="111" spans="1:17" x14ac:dyDescent="0.25">
      <c r="A111" s="14">
        <v>107</v>
      </c>
      <c r="B111" s="7">
        <v>70</v>
      </c>
      <c r="C111" s="7">
        <v>69</v>
      </c>
      <c r="D111" s="7"/>
      <c r="E111" s="7">
        <v>21</v>
      </c>
      <c r="F111" s="7">
        <v>12</v>
      </c>
      <c r="H111" s="4">
        <f t="shared" si="5"/>
        <v>91</v>
      </c>
      <c r="I111" s="4">
        <f t="shared" si="6"/>
        <v>81</v>
      </c>
      <c r="K111" s="4">
        <f t="shared" si="7"/>
        <v>14942.5</v>
      </c>
      <c r="N111" s="4">
        <f t="shared" si="8"/>
        <v>3547.5</v>
      </c>
      <c r="O111" s="4"/>
      <c r="Q111" s="4">
        <f t="shared" si="9"/>
        <v>18490</v>
      </c>
    </row>
    <row r="112" spans="1:17" x14ac:dyDescent="0.25">
      <c r="A112" s="14">
        <v>108</v>
      </c>
      <c r="B112" s="7">
        <v>45</v>
      </c>
      <c r="C112" s="7">
        <v>50</v>
      </c>
      <c r="D112" s="7"/>
      <c r="E112" s="7">
        <v>16</v>
      </c>
      <c r="F112" s="7">
        <v>7</v>
      </c>
      <c r="H112" s="4">
        <f t="shared" si="5"/>
        <v>61</v>
      </c>
      <c r="I112" s="4">
        <f t="shared" si="6"/>
        <v>57</v>
      </c>
      <c r="K112" s="4">
        <f t="shared" si="7"/>
        <v>10307.5</v>
      </c>
      <c r="N112" s="4">
        <f t="shared" si="8"/>
        <v>2495.5</v>
      </c>
      <c r="O112" s="4"/>
      <c r="Q112" s="4">
        <f t="shared" si="9"/>
        <v>12803</v>
      </c>
    </row>
    <row r="113" spans="1:17" x14ac:dyDescent="0.25">
      <c r="A113" s="14">
        <v>109</v>
      </c>
      <c r="B113" s="7">
        <v>65</v>
      </c>
      <c r="C113" s="7">
        <v>56</v>
      </c>
      <c r="D113" s="7"/>
      <c r="E113" s="7">
        <v>12</v>
      </c>
      <c r="F113" s="7">
        <v>4</v>
      </c>
      <c r="H113" s="4">
        <f t="shared" si="5"/>
        <v>77</v>
      </c>
      <c r="I113" s="4">
        <f t="shared" si="6"/>
        <v>60</v>
      </c>
      <c r="K113" s="4">
        <f t="shared" si="7"/>
        <v>13249.5</v>
      </c>
      <c r="N113" s="4">
        <f t="shared" si="8"/>
        <v>1752</v>
      </c>
      <c r="O113" s="4"/>
      <c r="Q113" s="4">
        <f t="shared" si="9"/>
        <v>15001.5</v>
      </c>
    </row>
    <row r="115" spans="1:17" x14ac:dyDescent="0.25">
      <c r="A115" t="s">
        <v>121</v>
      </c>
      <c r="B115" s="4">
        <f>SUM(B5:B113)</f>
        <v>45675203</v>
      </c>
      <c r="C115" s="4">
        <f>SUM(C5:C113)</f>
        <v>47625247</v>
      </c>
      <c r="E115" s="4">
        <f>SUM(E5:E113)</f>
        <v>2958018</v>
      </c>
      <c r="F115" s="4">
        <f>SUM(F5:F113)</f>
        <v>2789808</v>
      </c>
      <c r="H115" s="4">
        <f>SUM(H5:H113)</f>
        <v>48633221</v>
      </c>
      <c r="I115" s="4">
        <f>SUM(I5:I113)</f>
        <v>50415055</v>
      </c>
      <c r="K115" s="15">
        <f>SUM(K5:K113) / (B115 + C115)</f>
        <v>25.093630223648439</v>
      </c>
      <c r="L115" s="16"/>
      <c r="M115" s="16"/>
      <c r="N115" s="15">
        <f>SUM(N5:N113) / (E115 + F115)</f>
        <v>26.282198869624793</v>
      </c>
      <c r="O115" s="16"/>
      <c r="P115" s="16"/>
      <c r="Q115" s="15">
        <f>SUM(Q5:Q113) / (H115 + I115)</f>
        <v>25.162603516693213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Notes</vt:lpstr>
      <vt:lpstr>MX-1895-raw</vt:lpstr>
      <vt:lpstr>MX-1895</vt:lpstr>
      <vt:lpstr>MX-1900-raw</vt:lpstr>
      <vt:lpstr>RU-1897-raw</vt:lpstr>
      <vt:lpstr>RU-1897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2026-04-23T03:26:50Z</dcterms:created>
  <dcterms:modified xsi:type="dcterms:W3CDTF">2026-04-23T16:13:38Z</dcterms:modified>
</cp:coreProperties>
</file>