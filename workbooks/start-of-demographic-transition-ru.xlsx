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workbooks\"/>
    </mc:Choice>
  </mc:AlternateContent>
  <xr:revisionPtr revIDLastSave="0" documentId="13_ncr:1_{18E38DDC-6160-4653-84F9-1670E7D39443}" xr6:coauthVersionLast="45" xr6:coauthVersionMax="47" xr10:uidLastSave="{00000000-0000-0000-0000-000000000000}"/>
  <bookViews>
    <workbookView xWindow="1545" yWindow="750" windowWidth="25635" windowHeight="21885" activeTab="1" xr2:uid="{4FC66C36-D870-40C8-814E-E325D68632DB}"/>
  </bookViews>
  <sheets>
    <sheet name="Notes" sheetId="5" r:id="rId1"/>
    <sheet name="RSFSR" sheetId="1" r:id="rId2"/>
    <sheet name="NR" sheetId="2" r:id="rId3"/>
    <sheet name="MR" sheetId="3" r:id="rId4"/>
    <sheet name="BR" sheetId="4" r:id="rId5"/>
    <sheet name="BR без Смоленской" sheetId="7" r:id="rId6"/>
    <sheet name="все вместе" sheetId="6" r:id="rId7"/>
  </sheets>
  <definedNames>
    <definedName name="STEP">NR!$V$5</definedName>
    <definedName name="STEP_BR">BR!$V$5</definedName>
    <definedName name="STEP_NR">NR!$V$5</definedName>
    <definedName name="STEP_RSFSR">RSFSR!$V$5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1" i="6" l="1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E4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B4" i="6"/>
  <c r="A50" i="2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A33" i="7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S5" i="7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C4" i="7" l="1" a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C20" i="7" l="1"/>
  <c r="C8" i="7"/>
  <c r="C19" i="7"/>
  <c r="C7" i="7"/>
  <c r="C17" i="7"/>
  <c r="C5" i="7"/>
  <c r="C16" i="7"/>
  <c r="C4" i="7"/>
  <c r="D4" i="7" s="1"/>
  <c r="C15" i="7"/>
  <c r="U15" i="7" s="1"/>
  <c r="C14" i="7"/>
  <c r="U14" i="7" s="1"/>
  <c r="C11" i="7"/>
  <c r="U11" i="7" s="1"/>
  <c r="C18" i="7"/>
  <c r="U18" i="7" s="1"/>
  <c r="C6" i="7"/>
  <c r="C13" i="7"/>
  <c r="C12" i="7"/>
  <c r="C10" i="7"/>
  <c r="C21" i="7"/>
  <c r="C9" i="7"/>
  <c r="A29" i="1"/>
  <c r="A23" i="1"/>
  <c r="A24" i="1" s="1"/>
  <c r="A25" i="1" s="1"/>
  <c r="A26" i="1" s="1"/>
  <c r="A27" i="1" s="1"/>
  <c r="A28" i="1" s="1"/>
  <c r="A22" i="4"/>
  <c r="A23" i="4" s="1"/>
  <c r="A24" i="4" s="1"/>
  <c r="A25" i="4" s="1"/>
  <c r="A25" i="3"/>
  <c r="A24" i="3"/>
  <c r="A23" i="3"/>
  <c r="A22" i="3"/>
  <c r="A26" i="2"/>
  <c r="A25" i="2"/>
  <c r="A24" i="2"/>
  <c r="A23" i="2"/>
  <c r="A22" i="2"/>
  <c r="S23" i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S5" i="4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7" i="3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6" i="3"/>
  <c r="S5" i="3"/>
  <c r="C4" i="4" a="1"/>
  <c r="C4" i="4" s="1"/>
  <c r="C4" i="3" a="1"/>
  <c r="C4" i="3" s="1"/>
  <c r="C4" i="2" a="1"/>
  <c r="C4" i="2" s="1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S5" i="2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5" i="1"/>
  <c r="T6" i="1"/>
  <c r="S5" i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A34" i="4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33" i="4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32" i="3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33" i="2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6" i="4"/>
  <c r="A5" i="4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5" i="3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5" i="2"/>
  <c r="A5" i="1"/>
  <c r="A6" i="1" s="1"/>
  <c r="U9" i="7" l="1"/>
  <c r="U5" i="7"/>
  <c r="U21" i="7"/>
  <c r="C22" i="7"/>
  <c r="C23" i="7" s="1"/>
  <c r="C24" i="7" s="1"/>
  <c r="C25" i="7" s="1"/>
  <c r="U17" i="7"/>
  <c r="U7" i="7"/>
  <c r="U12" i="7"/>
  <c r="U13" i="7"/>
  <c r="U8" i="7"/>
  <c r="U16" i="7"/>
  <c r="U10" i="7"/>
  <c r="U19" i="7"/>
  <c r="U6" i="7"/>
  <c r="U20" i="7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C4" i="1" a="1"/>
  <c r="V5" i="7" l="1"/>
  <c r="C4" i="1"/>
  <c r="C21" i="4" l="1"/>
  <c r="C20" i="4"/>
  <c r="U20" i="4" s="1"/>
  <c r="C19" i="4"/>
  <c r="U19" i="4" s="1"/>
  <c r="C18" i="4"/>
  <c r="U18" i="4" s="1"/>
  <c r="C17" i="4"/>
  <c r="U17" i="4" s="1"/>
  <c r="C16" i="4"/>
  <c r="U16" i="4" s="1"/>
  <c r="C15" i="4"/>
  <c r="U15" i="4" s="1"/>
  <c r="C14" i="4"/>
  <c r="U14" i="4" s="1"/>
  <c r="C13" i="4"/>
  <c r="U13" i="4" s="1"/>
  <c r="C12" i="4"/>
  <c r="U12" i="4" s="1"/>
  <c r="C11" i="4"/>
  <c r="U11" i="4" s="1"/>
  <c r="C10" i="4"/>
  <c r="U10" i="4" s="1"/>
  <c r="C9" i="4"/>
  <c r="U9" i="4" s="1"/>
  <c r="C8" i="4"/>
  <c r="U8" i="4" s="1"/>
  <c r="C7" i="4"/>
  <c r="U7" i="4" s="1"/>
  <c r="C6" i="4"/>
  <c r="U6" i="4" s="1"/>
  <c r="C5" i="4"/>
  <c r="C21" i="3"/>
  <c r="C20" i="3"/>
  <c r="U20" i="3" s="1"/>
  <c r="C19" i="3"/>
  <c r="U19" i="3" s="1"/>
  <c r="C18" i="3"/>
  <c r="U18" i="3" s="1"/>
  <c r="C17" i="3"/>
  <c r="U17" i="3" s="1"/>
  <c r="C16" i="3"/>
  <c r="U16" i="3" s="1"/>
  <c r="C15" i="3"/>
  <c r="U15" i="3" s="1"/>
  <c r="C14" i="3"/>
  <c r="U14" i="3" s="1"/>
  <c r="C13" i="3"/>
  <c r="U13" i="3" s="1"/>
  <c r="C12" i="3"/>
  <c r="U12" i="3" s="1"/>
  <c r="C11" i="3"/>
  <c r="U11" i="3" s="1"/>
  <c r="C10" i="3"/>
  <c r="U10" i="3" s="1"/>
  <c r="C9" i="3"/>
  <c r="U9" i="3" s="1"/>
  <c r="C8" i="3"/>
  <c r="U8" i="3" s="1"/>
  <c r="C7" i="3"/>
  <c r="U7" i="3" s="1"/>
  <c r="C6" i="3"/>
  <c r="U6" i="3" s="1"/>
  <c r="C5" i="3"/>
  <c r="C21" i="2"/>
  <c r="C20" i="2"/>
  <c r="U20" i="2" s="1"/>
  <c r="C19" i="2"/>
  <c r="U19" i="2" s="1"/>
  <c r="C18" i="2"/>
  <c r="U18" i="2" s="1"/>
  <c r="C17" i="2"/>
  <c r="U17" i="2" s="1"/>
  <c r="C16" i="2"/>
  <c r="U16" i="2" s="1"/>
  <c r="C15" i="2"/>
  <c r="U15" i="2" s="1"/>
  <c r="C14" i="2"/>
  <c r="U14" i="2" s="1"/>
  <c r="C13" i="2"/>
  <c r="U13" i="2" s="1"/>
  <c r="C12" i="2"/>
  <c r="U12" i="2" s="1"/>
  <c r="C11" i="2"/>
  <c r="U11" i="2" s="1"/>
  <c r="C10" i="2"/>
  <c r="U10" i="2" s="1"/>
  <c r="C9" i="2"/>
  <c r="U9" i="2" s="1"/>
  <c r="C8" i="2"/>
  <c r="U8" i="2" s="1"/>
  <c r="C7" i="2"/>
  <c r="U7" i="2" s="1"/>
  <c r="C6" i="2"/>
  <c r="U6" i="2" s="1"/>
  <c r="C5" i="2"/>
  <c r="C22" i="1"/>
  <c r="C21" i="1"/>
  <c r="U21" i="1" s="1"/>
  <c r="C20" i="1"/>
  <c r="U20" i="1" s="1"/>
  <c r="C19" i="1"/>
  <c r="U19" i="1" s="1"/>
  <c r="C18" i="1"/>
  <c r="U18" i="1" s="1"/>
  <c r="C17" i="1"/>
  <c r="U17" i="1" s="1"/>
  <c r="C16" i="1"/>
  <c r="U16" i="1" s="1"/>
  <c r="C15" i="1"/>
  <c r="U15" i="1" s="1"/>
  <c r="C14" i="1"/>
  <c r="U14" i="1" s="1"/>
  <c r="C13" i="1"/>
  <c r="U13" i="1" s="1"/>
  <c r="C12" i="1"/>
  <c r="U12" i="1" s="1"/>
  <c r="C11" i="1"/>
  <c r="U11" i="1" s="1"/>
  <c r="C10" i="1"/>
  <c r="U10" i="1" s="1"/>
  <c r="C9" i="1"/>
  <c r="U9" i="1" s="1"/>
  <c r="C8" i="1"/>
  <c r="U8" i="1" s="1"/>
  <c r="C7" i="1"/>
  <c r="U7" i="1" s="1"/>
  <c r="C6" i="1"/>
  <c r="U6" i="1" s="1"/>
  <c r="C5" i="1"/>
  <c r="U5" i="1" s="1"/>
  <c r="V5" i="1" l="1"/>
  <c r="U5" i="4"/>
  <c r="D4" i="4"/>
  <c r="V5" i="4"/>
  <c r="U21" i="4"/>
  <c r="C22" i="4"/>
  <c r="C23" i="4" s="1"/>
  <c r="C24" i="4" s="1"/>
  <c r="C25" i="4" s="1"/>
  <c r="U5" i="3"/>
  <c r="D4" i="3"/>
  <c r="C22" i="3" s="1"/>
  <c r="C23" i="3" s="1"/>
  <c r="C24" i="3" s="1"/>
  <c r="C25" i="3" s="1"/>
  <c r="U21" i="3"/>
  <c r="V5" i="3"/>
  <c r="U21" i="2"/>
  <c r="D4" i="2"/>
  <c r="C22" i="2" s="1"/>
  <c r="C23" i="2" s="1"/>
  <c r="C24" i="2" s="1"/>
  <c r="C25" i="2" s="1"/>
  <c r="C26" i="2" s="1"/>
  <c r="U5" i="2"/>
  <c r="V5" i="2" s="1"/>
  <c r="U22" i="1"/>
  <c r="D4" i="1"/>
  <c r="C23" i="1" s="1"/>
  <c r="C24" i="1" s="1"/>
  <c r="C25" i="1" s="1"/>
  <c r="C26" i="1" s="1"/>
  <c r="C27" i="1" s="1"/>
  <c r="C28" i="1" s="1"/>
  <c r="C29" i="1" s="1"/>
  <c r="U23" i="1" l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22" i="2"/>
  <c r="U23" i="2" s="1"/>
  <c r="U24" i="2" s="1"/>
  <c r="U25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<sst xmlns="http://schemas.openxmlformats.org/spreadsheetml/2006/main" count="88" uniqueCount="38">
  <si>
    <t>год</t>
  </si>
  <si>
    <t>рождаемость</t>
  </si>
  <si>
    <t>Исключение холерных и революционных лет (1898, 1905, 1908-1910)</t>
  </si>
  <si>
    <t>TREND</t>
  </si>
  <si>
    <t>% падения  рождаемости</t>
  </si>
  <si>
    <t>% падения тренда</t>
  </si>
  <si>
    <t>Белоруссия</t>
  </si>
  <si>
    <t>Малороссия</t>
  </si>
  <si>
    <t>Новороссия</t>
  </si>
  <si>
    <t>РСФСР-1991 без Тувы</t>
  </si>
  <si>
    <t>шаг тренда</t>
  </si>
  <si>
    <t xml:space="preserve">Датировка момента, на который следует относить начало демографического перехода, </t>
  </si>
  <si>
    <t>принимая за таковой 10%-е падение рождаемости.</t>
  </si>
  <si>
    <t>Стоял вопрос, не следует ли исключить из набора построения тренда</t>
  </si>
  <si>
    <t xml:space="preserve">холерные годы и 1905 год революционных потрясений как аномальные, </t>
  </si>
  <si>
    <t>однако видно, что их исключение мало влияет на тренд для Новроссии, Малороссии и Белоруссии:</t>
  </si>
  <si>
    <t>Малороссия: сдвиг почти нулевой, около +0.1 года</t>
  </si>
  <si>
    <t>Для РСФСР исключение аномальных лет сдвигает пересечение 10%-го уровня заметнее — примерно с 1921.5 к 1918.4.</t>
  </si>
  <si>
    <t>Итого:</t>
  </si>
  <si>
    <t xml:space="preserve">Если определять начало демографического перехода как момент достижения 10%-го снижения рождаемости </t>
  </si>
  <si>
    <t xml:space="preserve">по сглаженному линейным трендом ряду, то наиболее раннее начало обнаруживается </t>
  </si>
  <si>
    <t xml:space="preserve">в Малороссии (ок. 1905–1906) </t>
  </si>
  <si>
    <t xml:space="preserve">тогда как в Новороссии оно относится лишь к 1917 г., </t>
  </si>
  <si>
    <t xml:space="preserve">а в РСФСР — к поздним 1910-м или началу 1920-х годов. </t>
  </si>
  <si>
    <t>точная дата заметно зависит от обращения с аномальными годами.</t>
  </si>
  <si>
    <t xml:space="preserve">Для великорусского ядра 10%-е снижение рождаемости по линейному тренду достигается лишь в поздние 1910-е  —  начале 1920-х; </t>
  </si>
  <si>
    <t>шаг %-го падения тренда</t>
  </si>
  <si>
    <t>Чтобы исключить осцилляции, 10%-е падение определяется по тренду линейной регрессии методом наименьших квадратов.</t>
  </si>
  <si>
    <t>Но с подтверждением устойчивого снижения фактического уровня рождаемости.</t>
  </si>
  <si>
    <t>Такое потверждение достигается для Белоруссии и Малороссии.</t>
  </si>
  <si>
    <t>Для РСФСР и Новороссии до 1914 года 10%-го снижения рождаемости ещё не происходит, и для них момент начала перехода определяется по тренду.</t>
  </si>
  <si>
    <t>Белоруссия: около +0.6 года</t>
  </si>
  <si>
    <t>Новороссия: около -0.3 года</t>
  </si>
  <si>
    <t xml:space="preserve">и Белоруссии (ок. 1907-1908), </t>
  </si>
  <si>
    <t>РСФСР-1991</t>
  </si>
  <si>
    <t>Белоруссия
без Смоленской</t>
  </si>
  <si>
    <t>Белоруссия без Смоленской губернии</t>
  </si>
  <si>
    <t>Белоруссия со Смоленской губернией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</si>
</sst>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2" fillId="0" borderId="0" xfId="0" applyFont="1"/>
    <xf numFmtId="9" fontId="0" fillId="0" borderId="0" xfId="0" applyNumberFormat="1"/>
    <xf numFmtId="2" fontId="0" fillId="2" borderId="0" xfId="0" applyNumberFormat="1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RSFSR!$B$3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RSFSR!$A$4:$A$22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RSFSR!$B$4:$B$22</c:f>
              <c:numCache>
                <c:formatCode>0.0</c:formatCode>
                <c:ptCount val="19"/>
                <c:pt idx="0">
                  <c:v>52.9</c:v>
                </c:pt>
                <c:pt idx="1">
                  <c:v>52.8</c:v>
                </c:pt>
                <c:pt idx="2">
                  <c:v>50.6</c:v>
                </c:pt>
                <c:pt idx="3">
                  <c:v>51.2</c:v>
                </c:pt>
                <c:pt idx="4">
                  <c:v>51.9</c:v>
                </c:pt>
                <c:pt idx="5">
                  <c:v>51.5</c:v>
                </c:pt>
                <c:pt idx="6">
                  <c:v>52.4</c:v>
                </c:pt>
                <c:pt idx="7">
                  <c:v>52</c:v>
                </c:pt>
                <c:pt idx="8">
                  <c:v>52.2</c:v>
                </c:pt>
                <c:pt idx="9">
                  <c:v>48.6</c:v>
                </c:pt>
                <c:pt idx="10">
                  <c:v>51.1</c:v>
                </c:pt>
                <c:pt idx="11">
                  <c:v>51.1</c:v>
                </c:pt>
                <c:pt idx="12">
                  <c:v>49.5</c:v>
                </c:pt>
                <c:pt idx="13">
                  <c:v>49.9</c:v>
                </c:pt>
                <c:pt idx="14">
                  <c:v>50.8</c:v>
                </c:pt>
                <c:pt idx="15">
                  <c:v>50.4</c:v>
                </c:pt>
                <c:pt idx="16">
                  <c:v>48.5</c:v>
                </c:pt>
                <c:pt idx="17">
                  <c:v>48.4</c:v>
                </c:pt>
                <c:pt idx="18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BD-4F59-88C6-41A3CFDE2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70144"/>
        <c:axId val="445072544"/>
      </c:scatterChart>
      <c:valAx>
        <c:axId val="445070144"/>
        <c:scaling>
          <c:orientation val="minMax"/>
          <c:max val="1914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72544"/>
        <c:crosses val="autoZero"/>
        <c:crossBetween val="midCat"/>
      </c:valAx>
      <c:valAx>
        <c:axId val="4450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7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RSFSR!$B$41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RSFSR!$A$42:$A$60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RSFSR!$B$42:$B$60</c:f>
              <c:numCache>
                <c:formatCode>0.0</c:formatCode>
                <c:ptCount val="19"/>
                <c:pt idx="0">
                  <c:v>53.3</c:v>
                </c:pt>
                <c:pt idx="1">
                  <c:v>53.3</c:v>
                </c:pt>
                <c:pt idx="3">
                  <c:v>51.7</c:v>
                </c:pt>
                <c:pt idx="4">
                  <c:v>52.4</c:v>
                </c:pt>
                <c:pt idx="5">
                  <c:v>52</c:v>
                </c:pt>
                <c:pt idx="6">
                  <c:v>52.8</c:v>
                </c:pt>
                <c:pt idx="7">
                  <c:v>52.5</c:v>
                </c:pt>
                <c:pt idx="8">
                  <c:v>52.7</c:v>
                </c:pt>
                <c:pt idx="10">
                  <c:v>51.6</c:v>
                </c:pt>
                <c:pt idx="11">
                  <c:v>51.6</c:v>
                </c:pt>
                <c:pt idx="15">
                  <c:v>50.9</c:v>
                </c:pt>
                <c:pt idx="16">
                  <c:v>48.9</c:v>
                </c:pt>
                <c:pt idx="17">
                  <c:v>48.8</c:v>
                </c:pt>
                <c:pt idx="18">
                  <c:v>48.4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9C-4C24-9EB2-6FB4882C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61328"/>
        <c:axId val="976156048"/>
      </c:scatterChart>
      <c:valAx>
        <c:axId val="9761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6048"/>
        <c:crosses val="autoZero"/>
        <c:crossBetween val="midCat"/>
      </c:valAx>
      <c:valAx>
        <c:axId val="9761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6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NR!$B$3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NR!$A$4:$A$22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NR!$B$4:$B$22</c:f>
              <c:numCache>
                <c:formatCode>0.0</c:formatCode>
                <c:ptCount val="19"/>
                <c:pt idx="0">
                  <c:v>51.5</c:v>
                </c:pt>
                <c:pt idx="1">
                  <c:v>50.9</c:v>
                </c:pt>
                <c:pt idx="2">
                  <c:v>49.9</c:v>
                </c:pt>
                <c:pt idx="3">
                  <c:v>50.6</c:v>
                </c:pt>
                <c:pt idx="4">
                  <c:v>49.8</c:v>
                </c:pt>
                <c:pt idx="5">
                  <c:v>46.3</c:v>
                </c:pt>
                <c:pt idx="6">
                  <c:v>49.9</c:v>
                </c:pt>
                <c:pt idx="7">
                  <c:v>49.5</c:v>
                </c:pt>
                <c:pt idx="8">
                  <c:v>49.6</c:v>
                </c:pt>
                <c:pt idx="9">
                  <c:v>45.6</c:v>
                </c:pt>
                <c:pt idx="10">
                  <c:v>46.6</c:v>
                </c:pt>
                <c:pt idx="11">
                  <c:v>49.8</c:v>
                </c:pt>
                <c:pt idx="12">
                  <c:v>47.2</c:v>
                </c:pt>
                <c:pt idx="13">
                  <c:v>48.5</c:v>
                </c:pt>
                <c:pt idx="14">
                  <c:v>47.8</c:v>
                </c:pt>
                <c:pt idx="15">
                  <c:v>47.8</c:v>
                </c:pt>
                <c:pt idx="16">
                  <c:v>47.4</c:v>
                </c:pt>
                <c:pt idx="17">
                  <c:v>46.1</c:v>
                </c:pt>
                <c:pt idx="18">
                  <c:v>44.2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C9-439D-96CA-3607BBBA3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36544"/>
        <c:axId val="445041344"/>
      </c:scatterChart>
      <c:valAx>
        <c:axId val="445036544"/>
        <c:scaling>
          <c:orientation val="minMax"/>
          <c:max val="1914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41344"/>
        <c:crosses val="autoZero"/>
        <c:crossBetween val="midCat"/>
      </c:valAx>
      <c:valAx>
        <c:axId val="4450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3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NR!$B$31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NR!$A$32:$A$50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NR!$B$32:$B$50</c:f>
              <c:numCache>
                <c:formatCode>0.0</c:formatCode>
                <c:ptCount val="19"/>
                <c:pt idx="0">
                  <c:v>52.1</c:v>
                </c:pt>
                <c:pt idx="1">
                  <c:v>51.5</c:v>
                </c:pt>
                <c:pt idx="3">
                  <c:v>51.2</c:v>
                </c:pt>
                <c:pt idx="4">
                  <c:v>50.4</c:v>
                </c:pt>
                <c:pt idx="5">
                  <c:v>46.8</c:v>
                </c:pt>
                <c:pt idx="6">
                  <c:v>50.4</c:v>
                </c:pt>
                <c:pt idx="7">
                  <c:v>50.1</c:v>
                </c:pt>
                <c:pt idx="8">
                  <c:v>50.1</c:v>
                </c:pt>
                <c:pt idx="10">
                  <c:v>46.9</c:v>
                </c:pt>
                <c:pt idx="11">
                  <c:v>50.2</c:v>
                </c:pt>
                <c:pt idx="15">
                  <c:v>48.2</c:v>
                </c:pt>
                <c:pt idx="16">
                  <c:v>47.9</c:v>
                </c:pt>
                <c:pt idx="17">
                  <c:v>46.5</c:v>
                </c:pt>
                <c:pt idx="18" formatCode="General">
                  <c:v>44.5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B9-4E2F-A143-C50CF6B22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3648"/>
        <c:axId val="976150768"/>
      </c:scatterChart>
      <c:valAx>
        <c:axId val="976153648"/>
        <c:scaling>
          <c:orientation val="minMax"/>
          <c:max val="19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0768"/>
        <c:crosses val="autoZero"/>
        <c:crossBetween val="midCat"/>
      </c:valAx>
      <c:valAx>
        <c:axId val="97615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MR!$B$3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MR!$A$4:$A$21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MR!$B$4:$B$21</c:f>
              <c:numCache>
                <c:formatCode>0.0</c:formatCode>
                <c:ptCount val="18"/>
                <c:pt idx="0">
                  <c:v>48.6</c:v>
                </c:pt>
                <c:pt idx="1">
                  <c:v>48</c:v>
                </c:pt>
                <c:pt idx="2">
                  <c:v>45.8</c:v>
                </c:pt>
                <c:pt idx="3">
                  <c:v>47.2</c:v>
                </c:pt>
                <c:pt idx="4">
                  <c:v>47.5</c:v>
                </c:pt>
                <c:pt idx="5">
                  <c:v>43.6</c:v>
                </c:pt>
                <c:pt idx="6">
                  <c:v>45.5</c:v>
                </c:pt>
                <c:pt idx="7">
                  <c:v>44.5</c:v>
                </c:pt>
                <c:pt idx="8">
                  <c:v>43.8</c:v>
                </c:pt>
                <c:pt idx="9">
                  <c:v>41.2</c:v>
                </c:pt>
                <c:pt idx="10">
                  <c:v>43</c:v>
                </c:pt>
                <c:pt idx="11">
                  <c:v>44.3</c:v>
                </c:pt>
                <c:pt idx="12">
                  <c:v>42</c:v>
                </c:pt>
                <c:pt idx="13">
                  <c:v>41</c:v>
                </c:pt>
                <c:pt idx="14">
                  <c:v>40.700000000000003</c:v>
                </c:pt>
                <c:pt idx="15">
                  <c:v>41.1</c:v>
                </c:pt>
                <c:pt idx="16">
                  <c:v>41.1</c:v>
                </c:pt>
                <c:pt idx="17">
                  <c:v>38.6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E8-409B-B7E5-CB45D93A9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34144"/>
        <c:axId val="445041824"/>
      </c:scatterChart>
      <c:valAx>
        <c:axId val="445034144"/>
        <c:scaling>
          <c:orientation val="minMax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41824"/>
        <c:crosses val="autoZero"/>
        <c:crossBetween val="midCat"/>
      </c:valAx>
      <c:valAx>
        <c:axId val="445041824"/>
        <c:scaling>
          <c:orientation val="minMax"/>
          <c:min val="3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3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MR!$B$30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MR!$A$31:$A$48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MR!$B$31:$B$48</c:f>
              <c:numCache>
                <c:formatCode>0.0</c:formatCode>
                <c:ptCount val="18"/>
                <c:pt idx="0">
                  <c:v>48.9</c:v>
                </c:pt>
                <c:pt idx="1">
                  <c:v>48.4</c:v>
                </c:pt>
                <c:pt idx="3">
                  <c:v>47.6</c:v>
                </c:pt>
                <c:pt idx="4">
                  <c:v>47.9</c:v>
                </c:pt>
                <c:pt idx="5">
                  <c:v>44</c:v>
                </c:pt>
                <c:pt idx="6">
                  <c:v>46</c:v>
                </c:pt>
                <c:pt idx="7">
                  <c:v>44.9</c:v>
                </c:pt>
                <c:pt idx="8">
                  <c:v>44.2</c:v>
                </c:pt>
                <c:pt idx="10">
                  <c:v>43.3</c:v>
                </c:pt>
                <c:pt idx="11">
                  <c:v>44.6</c:v>
                </c:pt>
                <c:pt idx="15">
                  <c:v>41.4</c:v>
                </c:pt>
                <c:pt idx="16">
                  <c:v>41.5</c:v>
                </c:pt>
                <c:pt idx="17">
                  <c:v>38.9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EC-46C5-8559-CB421F4BC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90128"/>
        <c:axId val="976203568"/>
      </c:scatterChart>
      <c:valAx>
        <c:axId val="97619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203568"/>
        <c:crosses val="autoZero"/>
        <c:crossBetween val="midCat"/>
      </c:valAx>
      <c:valAx>
        <c:axId val="976203568"/>
        <c:scaling>
          <c:orientation val="minMax"/>
          <c:min val="3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9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BR!$B$3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BR!$A$4:$A$21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BR!$B$4:$B$21</c:f>
              <c:numCache>
                <c:formatCode>0.0</c:formatCode>
                <c:ptCount val="18"/>
                <c:pt idx="0">
                  <c:v>46.2</c:v>
                </c:pt>
                <c:pt idx="1">
                  <c:v>46.6</c:v>
                </c:pt>
                <c:pt idx="2">
                  <c:v>45.5</c:v>
                </c:pt>
                <c:pt idx="3">
                  <c:v>46.3</c:v>
                </c:pt>
                <c:pt idx="4">
                  <c:v>47.3</c:v>
                </c:pt>
                <c:pt idx="5">
                  <c:v>45.4</c:v>
                </c:pt>
                <c:pt idx="6">
                  <c:v>48.5</c:v>
                </c:pt>
                <c:pt idx="7">
                  <c:v>43.2</c:v>
                </c:pt>
                <c:pt idx="8">
                  <c:v>44.9</c:v>
                </c:pt>
                <c:pt idx="9">
                  <c:v>41.6</c:v>
                </c:pt>
                <c:pt idx="10">
                  <c:v>43.5</c:v>
                </c:pt>
                <c:pt idx="11">
                  <c:v>44.4</c:v>
                </c:pt>
                <c:pt idx="12">
                  <c:v>41</c:v>
                </c:pt>
                <c:pt idx="13">
                  <c:v>41.3</c:v>
                </c:pt>
                <c:pt idx="14">
                  <c:v>40.9</c:v>
                </c:pt>
                <c:pt idx="15">
                  <c:v>40.9</c:v>
                </c:pt>
                <c:pt idx="16">
                  <c:v>40.5</c:v>
                </c:pt>
                <c:pt idx="17">
                  <c:v>40.200000000000003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1A-463B-BA1B-03886F76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26464"/>
        <c:axId val="445036544"/>
      </c:scatterChart>
      <c:valAx>
        <c:axId val="445026464"/>
        <c:scaling>
          <c:orientation val="minMax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36544"/>
        <c:crosses val="autoZero"/>
        <c:crossBetween val="midCat"/>
      </c:valAx>
      <c:valAx>
        <c:axId val="445036544"/>
        <c:scaling>
          <c:orientation val="minMax"/>
          <c:max val="5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2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BR!$B$31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BR!$A$32:$A$49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BR!$B$32:$B$49</c:f>
              <c:numCache>
                <c:formatCode>0.0</c:formatCode>
                <c:ptCount val="18"/>
                <c:pt idx="0">
                  <c:v>46.5</c:v>
                </c:pt>
                <c:pt idx="1">
                  <c:v>46.9</c:v>
                </c:pt>
                <c:pt idx="3">
                  <c:v>46.7</c:v>
                </c:pt>
                <c:pt idx="4">
                  <c:v>47.7</c:v>
                </c:pt>
                <c:pt idx="5">
                  <c:v>45.7</c:v>
                </c:pt>
                <c:pt idx="6">
                  <c:v>48.9</c:v>
                </c:pt>
                <c:pt idx="7">
                  <c:v>43.4</c:v>
                </c:pt>
                <c:pt idx="8">
                  <c:v>45.3</c:v>
                </c:pt>
                <c:pt idx="10">
                  <c:v>43.8</c:v>
                </c:pt>
                <c:pt idx="11">
                  <c:v>44.6</c:v>
                </c:pt>
                <c:pt idx="15">
                  <c:v>41.2</c:v>
                </c:pt>
                <c:pt idx="16">
                  <c:v>40.799999999999997</c:v>
                </c:pt>
                <c:pt idx="17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F8-4707-A9FB-3A78583F4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9888"/>
        <c:axId val="976160368"/>
      </c:scatterChart>
      <c:valAx>
        <c:axId val="97615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60368"/>
        <c:crosses val="autoZero"/>
        <c:crossBetween val="midCat"/>
      </c:valAx>
      <c:valAx>
        <c:axId val="9761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'BR без Смоленской'!$B$3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'BR без Смоленской'!$A$4:$A$21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'BR без Смоленской'!$B$4:$B$21</c:f>
              <c:numCache>
                <c:formatCode>0.0</c:formatCode>
                <c:ptCount val="18"/>
                <c:pt idx="0">
                  <c:v>44.8</c:v>
                </c:pt>
                <c:pt idx="1">
                  <c:v>44.8</c:v>
                </c:pt>
                <c:pt idx="2">
                  <c:v>43.7</c:v>
                </c:pt>
                <c:pt idx="3">
                  <c:v>44.6</c:v>
                </c:pt>
                <c:pt idx="4">
                  <c:v>45.8</c:v>
                </c:pt>
                <c:pt idx="5">
                  <c:v>43.7</c:v>
                </c:pt>
                <c:pt idx="6">
                  <c:v>46.3</c:v>
                </c:pt>
                <c:pt idx="7">
                  <c:v>41.6</c:v>
                </c:pt>
                <c:pt idx="8">
                  <c:v>42.6</c:v>
                </c:pt>
                <c:pt idx="9">
                  <c:v>40.200000000000003</c:v>
                </c:pt>
                <c:pt idx="10">
                  <c:v>41.2</c:v>
                </c:pt>
                <c:pt idx="11">
                  <c:v>42.6</c:v>
                </c:pt>
                <c:pt idx="12">
                  <c:v>39.6</c:v>
                </c:pt>
                <c:pt idx="13">
                  <c:v>39.700000000000003</c:v>
                </c:pt>
                <c:pt idx="14">
                  <c:v>39.299999999999997</c:v>
                </c:pt>
                <c:pt idx="15">
                  <c:v>39</c:v>
                </c:pt>
                <c:pt idx="16">
                  <c:v>38.799999999999997</c:v>
                </c:pt>
                <c:pt idx="17">
                  <c:v>38.1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E8-4E6E-AC1B-C5BB196D6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26464"/>
        <c:axId val="445036544"/>
      </c:scatterChart>
      <c:valAx>
        <c:axId val="445026464"/>
        <c:scaling>
          <c:orientation val="minMax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36544"/>
        <c:crosses val="autoZero"/>
        <c:crossBetween val="midCat"/>
      </c:valAx>
      <c:valAx>
        <c:axId val="445036544"/>
        <c:scaling>
          <c:orientation val="minMax"/>
          <c:max val="48"/>
          <c:min val="3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2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BR!$B$31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BR!$A$32:$A$49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BR!$B$32:$B$49</c:f>
              <c:numCache>
                <c:formatCode>0.0</c:formatCode>
                <c:ptCount val="18"/>
                <c:pt idx="0">
                  <c:v>46.5</c:v>
                </c:pt>
                <c:pt idx="1">
                  <c:v>46.9</c:v>
                </c:pt>
                <c:pt idx="3">
                  <c:v>46.7</c:v>
                </c:pt>
                <c:pt idx="4">
                  <c:v>47.7</c:v>
                </c:pt>
                <c:pt idx="5">
                  <c:v>45.7</c:v>
                </c:pt>
                <c:pt idx="6">
                  <c:v>48.9</c:v>
                </c:pt>
                <c:pt idx="7">
                  <c:v>43.4</c:v>
                </c:pt>
                <c:pt idx="8">
                  <c:v>45.3</c:v>
                </c:pt>
                <c:pt idx="10">
                  <c:v>43.8</c:v>
                </c:pt>
                <c:pt idx="11">
                  <c:v>44.6</c:v>
                </c:pt>
                <c:pt idx="15">
                  <c:v>41.2</c:v>
                </c:pt>
                <c:pt idx="16">
                  <c:v>40.799999999999997</c:v>
                </c:pt>
                <c:pt idx="17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DC-4EE2-AC40-5AAF78F8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9888"/>
        <c:axId val="976160368"/>
      </c:scatterChart>
      <c:valAx>
        <c:axId val="97615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60368"/>
        <c:crosses val="autoZero"/>
        <c:crossBetween val="midCat"/>
      </c:valAx>
      <c:valAx>
        <c:axId val="9761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'все вместе'!$B$3</c:f>
              <c:strCache>
                <c:ptCount val="1"/>
                <c:pt idx="0">
                  <c:v>РСФСР-1991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'все вместе'!$A$4:$A$22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'все вместе'!$B$4:$B$22</c:f>
              <c:numCache>
                <c:formatCode>0.0</c:formatCode>
                <c:ptCount val="19"/>
                <c:pt idx="0">
                  <c:v>52.9</c:v>
                </c:pt>
                <c:pt idx="1">
                  <c:v>52.8</c:v>
                </c:pt>
                <c:pt idx="2">
                  <c:v>50.6</c:v>
                </c:pt>
                <c:pt idx="3">
                  <c:v>51.2</c:v>
                </c:pt>
                <c:pt idx="4">
                  <c:v>51.9</c:v>
                </c:pt>
                <c:pt idx="5">
                  <c:v>51.5</c:v>
                </c:pt>
                <c:pt idx="6">
                  <c:v>52.4</c:v>
                </c:pt>
                <c:pt idx="7">
                  <c:v>52</c:v>
                </c:pt>
                <c:pt idx="8">
                  <c:v>52.2</c:v>
                </c:pt>
                <c:pt idx="9">
                  <c:v>48.6</c:v>
                </c:pt>
                <c:pt idx="10">
                  <c:v>51.1</c:v>
                </c:pt>
                <c:pt idx="11">
                  <c:v>51.1</c:v>
                </c:pt>
                <c:pt idx="12">
                  <c:v>49.5</c:v>
                </c:pt>
                <c:pt idx="13">
                  <c:v>49.9</c:v>
                </c:pt>
                <c:pt idx="14">
                  <c:v>50.8</c:v>
                </c:pt>
                <c:pt idx="15">
                  <c:v>50.4</c:v>
                </c:pt>
                <c:pt idx="16">
                  <c:v>48.5</c:v>
                </c:pt>
                <c:pt idx="17">
                  <c:v>48.4</c:v>
                </c:pt>
                <c:pt idx="18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12-4F2C-AF86-A269FE454EE3}"/>
            </c:ext>
          </c:extLst>
        </c:ser>
        <c:ser>
          <c:idx val="1"/>
          <c:order val="1"/>
          <c:tx>
            <c:strRef>
              <c:f>'все вместе'!$C$3</c:f>
              <c:strCache>
                <c:ptCount val="1"/>
                <c:pt idx="0">
                  <c:v>Новороссия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'все вместе'!$A$4:$A$22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'все вместе'!$C$4:$C$22</c:f>
              <c:numCache>
                <c:formatCode>0.0</c:formatCode>
                <c:ptCount val="19"/>
                <c:pt idx="0">
                  <c:v>51.5</c:v>
                </c:pt>
                <c:pt idx="1">
                  <c:v>50.9</c:v>
                </c:pt>
                <c:pt idx="2">
                  <c:v>49.9</c:v>
                </c:pt>
                <c:pt idx="3">
                  <c:v>50.6</c:v>
                </c:pt>
                <c:pt idx="4">
                  <c:v>49.8</c:v>
                </c:pt>
                <c:pt idx="5">
                  <c:v>46.3</c:v>
                </c:pt>
                <c:pt idx="6">
                  <c:v>49.9</c:v>
                </c:pt>
                <c:pt idx="7">
                  <c:v>49.5</c:v>
                </c:pt>
                <c:pt idx="8">
                  <c:v>49.6</c:v>
                </c:pt>
                <c:pt idx="9">
                  <c:v>45.6</c:v>
                </c:pt>
                <c:pt idx="10">
                  <c:v>46.6</c:v>
                </c:pt>
                <c:pt idx="11">
                  <c:v>49.8</c:v>
                </c:pt>
                <c:pt idx="12">
                  <c:v>47.2</c:v>
                </c:pt>
                <c:pt idx="13">
                  <c:v>48.5</c:v>
                </c:pt>
                <c:pt idx="14">
                  <c:v>47.8</c:v>
                </c:pt>
                <c:pt idx="15">
                  <c:v>47.8</c:v>
                </c:pt>
                <c:pt idx="16">
                  <c:v>47.4</c:v>
                </c:pt>
                <c:pt idx="17">
                  <c:v>46.1</c:v>
                </c:pt>
                <c:pt idx="18">
                  <c:v>44.2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12-4F2C-AF86-A269FE454EE3}"/>
            </c:ext>
          </c:extLst>
        </c:ser>
        <c:ser>
          <c:idx val="2"/>
          <c:order val="2"/>
          <c:tx>
            <c:strRef>
              <c:f>'все вместе'!$D$3</c:f>
              <c:strCache>
                <c:ptCount val="1"/>
                <c:pt idx="0">
                  <c:v>Малороссия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'все вместе'!$A$4:$A$22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'все вместе'!$D$4:$D$22</c:f>
              <c:numCache>
                <c:formatCode>0.0</c:formatCode>
                <c:ptCount val="19"/>
                <c:pt idx="0">
                  <c:v>48.6</c:v>
                </c:pt>
                <c:pt idx="1">
                  <c:v>48</c:v>
                </c:pt>
                <c:pt idx="2">
                  <c:v>45.8</c:v>
                </c:pt>
                <c:pt idx="3">
                  <c:v>47.2</c:v>
                </c:pt>
                <c:pt idx="4">
                  <c:v>47.5</c:v>
                </c:pt>
                <c:pt idx="5">
                  <c:v>43.6</c:v>
                </c:pt>
                <c:pt idx="6">
                  <c:v>45.5</c:v>
                </c:pt>
                <c:pt idx="7">
                  <c:v>44.5</c:v>
                </c:pt>
                <c:pt idx="8">
                  <c:v>43.8</c:v>
                </c:pt>
                <c:pt idx="9">
                  <c:v>41.2</c:v>
                </c:pt>
                <c:pt idx="10">
                  <c:v>43</c:v>
                </c:pt>
                <c:pt idx="11">
                  <c:v>44.3</c:v>
                </c:pt>
                <c:pt idx="12">
                  <c:v>42</c:v>
                </c:pt>
                <c:pt idx="13">
                  <c:v>41</c:v>
                </c:pt>
                <c:pt idx="14">
                  <c:v>40.700000000000003</c:v>
                </c:pt>
                <c:pt idx="15">
                  <c:v>41.1</c:v>
                </c:pt>
                <c:pt idx="16">
                  <c:v>41.1</c:v>
                </c:pt>
                <c:pt idx="17">
                  <c:v>38.6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12-4F2C-AF86-A269FE454EE3}"/>
            </c:ext>
          </c:extLst>
        </c:ser>
        <c:ser>
          <c:idx val="3"/>
          <c:order val="3"/>
          <c:tx>
            <c:strRef>
              <c:f>'все вместе'!$E$3</c:f>
              <c:strCache>
                <c:ptCount val="1"/>
                <c:pt idx="0">
                  <c:v>Белоруссия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'все вместе'!$A$4:$A$22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'все вместе'!$E$4:$E$22</c:f>
              <c:numCache>
                <c:formatCode>0.0</c:formatCode>
                <c:ptCount val="19"/>
                <c:pt idx="0">
                  <c:v>44.8</c:v>
                </c:pt>
                <c:pt idx="1">
                  <c:v>46.6</c:v>
                </c:pt>
                <c:pt idx="2">
                  <c:v>45.5</c:v>
                </c:pt>
                <c:pt idx="3">
                  <c:v>46.3</c:v>
                </c:pt>
                <c:pt idx="4">
                  <c:v>47.3</c:v>
                </c:pt>
                <c:pt idx="5">
                  <c:v>45.4</c:v>
                </c:pt>
                <c:pt idx="6">
                  <c:v>48.5</c:v>
                </c:pt>
                <c:pt idx="7">
                  <c:v>43.2</c:v>
                </c:pt>
                <c:pt idx="8">
                  <c:v>44.9</c:v>
                </c:pt>
                <c:pt idx="9">
                  <c:v>41.6</c:v>
                </c:pt>
                <c:pt idx="10">
                  <c:v>43.5</c:v>
                </c:pt>
                <c:pt idx="11">
                  <c:v>44.4</c:v>
                </c:pt>
                <c:pt idx="12">
                  <c:v>41</c:v>
                </c:pt>
                <c:pt idx="13">
                  <c:v>41.3</c:v>
                </c:pt>
                <c:pt idx="14">
                  <c:v>40.9</c:v>
                </c:pt>
                <c:pt idx="15">
                  <c:v>40.9</c:v>
                </c:pt>
                <c:pt idx="16">
                  <c:v>40.5</c:v>
                </c:pt>
                <c:pt idx="17">
                  <c:v>40.200000000000003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12-4F2C-AF86-A269FE454EE3}"/>
            </c:ext>
          </c:extLst>
        </c:ser>
        <c:ser>
          <c:idx val="4"/>
          <c:order val="4"/>
          <c:tx>
            <c:v>Белоруссия без Смоленской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'все вместе'!$A$4:$A$21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'все вместе'!$F$4:$F$21</c:f>
              <c:numCache>
                <c:formatCode>0.0</c:formatCode>
                <c:ptCount val="18"/>
                <c:pt idx="0" formatCode="General">
                  <c:v>44.8</c:v>
                </c:pt>
                <c:pt idx="1">
                  <c:v>44.8</c:v>
                </c:pt>
                <c:pt idx="2">
                  <c:v>43.7</c:v>
                </c:pt>
                <c:pt idx="3">
                  <c:v>44.6</c:v>
                </c:pt>
                <c:pt idx="4">
                  <c:v>45.8</c:v>
                </c:pt>
                <c:pt idx="5">
                  <c:v>43.7</c:v>
                </c:pt>
                <c:pt idx="6">
                  <c:v>46.3</c:v>
                </c:pt>
                <c:pt idx="7">
                  <c:v>41.6</c:v>
                </c:pt>
                <c:pt idx="8">
                  <c:v>42.6</c:v>
                </c:pt>
                <c:pt idx="9">
                  <c:v>40.200000000000003</c:v>
                </c:pt>
                <c:pt idx="10">
                  <c:v>41.2</c:v>
                </c:pt>
                <c:pt idx="11">
                  <c:v>42.6</c:v>
                </c:pt>
                <c:pt idx="12">
                  <c:v>39.6</c:v>
                </c:pt>
                <c:pt idx="13">
                  <c:v>39.700000000000003</c:v>
                </c:pt>
                <c:pt idx="14">
                  <c:v>39.299999999999997</c:v>
                </c:pt>
                <c:pt idx="15">
                  <c:v>39</c:v>
                </c:pt>
                <c:pt idx="16">
                  <c:v>38.799999999999997</c:v>
                </c:pt>
                <c:pt idx="17">
                  <c:v>38.1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BE-48B1-BE13-19ADDB13A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148016"/>
        <c:axId val="733147688"/>
      </c:scatterChart>
      <c:valAx>
        <c:axId val="733148016"/>
        <c:scaling>
          <c:orientation val="minMax"/>
          <c:max val="1914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3147688"/>
        <c:crosses val="autoZero"/>
        <c:crossBetween val="midCat"/>
      </c:valAx>
      <c:valAx>
        <c:axId val="733147688"/>
        <c:scaling>
          <c:orientation val="minMax"/>
          <c:max val="54"/>
          <c:min val="3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314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1</xdr:row>
      <xdr:rowOff>160020</xdr:rowOff>
    </xdr:from>
    <xdr:to>
      <xdr:col>17</xdr:col>
      <xdr:colOff>619124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56DFD-40BA-FE21-277D-4EBF4EAAD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627697</xdr:colOff>
      <xdr:row>40</xdr:row>
      <xdr:rowOff>7619</xdr:rowOff>
    </xdr:from>
    <xdr:to>
      <xdr:col>18</xdr:col>
      <xdr:colOff>9525</xdr:colOff>
      <xdr:row>62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099D5D-5A0E-08FA-397B-82D2D2E74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629602</xdr:colOff>
      <xdr:row>1</xdr:row>
      <xdr:rowOff>171450</xdr:rowOff>
    </xdr:from>
    <xdr:to>
      <xdr:col>17</xdr:col>
      <xdr:colOff>561975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75345-7A5F-D308-0069-027B49936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601026</xdr:colOff>
      <xdr:row>28</xdr:row>
      <xdr:rowOff>153351</xdr:rowOff>
    </xdr:from>
    <xdr:to>
      <xdr:col>18</xdr:col>
      <xdr:colOff>28575</xdr:colOff>
      <xdr:row>53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83E46-32E0-7507-92E3-546FB6D9E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581977</xdr:colOff>
      <xdr:row>1</xdr:row>
      <xdr:rowOff>180974</xdr:rowOff>
    </xdr:from>
    <xdr:to>
      <xdr:col>17</xdr:col>
      <xdr:colOff>609600</xdr:colOff>
      <xdr:row>24</xdr:row>
      <xdr:rowOff>125729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C0D2A3-836C-2716-11B6-B5296FAE8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</xdr:colOff>
      <xdr:row>28</xdr:row>
      <xdr:rowOff>65722</xdr:rowOff>
    </xdr:from>
    <xdr:to>
      <xdr:col>18</xdr:col>
      <xdr:colOff>76200</xdr:colOff>
      <xdr:row>51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F559AE-C467-BE04-F9B5-49201CE31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</xdr:colOff>
      <xdr:row>3</xdr:row>
      <xdr:rowOff>7619</xdr:rowOff>
    </xdr:from>
    <xdr:to>
      <xdr:col>17</xdr:col>
      <xdr:colOff>619125</xdr:colOff>
      <xdr:row>26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3A6ED-06D8-B77E-118D-F60C1ED9B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618172</xdr:colOff>
      <xdr:row>30</xdr:row>
      <xdr:rowOff>27621</xdr:rowOff>
    </xdr:from>
    <xdr:to>
      <xdr:col>17</xdr:col>
      <xdr:colOff>628650</xdr:colOff>
      <xdr:row>52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88380C-160B-2792-C88A-DCA3D4BB1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</xdr:colOff>
      <xdr:row>3</xdr:row>
      <xdr:rowOff>7619</xdr:rowOff>
    </xdr:from>
    <xdr:to>
      <xdr:col>17</xdr:col>
      <xdr:colOff>619125</xdr:colOff>
      <xdr:row>26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3AEA5-BD15-467B-BEF4-A5D09128F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618172</xdr:colOff>
      <xdr:row>30</xdr:row>
      <xdr:rowOff>27621</xdr:rowOff>
    </xdr:from>
    <xdr:to>
      <xdr:col>17</xdr:col>
      <xdr:colOff>628650</xdr:colOff>
      <xdr:row>52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49284C-00FD-406A-99A8-C42692623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</xdr:colOff>
      <xdr:row>2</xdr:row>
      <xdr:rowOff>19050</xdr:rowOff>
    </xdr:from>
    <xdr:to>
      <xdr:col>17</xdr:col>
      <xdr:colOff>676275</xdr:colOff>
      <xdr:row>60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D5177-F0B8-42BA-BD18-16A1DB2A1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0.79607</cdr:x>
      <cdr:y>0.46007</cdr:y>
    </cdr:from>
    <cdr:to>
      <cdr:x>0.9012</cdr:x>
      <cdr:y>0.5118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9AD6A7D-36C1-43D2-A5DC-C975E3E33650}"/>
            </a:ext>
          </a:extLst>
        </cdr:cNvPr>
        <cdr:cNvSpPr txBox="1"/>
      </cdr:nvSpPr>
      <cdr:spPr>
        <a:xfrm xmlns:a="http://schemas.openxmlformats.org/drawingml/2006/main">
          <a:off x="5986462" y="4829175"/>
          <a:ext cx="790575" cy="542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 b="1">
              <a:solidFill>
                <a:schemeClr val="accent2"/>
              </a:solidFill>
            </a:rPr>
            <a:t>Новороссия</a:t>
          </a:r>
        </a:p>
      </cdr:txBody>
    </cdr:sp>
  </cdr:relSizeAnchor>
  <cdr:relSizeAnchor xmlns:cdr="http://schemas.openxmlformats.org/drawingml/2006/chartDrawing">
    <cdr:from>
      <cdr:x>0.76314</cdr:x>
      <cdr:y>0.65789</cdr:y>
    </cdr:from>
    <cdr:to>
      <cdr:x>0.8708</cdr:x>
      <cdr:y>0.72414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661F072-E2A9-4D7D-A4C3-B3902A938AEB}"/>
            </a:ext>
          </a:extLst>
        </cdr:cNvPr>
        <cdr:cNvSpPr txBox="1"/>
      </cdr:nvSpPr>
      <cdr:spPr>
        <a:xfrm xmlns:a="http://schemas.openxmlformats.org/drawingml/2006/main">
          <a:off x="5738812" y="6905624"/>
          <a:ext cx="809625" cy="69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 b="1">
              <a:solidFill>
                <a:srgbClr val="00B0F0"/>
              </a:solidFill>
            </a:rPr>
            <a:t>Белоруссия</a:t>
          </a:r>
        </a:p>
      </cdr:txBody>
    </cdr:sp>
  </cdr:relSizeAnchor>
  <cdr:relSizeAnchor xmlns:cdr="http://schemas.openxmlformats.org/drawingml/2006/chartDrawing">
    <cdr:from>
      <cdr:x>0.71881</cdr:x>
      <cdr:y>0.8262</cdr:y>
    </cdr:from>
    <cdr:to>
      <cdr:x>0.83281</cdr:x>
      <cdr:y>0.86114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5B1D80D-A1E1-4282-9A2F-5C1A4C981F94}"/>
            </a:ext>
          </a:extLst>
        </cdr:cNvPr>
        <cdr:cNvSpPr txBox="1"/>
      </cdr:nvSpPr>
      <cdr:spPr>
        <a:xfrm xmlns:a="http://schemas.openxmlformats.org/drawingml/2006/main">
          <a:off x="5405443" y="9010651"/>
          <a:ext cx="857278" cy="380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 b="1">
              <a:solidFill>
                <a:srgbClr val="00B050"/>
              </a:solidFill>
            </a:rPr>
            <a:t>Малороссия</a:t>
          </a:r>
        </a:p>
      </cdr:txBody>
    </cdr:sp>
  </cdr:relSizeAnchor>
  <cdr:relSizeAnchor xmlns:cdr="http://schemas.openxmlformats.org/drawingml/2006/chartDrawing">
    <cdr:from>
      <cdr:x>0.76821</cdr:x>
      <cdr:y>0.13612</cdr:y>
    </cdr:from>
    <cdr:to>
      <cdr:x>0.886</cdr:x>
      <cdr:y>0.20327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23DB286-897B-45DB-9D53-5D23C60153B0}"/>
            </a:ext>
          </a:extLst>
        </cdr:cNvPr>
        <cdr:cNvSpPr txBox="1"/>
      </cdr:nvSpPr>
      <cdr:spPr>
        <a:xfrm xmlns:a="http://schemas.openxmlformats.org/drawingml/2006/main">
          <a:off x="5776912" y="1428750"/>
          <a:ext cx="885825" cy="704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 b="1"/>
            <a:t>РСФСР-1991</a:t>
          </a:r>
        </a:p>
      </cdr:txBody>
    </cdr:sp>
  </cdr:relSizeAnchor>
  <cdr:relSizeAnchor xmlns:cdr="http://schemas.openxmlformats.org/drawingml/2006/chartDrawing">
    <cdr:from>
      <cdr:x>0.49082</cdr:x>
      <cdr:y>0.9083</cdr:y>
    </cdr:from>
    <cdr:to>
      <cdr:x>0.61241</cdr:x>
      <cdr:y>0.99214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2D6A69F-6875-409C-976E-205FD2D29DAF}"/>
            </a:ext>
          </a:extLst>
        </cdr:cNvPr>
        <cdr:cNvSpPr txBox="1"/>
      </cdr:nvSpPr>
      <cdr:spPr>
        <a:xfrm xmlns:a="http://schemas.openxmlformats.org/drawingml/2006/main">
          <a:off x="3690938" y="9906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 b="1">
              <a:solidFill>
                <a:schemeClr val="accent5">
                  <a:lumMod val="75000"/>
                </a:schemeClr>
              </a:solidFill>
            </a:rPr>
            <a:t>Белоруссия</a:t>
          </a:r>
          <a:r>
            <a:rPr lang="ru-RU" sz="1600" b="1" baseline="0">
              <a:solidFill>
                <a:schemeClr val="accent5">
                  <a:lumMod val="75000"/>
                </a:schemeClr>
              </a:solidFill>
            </a:rPr>
            <a:t> без Смоленской</a:t>
          </a:r>
          <a:endParaRPr lang="ru-RU" sz="1600" b="1">
            <a:solidFill>
              <a:schemeClr val="accent5">
                <a:lumMod val="7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3DA1-90A1-4FE4-821C-7E7F6AA5A7D6}">
  <dimension ref="A2:B32"/>
  <sheetViews>
    <sheetView workbookViewId="0">
      <selection activeCell="B28" sqref="B28"/>
    </sheetView>
  </sheetViews>
  <sheetFormatPr defaultRowHeight="14.25"/>
  <sheetData>
    <row r="2" spans="1:2" ht="15">
      <c r="A2" s="2" t="s">
        <v>11</v>
      </c>
    </row>
    <row r="3" spans="1:2" ht="15">
      <c r="A3" s="2" t="s">
        <v>12</v>
      </c>
    </row>
    <row r="5" spans="1:2">
      <c r="A5" s="11" t="s">
        <v>27</v>
      </c>
    </row>
    <row r="6" spans="1:2">
      <c r="A6" t="s">
        <v>28</v>
      </c>
    </row>
    <row r="8" spans="1:2">
      <c r="B8" t="s">
        <v>29</v>
      </c>
    </row>
    <row r="9" spans="1:2">
      <c r="B9" t="s">
        <v>30</v>
      </c>
    </row>
    <row r="11" spans="1:2">
      <c r="A11" t="s">
        <v>13</v>
      </c>
    </row>
    <row r="12" spans="1:2">
      <c r="A12" t="s">
        <v>14</v>
      </c>
    </row>
    <row r="13" spans="1:2">
      <c r="A13" t="s">
        <v>15</v>
      </c>
    </row>
    <row r="15" spans="1:2">
      <c r="B15" t="s">
        <v>16</v>
      </c>
    </row>
    <row r="16" spans="1:2">
      <c r="B16" t="s">
        <v>31</v>
      </c>
    </row>
    <row r="17" spans="1:2">
      <c r="B17" t="s">
        <v>32</v>
      </c>
    </row>
    <row r="19" spans="1:2">
      <c r="A19" t="s">
        <v>17</v>
      </c>
    </row>
    <row r="21" spans="1:2">
      <c r="A21" t="s">
        <v>18</v>
      </c>
    </row>
    <row r="23" spans="1:2">
      <c r="A23" t="s">
        <v>19</v>
      </c>
    </row>
    <row r="24" spans="1:2">
      <c r="A24" t="s">
        <v>20</v>
      </c>
    </row>
    <row r="26" spans="1:2">
      <c r="B26" t="s">
        <v>21</v>
      </c>
    </row>
    <row r="27" spans="1:2">
      <c r="B27" t="s">
        <v>33</v>
      </c>
    </row>
    <row r="28" spans="1:2">
      <c r="B28" t="s">
        <v>22</v>
      </c>
    </row>
    <row r="29" spans="1:2">
      <c r="B29" t="s">
        <v>23</v>
      </c>
    </row>
    <row r="31" spans="1:2">
      <c r="B31" t="s">
        <v>25</v>
      </c>
    </row>
    <row r="32" spans="1:2">
      <c r="B3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0EA2-8841-4A8E-9FAD-F1492223CF40}">
  <dimension ref="A1:V60"/>
  <sheetViews>
    <sheetView tabSelected="1" workbookViewId="0">
      <selection activeCell="I33" sqref="I33"/>
    </sheetView>
  </sheetViews>
  <sheetFormatPr defaultRowHeight="14.25"/>
  <cols>
    <col min="2" max="2" width="14.625" customWidth="1"/>
    <col min="4" max="4" width="12" customWidth="1"/>
    <col min="20" max="20" width="25.375" customWidth="1"/>
    <col min="21" max="21" width="26.375" customWidth="1"/>
    <col min="22" max="22" width="21.75" customWidth="1"/>
  </cols>
  <sheetData>
    <row r="1" spans="1:22" ht="18">
      <c r="A1" s="10" t="s">
        <v>9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3" t="s">
        <v>5</v>
      </c>
      <c r="V3" s="3" t="s">
        <v>26</v>
      </c>
    </row>
    <row r="4" spans="1:22">
      <c r="A4" s="4">
        <v>1896</v>
      </c>
      <c r="B4" s="5">
        <v>52.9</v>
      </c>
      <c r="C4" s="6" cm="1">
        <f t="array" ref="C4:C22">TREND($B$4:$B$22,$A$4:$A$22,A4:A22)</f>
        <v>52.657368421052638</v>
      </c>
      <c r="D4" s="6">
        <f>C4-C5</f>
        <v>0.21456140350881014</v>
      </c>
      <c r="S4" s="4">
        <v>1896</v>
      </c>
    </row>
    <row r="5" spans="1:22">
      <c r="A5" s="4">
        <f>A4+1</f>
        <v>1897</v>
      </c>
      <c r="B5" s="5">
        <v>52.8</v>
      </c>
      <c r="C5" s="6">
        <v>52.442807017543828</v>
      </c>
      <c r="S5" s="4">
        <f>S4+1</f>
        <v>1897</v>
      </c>
      <c r="T5" s="1">
        <f>100 - 100 * B5/$B$4</f>
        <v>0.18903591682419574</v>
      </c>
      <c r="U5" s="6">
        <f>100 - 100 * C5/$C$4</f>
        <v>0.40746700783290635</v>
      </c>
      <c r="V5" s="6">
        <f>U6-U5</f>
        <v>0.40746700783277845</v>
      </c>
    </row>
    <row r="6" spans="1:22">
      <c r="A6" s="4">
        <f t="shared" ref="A6:A21" si="0">A5+1</f>
        <v>1898</v>
      </c>
      <c r="B6" s="5">
        <v>50.6</v>
      </c>
      <c r="C6" s="6">
        <v>52.228245614035075</v>
      </c>
      <c r="S6" s="4">
        <f t="shared" ref="S6:S21" si="1">S5+1</f>
        <v>1898</v>
      </c>
      <c r="T6" s="1">
        <f>100 - 100 * B6/$B$4</f>
        <v>4.3478260869565162</v>
      </c>
      <c r="U6" s="6">
        <f t="shared" ref="U6:U22" si="2">100 - 100 * C6/$C$4</f>
        <v>0.8149340156656848</v>
      </c>
    </row>
    <row r="7" spans="1:22">
      <c r="A7" s="4">
        <f t="shared" si="0"/>
        <v>1899</v>
      </c>
      <c r="B7" s="5">
        <v>51.2</v>
      </c>
      <c r="C7" s="6">
        <v>52.013684210526321</v>
      </c>
      <c r="S7" s="4">
        <f t="shared" si="1"/>
        <v>1899</v>
      </c>
      <c r="T7" s="1">
        <f t="shared" ref="T7:T22" si="3">100 - 100 * B7/$B$4</f>
        <v>3.2136105860113418</v>
      </c>
      <c r="U7" s="6">
        <f t="shared" si="2"/>
        <v>1.2224010234984917</v>
      </c>
    </row>
    <row r="8" spans="1:22">
      <c r="A8" s="4">
        <f t="shared" si="0"/>
        <v>1900</v>
      </c>
      <c r="B8" s="5">
        <v>51.9</v>
      </c>
      <c r="C8" s="6">
        <v>51.799122807017511</v>
      </c>
      <c r="S8" s="4">
        <f t="shared" si="1"/>
        <v>1900</v>
      </c>
      <c r="T8" s="1">
        <f t="shared" si="3"/>
        <v>1.8903591682419574</v>
      </c>
      <c r="U8" s="6">
        <f t="shared" si="2"/>
        <v>1.6298680313313838</v>
      </c>
    </row>
    <row r="9" spans="1:22">
      <c r="A9" s="4">
        <f t="shared" si="0"/>
        <v>1901</v>
      </c>
      <c r="B9" s="5">
        <v>51.5</v>
      </c>
      <c r="C9" s="6">
        <v>51.584561403508758</v>
      </c>
      <c r="S9" s="4">
        <f t="shared" si="1"/>
        <v>1901</v>
      </c>
      <c r="T9" s="1">
        <f t="shared" si="3"/>
        <v>2.6465028355387545</v>
      </c>
      <c r="U9" s="6">
        <f t="shared" si="2"/>
        <v>2.0373350391641765</v>
      </c>
    </row>
    <row r="10" spans="1:22">
      <c r="A10" s="4">
        <f t="shared" si="0"/>
        <v>1902</v>
      </c>
      <c r="B10" s="5">
        <v>52.4</v>
      </c>
      <c r="C10" s="6">
        <v>51.370000000000005</v>
      </c>
      <c r="S10" s="4">
        <f t="shared" si="1"/>
        <v>1902</v>
      </c>
      <c r="T10" s="1">
        <f t="shared" si="3"/>
        <v>0.94517958412097869</v>
      </c>
      <c r="U10" s="6">
        <f t="shared" si="2"/>
        <v>2.4448020469969833</v>
      </c>
    </row>
    <row r="11" spans="1:22">
      <c r="A11" s="4">
        <f t="shared" si="0"/>
        <v>1903</v>
      </c>
      <c r="B11" s="5">
        <v>52</v>
      </c>
      <c r="C11" s="6">
        <v>51.155438596491251</v>
      </c>
      <c r="S11" s="4">
        <f t="shared" si="1"/>
        <v>1903</v>
      </c>
      <c r="T11" s="1">
        <f t="shared" si="3"/>
        <v>1.7013232514177616</v>
      </c>
      <c r="U11" s="6">
        <f t="shared" si="2"/>
        <v>2.852269054829776</v>
      </c>
    </row>
    <row r="12" spans="1:22">
      <c r="A12" s="4">
        <f t="shared" si="0"/>
        <v>1904</v>
      </c>
      <c r="B12" s="5">
        <v>52.2</v>
      </c>
      <c r="C12" s="6">
        <v>50.940877192982441</v>
      </c>
      <c r="S12" s="4">
        <f t="shared" si="1"/>
        <v>1904</v>
      </c>
      <c r="T12" s="1">
        <f t="shared" si="3"/>
        <v>1.3232514177693702</v>
      </c>
      <c r="U12" s="6">
        <f t="shared" si="2"/>
        <v>3.2597360626626681</v>
      </c>
    </row>
    <row r="13" spans="1:22">
      <c r="A13" s="4">
        <f t="shared" si="0"/>
        <v>1905</v>
      </c>
      <c r="B13" s="5">
        <v>48.6</v>
      </c>
      <c r="C13" s="6">
        <v>50.726315789473688</v>
      </c>
      <c r="S13" s="4">
        <f t="shared" si="1"/>
        <v>1905</v>
      </c>
      <c r="T13" s="1">
        <f t="shared" si="3"/>
        <v>8.1285444234404451</v>
      </c>
      <c r="U13" s="6">
        <f t="shared" si="2"/>
        <v>3.667203070495475</v>
      </c>
    </row>
    <row r="14" spans="1:22">
      <c r="A14" s="4">
        <f t="shared" si="0"/>
        <v>1906</v>
      </c>
      <c r="B14" s="5">
        <v>51.1</v>
      </c>
      <c r="C14" s="6">
        <v>50.511754385964934</v>
      </c>
      <c r="S14" s="4">
        <f t="shared" si="1"/>
        <v>1906</v>
      </c>
      <c r="T14" s="1">
        <f t="shared" si="3"/>
        <v>3.4026465028355375</v>
      </c>
      <c r="U14" s="6">
        <f t="shared" si="2"/>
        <v>4.0746700783282535</v>
      </c>
    </row>
    <row r="15" spans="1:22">
      <c r="A15" s="4">
        <f t="shared" si="0"/>
        <v>1907</v>
      </c>
      <c r="B15" s="5">
        <v>51.1</v>
      </c>
      <c r="C15" s="6">
        <v>50.297192982456124</v>
      </c>
      <c r="S15" s="4">
        <f t="shared" si="1"/>
        <v>1907</v>
      </c>
      <c r="T15" s="1">
        <f t="shared" si="3"/>
        <v>3.4026465028355375</v>
      </c>
      <c r="U15" s="6">
        <f t="shared" si="2"/>
        <v>4.4821370861611456</v>
      </c>
    </row>
    <row r="16" spans="1:22">
      <c r="A16" s="4">
        <f t="shared" si="0"/>
        <v>1908</v>
      </c>
      <c r="B16" s="5">
        <v>49.5</v>
      </c>
      <c r="C16" s="6">
        <v>50.082631578947371</v>
      </c>
      <c r="S16" s="4">
        <f t="shared" si="1"/>
        <v>1908</v>
      </c>
      <c r="T16" s="1">
        <f t="shared" si="3"/>
        <v>6.4272211720226835</v>
      </c>
      <c r="U16" s="6">
        <f t="shared" si="2"/>
        <v>4.8896040939939525</v>
      </c>
    </row>
    <row r="17" spans="1:21">
      <c r="A17" s="4">
        <f t="shared" si="0"/>
        <v>1909</v>
      </c>
      <c r="B17" s="5">
        <v>49.9</v>
      </c>
      <c r="C17" s="6">
        <v>49.868070175438618</v>
      </c>
      <c r="S17" s="4">
        <f t="shared" si="1"/>
        <v>1909</v>
      </c>
      <c r="T17" s="1">
        <f t="shared" si="3"/>
        <v>5.6710775047259006</v>
      </c>
      <c r="U17" s="6">
        <f t="shared" si="2"/>
        <v>5.2970711018267451</v>
      </c>
    </row>
    <row r="18" spans="1:21">
      <c r="A18" s="4">
        <f t="shared" si="0"/>
        <v>1910</v>
      </c>
      <c r="B18" s="5">
        <v>50.8</v>
      </c>
      <c r="C18" s="6">
        <v>49.653508771929808</v>
      </c>
      <c r="S18" s="4">
        <f t="shared" si="1"/>
        <v>1910</v>
      </c>
      <c r="T18" s="1">
        <f t="shared" si="3"/>
        <v>3.9697542533081247</v>
      </c>
      <c r="U18" s="6">
        <f t="shared" si="2"/>
        <v>5.7045381096596373</v>
      </c>
    </row>
    <row r="19" spans="1:21">
      <c r="A19" s="4">
        <f t="shared" si="0"/>
        <v>1911</v>
      </c>
      <c r="B19" s="5">
        <v>50.4</v>
      </c>
      <c r="C19" s="6">
        <v>49.438947368421054</v>
      </c>
      <c r="S19" s="4">
        <f t="shared" si="1"/>
        <v>1911</v>
      </c>
      <c r="T19" s="1">
        <f t="shared" si="3"/>
        <v>4.7258979206049077</v>
      </c>
      <c r="U19" s="6">
        <f t="shared" si="2"/>
        <v>6.1120051174924441</v>
      </c>
    </row>
    <row r="20" spans="1:21">
      <c r="A20" s="4">
        <f t="shared" si="0"/>
        <v>1912</v>
      </c>
      <c r="B20" s="5">
        <v>48.5</v>
      </c>
      <c r="C20" s="6">
        <v>49.224385964912301</v>
      </c>
      <c r="S20" s="4">
        <f t="shared" si="1"/>
        <v>1912</v>
      </c>
      <c r="T20" s="1">
        <f t="shared" si="3"/>
        <v>8.3175803402646409</v>
      </c>
      <c r="U20" s="6">
        <f t="shared" si="2"/>
        <v>6.5194721253252368</v>
      </c>
    </row>
    <row r="21" spans="1:21">
      <c r="A21" s="4">
        <f t="shared" si="0"/>
        <v>1913</v>
      </c>
      <c r="B21" s="5">
        <v>48.4</v>
      </c>
      <c r="C21" s="6">
        <v>49.009824561403491</v>
      </c>
      <c r="S21" s="4">
        <f t="shared" si="1"/>
        <v>1913</v>
      </c>
      <c r="T21" s="1">
        <f t="shared" si="3"/>
        <v>8.5066162570888508</v>
      </c>
      <c r="U21" s="6">
        <f t="shared" si="2"/>
        <v>6.9269391331581289</v>
      </c>
    </row>
    <row r="22" spans="1:21">
      <c r="A22" s="4">
        <v>1914</v>
      </c>
      <c r="B22" s="5">
        <v>48</v>
      </c>
      <c r="C22" s="6">
        <v>48.795263157894738</v>
      </c>
      <c r="S22" s="4">
        <v>1914</v>
      </c>
      <c r="T22" s="1">
        <f t="shared" si="3"/>
        <v>9.2627599243856338</v>
      </c>
      <c r="U22" s="6">
        <f t="shared" si="2"/>
        <v>7.3344061409909358</v>
      </c>
    </row>
    <row r="23" spans="1:21">
      <c r="A23" s="4">
        <f t="shared" ref="A23:A29" si="4">A22+1</f>
        <v>1915</v>
      </c>
      <c r="C23" s="6">
        <f>C22-$D$4</f>
        <v>48.580701754385927</v>
      </c>
      <c r="S23" s="4">
        <f>S22+1</f>
        <v>1915</v>
      </c>
      <c r="U23" s="6">
        <f t="shared" ref="U23:U35" si="5">U22+STEP</f>
        <v>7.7856853439623848</v>
      </c>
    </row>
    <row r="24" spans="1:21">
      <c r="A24" s="4">
        <f t="shared" si="4"/>
        <v>1916</v>
      </c>
      <c r="C24" s="6">
        <f t="shared" ref="C24:C29" si="6">C23-$D$4</f>
        <v>48.366140350877117</v>
      </c>
      <c r="S24" s="4">
        <f t="shared" ref="S24:S35" si="7">S23+1</f>
        <v>1916</v>
      </c>
      <c r="U24" s="6">
        <f t="shared" si="5"/>
        <v>8.2369645469338337</v>
      </c>
    </row>
    <row r="25" spans="1:21">
      <c r="A25" s="4">
        <f t="shared" si="4"/>
        <v>1917</v>
      </c>
      <c r="C25" s="6">
        <f t="shared" si="6"/>
        <v>48.151578947368307</v>
      </c>
      <c r="S25" s="4">
        <f t="shared" si="7"/>
        <v>1917</v>
      </c>
      <c r="U25" s="6">
        <f t="shared" si="5"/>
        <v>8.6882437499052827</v>
      </c>
    </row>
    <row r="26" spans="1:21">
      <c r="A26" s="4">
        <f t="shared" si="4"/>
        <v>1918</v>
      </c>
      <c r="C26" s="6">
        <f t="shared" si="6"/>
        <v>47.937017543859497</v>
      </c>
      <c r="S26" s="4">
        <f t="shared" si="7"/>
        <v>1918</v>
      </c>
      <c r="U26" s="6">
        <f t="shared" si="5"/>
        <v>9.1395229528767317</v>
      </c>
    </row>
    <row r="27" spans="1:21">
      <c r="A27" s="4">
        <f t="shared" si="4"/>
        <v>1919</v>
      </c>
      <c r="C27" s="6">
        <f t="shared" si="6"/>
        <v>47.722456140350687</v>
      </c>
      <c r="S27" s="4">
        <f t="shared" si="7"/>
        <v>1919</v>
      </c>
      <c r="U27" s="6">
        <f t="shared" si="5"/>
        <v>9.5908021558481806</v>
      </c>
    </row>
    <row r="28" spans="1:21">
      <c r="A28" s="4">
        <f t="shared" si="4"/>
        <v>1920</v>
      </c>
      <c r="C28" s="6">
        <f t="shared" si="6"/>
        <v>47.507894736841877</v>
      </c>
      <c r="S28" s="4">
        <f t="shared" si="7"/>
        <v>1920</v>
      </c>
      <c r="U28" s="12">
        <f t="shared" si="5"/>
        <v>10.04208135881963</v>
      </c>
    </row>
    <row r="29" spans="1:21">
      <c r="A29" s="4">
        <f t="shared" si="4"/>
        <v>1921</v>
      </c>
      <c r="C29" s="6">
        <f t="shared" si="6"/>
        <v>47.293333333333067</v>
      </c>
      <c r="S29" s="7">
        <f t="shared" si="7"/>
        <v>1921</v>
      </c>
      <c r="T29" s="9"/>
      <c r="U29" s="12">
        <f t="shared" si="5"/>
        <v>10.493360561791079</v>
      </c>
    </row>
    <row r="30" spans="1:21">
      <c r="S30" s="4">
        <f t="shared" si="7"/>
        <v>1922</v>
      </c>
      <c r="U30" s="6">
        <f t="shared" si="5"/>
        <v>10.944639764762528</v>
      </c>
    </row>
    <row r="31" spans="1:21">
      <c r="S31" s="4">
        <f t="shared" si="7"/>
        <v>1923</v>
      </c>
      <c r="U31" s="6">
        <f t="shared" si="5"/>
        <v>11.395918967733977</v>
      </c>
    </row>
    <row r="32" spans="1:21">
      <c r="S32" s="4">
        <f t="shared" si="7"/>
        <v>1924</v>
      </c>
      <c r="U32" s="6">
        <f t="shared" si="5"/>
        <v>11.847198170705425</v>
      </c>
    </row>
    <row r="33" spans="1:21">
      <c r="S33" s="4">
        <f t="shared" si="7"/>
        <v>1925</v>
      </c>
      <c r="U33" s="6">
        <f t="shared" si="5"/>
        <v>12.298477373676874</v>
      </c>
    </row>
    <row r="34" spans="1:21">
      <c r="S34" s="4">
        <f t="shared" si="7"/>
        <v>1926</v>
      </c>
      <c r="U34" s="6">
        <f t="shared" si="5"/>
        <v>12.749756576648323</v>
      </c>
    </row>
    <row r="35" spans="1:21">
      <c r="S35" s="4">
        <f t="shared" si="7"/>
        <v>1927</v>
      </c>
      <c r="U35" s="6">
        <f t="shared" si="5"/>
        <v>13.201035779619772</v>
      </c>
    </row>
    <row r="39" spans="1:21" ht="15">
      <c r="A39" s="2" t="s">
        <v>2</v>
      </c>
    </row>
    <row r="41" spans="1:21" ht="15">
      <c r="A41" s="3" t="s">
        <v>0</v>
      </c>
      <c r="B41" s="3" t="s">
        <v>1</v>
      </c>
    </row>
    <row r="42" spans="1:21">
      <c r="A42" s="4">
        <v>1896</v>
      </c>
      <c r="B42" s="5">
        <v>53.3</v>
      </c>
    </row>
    <row r="43" spans="1:21">
      <c r="A43" s="4">
        <f>A42+1</f>
        <v>1897</v>
      </c>
      <c r="B43" s="5">
        <v>53.3</v>
      </c>
    </row>
    <row r="44" spans="1:21">
      <c r="A44" s="4">
        <f t="shared" ref="A44:A59" si="8">A43+1</f>
        <v>1898</v>
      </c>
      <c r="B44" s="5"/>
    </row>
    <row r="45" spans="1:21">
      <c r="A45" s="4">
        <f t="shared" si="8"/>
        <v>1899</v>
      </c>
      <c r="B45" s="5">
        <v>51.7</v>
      </c>
    </row>
    <row r="46" spans="1:21">
      <c r="A46" s="4">
        <f t="shared" si="8"/>
        <v>1900</v>
      </c>
      <c r="B46" s="5">
        <v>52.4</v>
      </c>
    </row>
    <row r="47" spans="1:21">
      <c r="A47" s="4">
        <f t="shared" si="8"/>
        <v>1901</v>
      </c>
      <c r="B47" s="5">
        <v>52</v>
      </c>
    </row>
    <row r="48" spans="1:21">
      <c r="A48" s="4">
        <f t="shared" si="8"/>
        <v>1902</v>
      </c>
      <c r="B48" s="5">
        <v>52.8</v>
      </c>
    </row>
    <row r="49" spans="1:2">
      <c r="A49" s="4">
        <f t="shared" si="8"/>
        <v>1903</v>
      </c>
      <c r="B49" s="5">
        <v>52.5</v>
      </c>
    </row>
    <row r="50" spans="1:2">
      <c r="A50" s="4">
        <f t="shared" si="8"/>
        <v>1904</v>
      </c>
      <c r="B50" s="5">
        <v>52.7</v>
      </c>
    </row>
    <row r="51" spans="1:2">
      <c r="A51" s="4">
        <f t="shared" si="8"/>
        <v>1905</v>
      </c>
      <c r="B51" s="5"/>
    </row>
    <row r="52" spans="1:2">
      <c r="A52" s="4">
        <f t="shared" si="8"/>
        <v>1906</v>
      </c>
      <c r="B52" s="5">
        <v>51.6</v>
      </c>
    </row>
    <row r="53" spans="1:2">
      <c r="A53" s="4">
        <f t="shared" si="8"/>
        <v>1907</v>
      </c>
      <c r="B53" s="5">
        <v>51.6</v>
      </c>
    </row>
    <row r="54" spans="1:2">
      <c r="A54" s="4">
        <f t="shared" si="8"/>
        <v>1908</v>
      </c>
      <c r="B54" s="5"/>
    </row>
    <row r="55" spans="1:2">
      <c r="A55" s="4">
        <f t="shared" si="8"/>
        <v>1909</v>
      </c>
      <c r="B55" s="5"/>
    </row>
    <row r="56" spans="1:2">
      <c r="A56" s="4">
        <f t="shared" si="8"/>
        <v>1910</v>
      </c>
      <c r="B56" s="5"/>
    </row>
    <row r="57" spans="1:2">
      <c r="A57" s="4">
        <f t="shared" si="8"/>
        <v>1911</v>
      </c>
      <c r="B57" s="5">
        <v>50.9</v>
      </c>
    </row>
    <row r="58" spans="1:2">
      <c r="A58" s="4">
        <f t="shared" si="8"/>
        <v>1912</v>
      </c>
      <c r="B58" s="5">
        <v>48.9</v>
      </c>
    </row>
    <row r="59" spans="1:2">
      <c r="A59" s="4">
        <f t="shared" si="8"/>
        <v>1913</v>
      </c>
      <c r="B59" s="5">
        <v>48.8</v>
      </c>
    </row>
    <row r="60" spans="1:2">
      <c r="A60" s="4">
        <v>1914</v>
      </c>
      <c r="B60" s="5">
        <v>48.4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6236-6DB6-44ED-BB49-A78B092F8D0C}">
  <dimension ref="A1:V50"/>
  <sheetViews>
    <sheetView topLeftCell="E1" workbookViewId="0">
      <selection activeCell="T4" sqref="T4:U25"/>
    </sheetView>
  </sheetViews>
  <sheetFormatPr defaultRowHeight="14.25"/>
  <cols>
    <col min="2" max="2" width="14.125" customWidth="1"/>
    <col min="4" max="4" width="11" customWidth="1"/>
    <col min="20" max="20" width="25" customWidth="1"/>
    <col min="21" max="21" width="20" customWidth="1"/>
    <col min="22" max="22" width="23.25" customWidth="1"/>
  </cols>
  <sheetData>
    <row r="1" spans="1:22" ht="18">
      <c r="A1" s="10" t="s">
        <v>8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2" t="s">
        <v>5</v>
      </c>
      <c r="V3" s="3" t="s">
        <v>26</v>
      </c>
    </row>
    <row r="4" spans="1:22">
      <c r="A4" s="4">
        <v>1896</v>
      </c>
      <c r="B4" s="5">
        <v>51.5</v>
      </c>
      <c r="C4" s="6" cm="1">
        <f t="array" ref="C4:C21">TREND($B$4:$B$21,$A$4:$A$21,A4:A21)</f>
        <v>50.538596491228134</v>
      </c>
      <c r="D4" s="6">
        <f>C4-C5</f>
        <v>0.2280701754386314</v>
      </c>
      <c r="S4" s="4">
        <v>1896</v>
      </c>
    </row>
    <row r="5" spans="1:22">
      <c r="A5" s="4">
        <f>A4+1</f>
        <v>1897</v>
      </c>
      <c r="B5" s="5">
        <v>50.9</v>
      </c>
      <c r="C5" s="6">
        <v>50.310526315789502</v>
      </c>
      <c r="S5" s="4">
        <f>S4+1</f>
        <v>1897</v>
      </c>
      <c r="T5" s="1">
        <f>100 - 100 * B5/$B$4</f>
        <v>1.1650485436893234</v>
      </c>
      <c r="U5" s="6">
        <f>100 - 100 * C5/$C$4</f>
        <v>0.45127920297156265</v>
      </c>
      <c r="V5" s="6">
        <f>U6-U5</f>
        <v>0.45127920297144897</v>
      </c>
    </row>
    <row r="6" spans="1:22">
      <c r="A6" s="4">
        <f t="shared" ref="A6:A21" si="0">A5+1</f>
        <v>1898</v>
      </c>
      <c r="B6" s="5">
        <v>49.9</v>
      </c>
      <c r="C6" s="6">
        <v>50.082456140350928</v>
      </c>
      <c r="S6" s="4">
        <f t="shared" ref="S6:S21" si="1">S5+1</f>
        <v>1898</v>
      </c>
      <c r="T6" s="1">
        <f>100 - 100 * B6/$B$4</f>
        <v>3.106796116504853</v>
      </c>
      <c r="U6" s="6">
        <f t="shared" ref="U6:U21" si="2">100 - 100 * C6/$C$4</f>
        <v>0.90255840594301162</v>
      </c>
    </row>
    <row r="7" spans="1:22">
      <c r="A7" s="4">
        <f t="shared" si="0"/>
        <v>1899</v>
      </c>
      <c r="B7" s="5">
        <v>50.6</v>
      </c>
      <c r="C7" s="6">
        <v>49.854385964912353</v>
      </c>
      <c r="S7" s="4">
        <f t="shared" si="1"/>
        <v>1899</v>
      </c>
      <c r="T7" s="1">
        <f t="shared" ref="T7:T21" si="3">100 - 100 * B7/$B$4</f>
        <v>1.7475728155339851</v>
      </c>
      <c r="U7" s="6">
        <f t="shared" si="2"/>
        <v>1.3538376089144748</v>
      </c>
    </row>
    <row r="8" spans="1:22">
      <c r="A8" s="4">
        <f t="shared" si="0"/>
        <v>1900</v>
      </c>
      <c r="B8" s="5">
        <v>49.8</v>
      </c>
      <c r="C8" s="6">
        <v>49.626315789473722</v>
      </c>
      <c r="S8" s="4">
        <f t="shared" si="1"/>
        <v>1900</v>
      </c>
      <c r="T8" s="1">
        <f t="shared" si="3"/>
        <v>3.3009708737864116</v>
      </c>
      <c r="U8" s="6">
        <f t="shared" si="2"/>
        <v>1.8051168118860517</v>
      </c>
    </row>
    <row r="9" spans="1:22">
      <c r="A9" s="4">
        <f t="shared" si="0"/>
        <v>1901</v>
      </c>
      <c r="B9" s="5">
        <v>46.3</v>
      </c>
      <c r="C9" s="6">
        <v>49.398245614035147</v>
      </c>
      <c r="S9" s="4">
        <f t="shared" si="1"/>
        <v>1901</v>
      </c>
      <c r="T9" s="1">
        <f t="shared" si="3"/>
        <v>10.097087378640779</v>
      </c>
      <c r="U9" s="6">
        <f t="shared" si="2"/>
        <v>2.2563960148575006</v>
      </c>
    </row>
    <row r="10" spans="1:22">
      <c r="A10" s="4">
        <f t="shared" si="0"/>
        <v>1902</v>
      </c>
      <c r="B10" s="5">
        <v>49.9</v>
      </c>
      <c r="C10" s="6">
        <v>49.170175438596516</v>
      </c>
      <c r="S10" s="4">
        <f t="shared" si="1"/>
        <v>1902</v>
      </c>
      <c r="T10" s="1">
        <f t="shared" si="3"/>
        <v>3.106796116504853</v>
      </c>
      <c r="U10" s="6">
        <f t="shared" si="2"/>
        <v>2.7076752178290775</v>
      </c>
    </row>
    <row r="11" spans="1:22">
      <c r="A11" s="4">
        <f t="shared" si="0"/>
        <v>1903</v>
      </c>
      <c r="B11" s="5">
        <v>49.5</v>
      </c>
      <c r="C11" s="6">
        <v>48.942105263157941</v>
      </c>
      <c r="S11" s="4">
        <f t="shared" si="1"/>
        <v>1903</v>
      </c>
      <c r="T11" s="1">
        <f t="shared" si="3"/>
        <v>3.8834951456310733</v>
      </c>
      <c r="U11" s="6">
        <f t="shared" si="2"/>
        <v>3.1589544208005407</v>
      </c>
    </row>
    <row r="12" spans="1:22">
      <c r="A12" s="4">
        <f t="shared" si="0"/>
        <v>1904</v>
      </c>
      <c r="B12" s="5">
        <v>49.6</v>
      </c>
      <c r="C12" s="6">
        <v>48.714035087719367</v>
      </c>
      <c r="S12" s="4">
        <f t="shared" si="1"/>
        <v>1904</v>
      </c>
      <c r="T12" s="1">
        <f t="shared" si="3"/>
        <v>3.6893203883495147</v>
      </c>
      <c r="U12" s="6">
        <f t="shared" si="2"/>
        <v>3.6102336237719896</v>
      </c>
    </row>
    <row r="13" spans="1:22">
      <c r="A13" s="4">
        <f t="shared" si="0"/>
        <v>1905</v>
      </c>
      <c r="B13" s="5">
        <v>45.6</v>
      </c>
      <c r="C13" s="6">
        <v>48.485964912280735</v>
      </c>
      <c r="S13" s="4">
        <f t="shared" si="1"/>
        <v>1905</v>
      </c>
      <c r="T13" s="1">
        <f t="shared" si="3"/>
        <v>11.456310679611647</v>
      </c>
      <c r="U13" s="6">
        <f t="shared" si="2"/>
        <v>4.0615128267435523</v>
      </c>
    </row>
    <row r="14" spans="1:22">
      <c r="A14" s="4">
        <f t="shared" si="0"/>
        <v>1906</v>
      </c>
      <c r="B14" s="5">
        <v>46.6</v>
      </c>
      <c r="C14" s="6">
        <v>48.257894736842161</v>
      </c>
      <c r="S14" s="4">
        <f t="shared" si="1"/>
        <v>1906</v>
      </c>
      <c r="T14" s="1">
        <f t="shared" si="3"/>
        <v>9.5145631067961176</v>
      </c>
      <c r="U14" s="6">
        <f t="shared" si="2"/>
        <v>4.5127920297150013</v>
      </c>
    </row>
    <row r="15" spans="1:22">
      <c r="A15" s="4">
        <f t="shared" si="0"/>
        <v>1907</v>
      </c>
      <c r="B15" s="5">
        <v>49.8</v>
      </c>
      <c r="C15" s="6">
        <v>48.029824561403586</v>
      </c>
      <c r="S15" s="4">
        <f t="shared" si="1"/>
        <v>1907</v>
      </c>
      <c r="T15" s="1">
        <f t="shared" si="3"/>
        <v>3.3009708737864116</v>
      </c>
      <c r="U15" s="6">
        <f t="shared" si="2"/>
        <v>4.9640712326864644</v>
      </c>
    </row>
    <row r="16" spans="1:22">
      <c r="A16" s="4">
        <f t="shared" si="0"/>
        <v>1908</v>
      </c>
      <c r="B16" s="5">
        <v>47.2</v>
      </c>
      <c r="C16" s="6">
        <v>47.801754385964955</v>
      </c>
      <c r="S16" s="4">
        <f t="shared" si="1"/>
        <v>1908</v>
      </c>
      <c r="T16" s="1">
        <f t="shared" si="3"/>
        <v>8.3495145631067942</v>
      </c>
      <c r="U16" s="6">
        <f t="shared" si="2"/>
        <v>5.4153504356580271</v>
      </c>
    </row>
    <row r="17" spans="1:21">
      <c r="A17" s="4">
        <f t="shared" si="0"/>
        <v>1909</v>
      </c>
      <c r="B17" s="5">
        <v>48.5</v>
      </c>
      <c r="C17" s="6">
        <v>47.57368421052638</v>
      </c>
      <c r="S17" s="4">
        <f t="shared" si="1"/>
        <v>1909</v>
      </c>
      <c r="T17" s="1">
        <f t="shared" si="3"/>
        <v>5.8252427184466029</v>
      </c>
      <c r="U17" s="6">
        <f t="shared" si="2"/>
        <v>5.8666296386294903</v>
      </c>
    </row>
    <row r="18" spans="1:21">
      <c r="A18" s="4">
        <f t="shared" si="0"/>
        <v>1910</v>
      </c>
      <c r="B18" s="5">
        <v>47.8</v>
      </c>
      <c r="C18" s="6">
        <v>47.345614035087749</v>
      </c>
      <c r="S18" s="4">
        <f t="shared" si="1"/>
        <v>1910</v>
      </c>
      <c r="T18" s="1">
        <f t="shared" si="3"/>
        <v>7.1844660194174708</v>
      </c>
      <c r="U18" s="6">
        <f t="shared" si="2"/>
        <v>6.3179088416010671</v>
      </c>
    </row>
    <row r="19" spans="1:21">
      <c r="A19" s="4">
        <f t="shared" si="0"/>
        <v>1911</v>
      </c>
      <c r="B19" s="5">
        <v>47.8</v>
      </c>
      <c r="C19" s="6">
        <v>47.117543859649174</v>
      </c>
      <c r="S19" s="4">
        <f t="shared" si="1"/>
        <v>1911</v>
      </c>
      <c r="T19" s="1">
        <f t="shared" si="3"/>
        <v>7.1844660194174708</v>
      </c>
      <c r="U19" s="6">
        <f t="shared" si="2"/>
        <v>6.7691880445725161</v>
      </c>
    </row>
    <row r="20" spans="1:21">
      <c r="A20" s="4">
        <f t="shared" si="0"/>
        <v>1912</v>
      </c>
      <c r="B20" s="5">
        <v>47.4</v>
      </c>
      <c r="C20" s="6">
        <v>46.8894736842106</v>
      </c>
      <c r="S20" s="4">
        <f t="shared" si="1"/>
        <v>1912</v>
      </c>
      <c r="T20" s="1">
        <f t="shared" si="3"/>
        <v>7.9611650485436911</v>
      </c>
      <c r="U20" s="6">
        <f t="shared" si="2"/>
        <v>7.2204672475439793</v>
      </c>
    </row>
    <row r="21" spans="1:21">
      <c r="A21" s="4">
        <f t="shared" si="0"/>
        <v>1913</v>
      </c>
      <c r="B21" s="5">
        <v>46.1</v>
      </c>
      <c r="C21" s="6">
        <v>46.661403508771969</v>
      </c>
      <c r="S21" s="4">
        <f t="shared" si="1"/>
        <v>1913</v>
      </c>
      <c r="T21" s="1">
        <f t="shared" si="3"/>
        <v>10.485436893203882</v>
      </c>
      <c r="U21" s="6">
        <f t="shared" si="2"/>
        <v>7.6717464505155419</v>
      </c>
    </row>
    <row r="22" spans="1:21">
      <c r="A22" s="4">
        <f>A21+1</f>
        <v>1914</v>
      </c>
      <c r="B22" s="5">
        <v>44.2</v>
      </c>
      <c r="C22" s="6">
        <f>C21-$D$4</f>
        <v>46.433333333333337</v>
      </c>
      <c r="S22" s="4">
        <v>1914</v>
      </c>
      <c r="T22" s="1"/>
      <c r="U22" s="6">
        <f>U21+STEP_NR</f>
        <v>8.1230256534869909</v>
      </c>
    </row>
    <row r="23" spans="1:21">
      <c r="A23" s="4">
        <f>A22+1</f>
        <v>1915</v>
      </c>
      <c r="C23" s="6">
        <f t="shared" ref="C23:C26" si="4">C22-$D$4</f>
        <v>46.205263157894706</v>
      </c>
      <c r="S23" s="4">
        <v>1915</v>
      </c>
      <c r="U23" s="6">
        <f>U22+STEP_NR</f>
        <v>8.5743048564584399</v>
      </c>
    </row>
    <row r="24" spans="1:21">
      <c r="A24" s="4">
        <f>A23+1</f>
        <v>1916</v>
      </c>
      <c r="C24" s="6">
        <f t="shared" si="4"/>
        <v>45.977192982456074</v>
      </c>
      <c r="S24" s="4">
        <v>1916</v>
      </c>
      <c r="U24" s="6">
        <f>U23+STEP_NR</f>
        <v>9.0255840594298888</v>
      </c>
    </row>
    <row r="25" spans="1:21">
      <c r="A25" s="4">
        <f>A24+1</f>
        <v>1917</v>
      </c>
      <c r="C25" s="6">
        <f t="shared" si="4"/>
        <v>45.749122807017443</v>
      </c>
      <c r="S25" s="4">
        <v>1917</v>
      </c>
      <c r="U25" s="12">
        <f>U24+STEP_NR</f>
        <v>9.4768632624013378</v>
      </c>
    </row>
    <row r="26" spans="1:21">
      <c r="A26" s="4">
        <f>A25+1</f>
        <v>1918</v>
      </c>
      <c r="C26" s="6">
        <f t="shared" si="4"/>
        <v>45.521052631578812</v>
      </c>
    </row>
    <row r="28" spans="1:21" ht="15">
      <c r="A28" s="2" t="s">
        <v>2</v>
      </c>
    </row>
    <row r="31" spans="1:21" ht="15">
      <c r="A31" s="3" t="s">
        <v>0</v>
      </c>
      <c r="B31" s="3" t="s">
        <v>1</v>
      </c>
    </row>
    <row r="32" spans="1:21">
      <c r="A32" s="4">
        <v>1896</v>
      </c>
      <c r="B32" s="5">
        <v>52.1</v>
      </c>
    </row>
    <row r="33" spans="1:2">
      <c r="A33" s="4">
        <f>A32+1</f>
        <v>1897</v>
      </c>
      <c r="B33" s="5">
        <v>51.5</v>
      </c>
    </row>
    <row r="34" spans="1:2">
      <c r="A34" s="4">
        <f t="shared" ref="A34:A50" si="5">A33+1</f>
        <v>1898</v>
      </c>
      <c r="B34" s="5"/>
    </row>
    <row r="35" spans="1:2">
      <c r="A35" s="4">
        <f t="shared" si="5"/>
        <v>1899</v>
      </c>
      <c r="B35" s="5">
        <v>51.2</v>
      </c>
    </row>
    <row r="36" spans="1:2">
      <c r="A36" s="4">
        <f t="shared" si="5"/>
        <v>1900</v>
      </c>
      <c r="B36" s="5">
        <v>50.4</v>
      </c>
    </row>
    <row r="37" spans="1:2">
      <c r="A37" s="4">
        <f t="shared" si="5"/>
        <v>1901</v>
      </c>
      <c r="B37" s="5">
        <v>46.8</v>
      </c>
    </row>
    <row r="38" spans="1:2">
      <c r="A38" s="4">
        <f t="shared" si="5"/>
        <v>1902</v>
      </c>
      <c r="B38" s="5">
        <v>50.4</v>
      </c>
    </row>
    <row r="39" spans="1:2">
      <c r="A39" s="4">
        <f t="shared" si="5"/>
        <v>1903</v>
      </c>
      <c r="B39" s="5">
        <v>50.1</v>
      </c>
    </row>
    <row r="40" spans="1:2">
      <c r="A40" s="4">
        <f t="shared" si="5"/>
        <v>1904</v>
      </c>
      <c r="B40" s="5">
        <v>50.1</v>
      </c>
    </row>
    <row r="41" spans="1:2">
      <c r="A41" s="4">
        <f t="shared" si="5"/>
        <v>1905</v>
      </c>
      <c r="B41" s="5"/>
    </row>
    <row r="42" spans="1:2">
      <c r="A42" s="4">
        <f t="shared" si="5"/>
        <v>1906</v>
      </c>
      <c r="B42" s="5">
        <v>46.9</v>
      </c>
    </row>
    <row r="43" spans="1:2">
      <c r="A43" s="4">
        <f t="shared" si="5"/>
        <v>1907</v>
      </c>
      <c r="B43" s="5">
        <v>50.2</v>
      </c>
    </row>
    <row r="44" spans="1:2">
      <c r="A44" s="4">
        <f t="shared" si="5"/>
        <v>1908</v>
      </c>
      <c r="B44" s="5"/>
    </row>
    <row r="45" spans="1:2">
      <c r="A45" s="4">
        <f t="shared" si="5"/>
        <v>1909</v>
      </c>
      <c r="B45" s="5"/>
    </row>
    <row r="46" spans="1:2">
      <c r="A46" s="4">
        <f t="shared" si="5"/>
        <v>1910</v>
      </c>
      <c r="B46" s="5"/>
    </row>
    <row r="47" spans="1:2">
      <c r="A47" s="4">
        <f t="shared" si="5"/>
        <v>1911</v>
      </c>
      <c r="B47" s="5">
        <v>48.2</v>
      </c>
    </row>
    <row r="48" spans="1:2">
      <c r="A48" s="4">
        <f t="shared" si="5"/>
        <v>1912</v>
      </c>
      <c r="B48" s="5">
        <v>47.9</v>
      </c>
    </row>
    <row r="49" spans="1:2">
      <c r="A49" s="4">
        <f t="shared" si="5"/>
        <v>1913</v>
      </c>
      <c r="B49" s="5">
        <v>46.5</v>
      </c>
    </row>
    <row r="50" spans="1:2">
      <c r="A50" s="4">
        <f t="shared" si="5"/>
        <v>1914</v>
      </c>
      <c r="B50" s="4">
        <v>44.5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AEA7-EBD2-458F-AB27-099CC8F05D58}">
  <dimension ref="A1:V48"/>
  <sheetViews>
    <sheetView topLeftCell="D1" workbookViewId="0">
      <selection activeCell="T4" sqref="T4:U21"/>
    </sheetView>
  </sheetViews>
  <sheetFormatPr defaultRowHeight="14.25"/>
  <cols>
    <col min="1" max="1" width="7.875" customWidth="1"/>
    <col min="2" max="2" width="13.625" customWidth="1"/>
    <col min="4" max="4" width="10.375" customWidth="1"/>
    <col min="20" max="20" width="24.625" customWidth="1"/>
    <col min="21" max="21" width="18.75" customWidth="1"/>
    <col min="22" max="22" width="26" customWidth="1"/>
  </cols>
  <sheetData>
    <row r="1" spans="1:22" ht="18">
      <c r="A1" s="10" t="s">
        <v>7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3" t="s">
        <v>5</v>
      </c>
      <c r="V3" s="3" t="s">
        <v>26</v>
      </c>
    </row>
    <row r="4" spans="1:22">
      <c r="A4" s="4">
        <v>1896</v>
      </c>
      <c r="B4" s="5">
        <v>48.6</v>
      </c>
      <c r="C4" s="6" cm="1">
        <f t="array" ref="C4:C21">TREND($B$4:$B$21,$A$4:$A$21,A4:A21)</f>
        <v>48.038596491228077</v>
      </c>
      <c r="D4" s="6">
        <f>C4-C5</f>
        <v>0.50454076367384459</v>
      </c>
      <c r="S4" s="4">
        <v>1896</v>
      </c>
    </row>
    <row r="5" spans="1:22">
      <c r="A5" s="4">
        <f>A4+1</f>
        <v>1897</v>
      </c>
      <c r="B5" s="5">
        <v>48</v>
      </c>
      <c r="C5" s="6">
        <v>47.534055727554232</v>
      </c>
      <c r="S5" s="4">
        <f>S4+1</f>
        <v>1897</v>
      </c>
      <c r="T5" s="1">
        <f>100 - 100 * B5/$B$4</f>
        <v>1.2345679012345698</v>
      </c>
      <c r="U5" s="6">
        <f>100 - 100 * C5/$C$4</f>
        <v>1.0502820659341552</v>
      </c>
      <c r="V5" s="6">
        <f>U6-U5</f>
        <v>1.0502820659343968</v>
      </c>
    </row>
    <row r="6" spans="1:22">
      <c r="A6" s="4">
        <f t="shared" ref="A6:A21" si="0">A5+1</f>
        <v>1898</v>
      </c>
      <c r="B6" s="5">
        <v>45.8</v>
      </c>
      <c r="C6" s="6">
        <v>47.029514963880274</v>
      </c>
      <c r="S6" s="4">
        <f t="shared" ref="S6:S21" si="1">S5+1</f>
        <v>1898</v>
      </c>
      <c r="T6" s="1">
        <f>100 - 100 * B6/$B$4</f>
        <v>5.7613168724279831</v>
      </c>
      <c r="U6" s="6">
        <f t="shared" ref="U6:U21" si="2">100 - 100 * C6/$C$4</f>
        <v>2.100564131868552</v>
      </c>
    </row>
    <row r="7" spans="1:22">
      <c r="A7" s="4">
        <f t="shared" si="0"/>
        <v>1899</v>
      </c>
      <c r="B7" s="5">
        <v>47.2</v>
      </c>
      <c r="C7" s="6">
        <v>46.524974200206429</v>
      </c>
      <c r="S7" s="4">
        <f t="shared" si="1"/>
        <v>1899</v>
      </c>
      <c r="T7" s="1">
        <f t="shared" ref="T7:T21" si="3">100 - 100 * B7/$B$4</f>
        <v>2.8806584362139915</v>
      </c>
      <c r="U7" s="6">
        <f t="shared" si="2"/>
        <v>3.1508461978027071</v>
      </c>
    </row>
    <row r="8" spans="1:22">
      <c r="A8" s="4">
        <f t="shared" si="0"/>
        <v>1900</v>
      </c>
      <c r="B8" s="5">
        <v>47.5</v>
      </c>
      <c r="C8" s="6">
        <v>46.020433436532585</v>
      </c>
      <c r="S8" s="4">
        <f t="shared" si="1"/>
        <v>1900</v>
      </c>
      <c r="T8" s="1">
        <f t="shared" si="3"/>
        <v>2.2633744855967137</v>
      </c>
      <c r="U8" s="6">
        <f t="shared" si="2"/>
        <v>4.2011282637368765</v>
      </c>
    </row>
    <row r="9" spans="1:22">
      <c r="A9" s="4">
        <f t="shared" si="0"/>
        <v>1901</v>
      </c>
      <c r="B9" s="5">
        <v>43.6</v>
      </c>
      <c r="C9" s="6">
        <v>45.515892672858627</v>
      </c>
      <c r="S9" s="4">
        <f t="shared" si="1"/>
        <v>1901</v>
      </c>
      <c r="T9" s="1">
        <f t="shared" si="3"/>
        <v>10.288065843621396</v>
      </c>
      <c r="U9" s="6">
        <f t="shared" si="2"/>
        <v>5.2514103296712733</v>
      </c>
    </row>
    <row r="10" spans="1:22">
      <c r="A10" s="4">
        <f t="shared" si="0"/>
        <v>1902</v>
      </c>
      <c r="B10" s="5">
        <v>45.5</v>
      </c>
      <c r="C10" s="6">
        <v>45.011351909184782</v>
      </c>
      <c r="S10" s="4">
        <f t="shared" si="1"/>
        <v>1902</v>
      </c>
      <c r="T10" s="1">
        <f t="shared" si="3"/>
        <v>6.3786008230452751</v>
      </c>
      <c r="U10" s="6">
        <f t="shared" si="2"/>
        <v>6.3016923956054427</v>
      </c>
    </row>
    <row r="11" spans="1:22">
      <c r="A11" s="4">
        <f t="shared" si="0"/>
        <v>1903</v>
      </c>
      <c r="B11" s="5">
        <v>44.5</v>
      </c>
      <c r="C11" s="6">
        <v>44.506811145510824</v>
      </c>
      <c r="S11" s="4">
        <f t="shared" si="1"/>
        <v>1903</v>
      </c>
      <c r="T11" s="1">
        <f t="shared" si="3"/>
        <v>8.4362139917695487</v>
      </c>
      <c r="U11" s="6">
        <f t="shared" si="2"/>
        <v>7.3519744615398253</v>
      </c>
    </row>
    <row r="12" spans="1:22">
      <c r="A12" s="4">
        <f t="shared" si="0"/>
        <v>1904</v>
      </c>
      <c r="B12" s="5">
        <v>43.8</v>
      </c>
      <c r="C12" s="6">
        <v>44.002270381836979</v>
      </c>
      <c r="S12" s="4">
        <f t="shared" si="1"/>
        <v>1904</v>
      </c>
      <c r="T12" s="1">
        <f t="shared" si="3"/>
        <v>9.8765432098765444</v>
      </c>
      <c r="U12" s="6">
        <f t="shared" si="2"/>
        <v>8.4022565274739804</v>
      </c>
    </row>
    <row r="13" spans="1:22">
      <c r="A13" s="4">
        <f t="shared" si="0"/>
        <v>1905</v>
      </c>
      <c r="B13" s="5">
        <v>41.2</v>
      </c>
      <c r="C13" s="6">
        <v>43.497729618163135</v>
      </c>
      <c r="S13" s="4">
        <f t="shared" si="1"/>
        <v>1905</v>
      </c>
      <c r="T13" s="1">
        <f t="shared" si="3"/>
        <v>15.226337448559676</v>
      </c>
      <c r="U13" s="6">
        <f t="shared" si="2"/>
        <v>9.4525385934081356</v>
      </c>
    </row>
    <row r="14" spans="1:22">
      <c r="A14" s="4">
        <f t="shared" si="0"/>
        <v>1906</v>
      </c>
      <c r="B14" s="5">
        <v>43</v>
      </c>
      <c r="C14" s="6">
        <v>42.993188854489176</v>
      </c>
      <c r="S14" s="7">
        <f t="shared" si="1"/>
        <v>1906</v>
      </c>
      <c r="T14" s="8">
        <f t="shared" si="3"/>
        <v>11.522633744855966</v>
      </c>
      <c r="U14" s="12">
        <f t="shared" si="2"/>
        <v>10.502820659342532</v>
      </c>
    </row>
    <row r="15" spans="1:22">
      <c r="A15" s="4">
        <f t="shared" si="0"/>
        <v>1907</v>
      </c>
      <c r="B15" s="5">
        <v>44.3</v>
      </c>
      <c r="C15" s="6">
        <v>42.488648090815332</v>
      </c>
      <c r="S15" s="4">
        <f t="shared" si="1"/>
        <v>1907</v>
      </c>
      <c r="T15" s="1">
        <f t="shared" si="3"/>
        <v>8.8477366255144005</v>
      </c>
      <c r="U15" s="6">
        <f t="shared" si="2"/>
        <v>11.553102725276688</v>
      </c>
    </row>
    <row r="16" spans="1:22">
      <c r="A16" s="4">
        <f t="shared" si="0"/>
        <v>1908</v>
      </c>
      <c r="B16" s="5">
        <v>42</v>
      </c>
      <c r="C16" s="6">
        <v>41.984107327141373</v>
      </c>
      <c r="S16" s="4">
        <f t="shared" si="1"/>
        <v>1908</v>
      </c>
      <c r="T16" s="1">
        <f t="shared" si="3"/>
        <v>13.580246913580254</v>
      </c>
      <c r="U16" s="6">
        <f t="shared" si="2"/>
        <v>12.603384791211084</v>
      </c>
    </row>
    <row r="17" spans="1:21">
      <c r="A17" s="4">
        <f t="shared" si="0"/>
        <v>1909</v>
      </c>
      <c r="B17" s="5">
        <v>41</v>
      </c>
      <c r="C17" s="6">
        <v>41.479566563467529</v>
      </c>
      <c r="S17" s="4">
        <f t="shared" si="1"/>
        <v>1909</v>
      </c>
      <c r="T17" s="1">
        <f t="shared" si="3"/>
        <v>15.637860082304528</v>
      </c>
      <c r="U17" s="6">
        <f t="shared" si="2"/>
        <v>13.653666857145254</v>
      </c>
    </row>
    <row r="18" spans="1:21">
      <c r="A18" s="4">
        <f t="shared" si="0"/>
        <v>1910</v>
      </c>
      <c r="B18" s="5">
        <v>40.700000000000003</v>
      </c>
      <c r="C18" s="6">
        <v>40.975025799793684</v>
      </c>
      <c r="S18" s="4">
        <f t="shared" si="1"/>
        <v>1910</v>
      </c>
      <c r="T18" s="1">
        <f t="shared" si="3"/>
        <v>16.255144032921805</v>
      </c>
      <c r="U18" s="6">
        <f t="shared" si="2"/>
        <v>14.703948923079409</v>
      </c>
    </row>
    <row r="19" spans="1:21">
      <c r="A19" s="4">
        <f t="shared" si="0"/>
        <v>1911</v>
      </c>
      <c r="B19" s="5">
        <v>41.1</v>
      </c>
      <c r="C19" s="6">
        <v>40.470485036119726</v>
      </c>
      <c r="S19" s="4">
        <f t="shared" si="1"/>
        <v>1911</v>
      </c>
      <c r="T19" s="1">
        <f t="shared" si="3"/>
        <v>15.432098765432102</v>
      </c>
      <c r="U19" s="6">
        <f t="shared" si="2"/>
        <v>15.754230989013806</v>
      </c>
    </row>
    <row r="20" spans="1:21">
      <c r="A20" s="4">
        <f t="shared" si="0"/>
        <v>1912</v>
      </c>
      <c r="B20" s="5">
        <v>41.1</v>
      </c>
      <c r="C20" s="6">
        <v>39.965944272445881</v>
      </c>
      <c r="S20" s="4">
        <f t="shared" si="1"/>
        <v>1912</v>
      </c>
      <c r="T20" s="1">
        <f t="shared" si="3"/>
        <v>15.432098765432102</v>
      </c>
      <c r="U20" s="6">
        <f t="shared" si="2"/>
        <v>16.804513054947961</v>
      </c>
    </row>
    <row r="21" spans="1:21">
      <c r="A21" s="4">
        <f t="shared" si="0"/>
        <v>1913</v>
      </c>
      <c r="B21" s="5">
        <v>38.6</v>
      </c>
      <c r="C21" s="6">
        <v>39.461403508771923</v>
      </c>
      <c r="S21" s="4">
        <f t="shared" si="1"/>
        <v>1913</v>
      </c>
      <c r="T21" s="1">
        <f t="shared" si="3"/>
        <v>20.576131687242807</v>
      </c>
      <c r="U21" s="6">
        <f t="shared" si="2"/>
        <v>17.854795120882358</v>
      </c>
    </row>
    <row r="22" spans="1:21">
      <c r="A22" s="4">
        <f>A21+1</f>
        <v>1914</v>
      </c>
      <c r="B22" s="1"/>
      <c r="C22" s="6">
        <f>C21-$D$4</f>
        <v>38.956862745098078</v>
      </c>
    </row>
    <row r="23" spans="1:21">
      <c r="A23" s="4">
        <f>A22+1</f>
        <v>1915</v>
      </c>
      <c r="C23" s="6">
        <f>C22-$D$4</f>
        <v>38.452321981424234</v>
      </c>
    </row>
    <row r="24" spans="1:21">
      <c r="A24" s="4">
        <f>A23+1</f>
        <v>1916</v>
      </c>
      <c r="C24" s="6">
        <f>C23-$D$4</f>
        <v>37.947781217750389</v>
      </c>
    </row>
    <row r="25" spans="1:21">
      <c r="A25" s="4">
        <f>A24+1</f>
        <v>1917</v>
      </c>
      <c r="C25" s="6">
        <f>C24-$D$4</f>
        <v>37.443240454076545</v>
      </c>
    </row>
    <row r="27" spans="1:21" ht="15">
      <c r="A27" s="2" t="s">
        <v>2</v>
      </c>
    </row>
    <row r="30" spans="1:21" ht="15">
      <c r="A30" s="3" t="s">
        <v>0</v>
      </c>
      <c r="B30" s="3" t="s">
        <v>1</v>
      </c>
    </row>
    <row r="31" spans="1:21">
      <c r="A31" s="4">
        <v>1896</v>
      </c>
      <c r="B31" s="5">
        <v>48.9</v>
      </c>
    </row>
    <row r="32" spans="1:21">
      <c r="A32" s="4">
        <f>A31+1</f>
        <v>1897</v>
      </c>
      <c r="B32" s="5">
        <v>48.4</v>
      </c>
    </row>
    <row r="33" spans="1:2">
      <c r="A33" s="4">
        <f t="shared" ref="A33:A48" si="4">A32+1</f>
        <v>1898</v>
      </c>
      <c r="B33" s="5"/>
    </row>
    <row r="34" spans="1:2">
      <c r="A34" s="4">
        <f t="shared" si="4"/>
        <v>1899</v>
      </c>
      <c r="B34" s="5">
        <v>47.6</v>
      </c>
    </row>
    <row r="35" spans="1:2">
      <c r="A35" s="4">
        <f t="shared" si="4"/>
        <v>1900</v>
      </c>
      <c r="B35" s="5">
        <v>47.9</v>
      </c>
    </row>
    <row r="36" spans="1:2">
      <c r="A36" s="4">
        <f t="shared" si="4"/>
        <v>1901</v>
      </c>
      <c r="B36" s="5">
        <v>44</v>
      </c>
    </row>
    <row r="37" spans="1:2">
      <c r="A37" s="4">
        <f t="shared" si="4"/>
        <v>1902</v>
      </c>
      <c r="B37" s="5">
        <v>46</v>
      </c>
    </row>
    <row r="38" spans="1:2">
      <c r="A38" s="4">
        <f t="shared" si="4"/>
        <v>1903</v>
      </c>
      <c r="B38" s="5">
        <v>44.9</v>
      </c>
    </row>
    <row r="39" spans="1:2">
      <c r="A39" s="4">
        <f t="shared" si="4"/>
        <v>1904</v>
      </c>
      <c r="B39" s="5">
        <v>44.2</v>
      </c>
    </row>
    <row r="40" spans="1:2">
      <c r="A40" s="4">
        <f t="shared" si="4"/>
        <v>1905</v>
      </c>
      <c r="B40" s="5"/>
    </row>
    <row r="41" spans="1:2">
      <c r="A41" s="4">
        <f t="shared" si="4"/>
        <v>1906</v>
      </c>
      <c r="B41" s="5">
        <v>43.3</v>
      </c>
    </row>
    <row r="42" spans="1:2">
      <c r="A42" s="4">
        <f t="shared" si="4"/>
        <v>1907</v>
      </c>
      <c r="B42" s="5">
        <v>44.6</v>
      </c>
    </row>
    <row r="43" spans="1:2">
      <c r="A43" s="4">
        <f t="shared" si="4"/>
        <v>1908</v>
      </c>
      <c r="B43" s="5"/>
    </row>
    <row r="44" spans="1:2">
      <c r="A44" s="4">
        <f t="shared" si="4"/>
        <v>1909</v>
      </c>
      <c r="B44" s="5"/>
    </row>
    <row r="45" spans="1:2">
      <c r="A45" s="4">
        <f t="shared" si="4"/>
        <v>1910</v>
      </c>
      <c r="B45" s="5"/>
    </row>
    <row r="46" spans="1:2">
      <c r="A46" s="4">
        <f t="shared" si="4"/>
        <v>1911</v>
      </c>
      <c r="B46" s="5">
        <v>41.4</v>
      </c>
    </row>
    <row r="47" spans="1:2">
      <c r="A47" s="4">
        <f t="shared" si="4"/>
        <v>1912</v>
      </c>
      <c r="B47" s="5">
        <v>41.5</v>
      </c>
    </row>
    <row r="48" spans="1:2">
      <c r="A48" s="4">
        <f t="shared" si="4"/>
        <v>1913</v>
      </c>
      <c r="B48" s="5">
        <v>38.9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742E-198F-46A1-9FD2-0E0F39E4257B}">
  <dimension ref="A1:V49"/>
  <sheetViews>
    <sheetView topLeftCell="E1" workbookViewId="0">
      <selection activeCell="T4" sqref="T4:U21"/>
    </sheetView>
  </sheetViews>
  <sheetFormatPr defaultRowHeight="14.25"/>
  <cols>
    <col min="2" max="2" width="14.5" customWidth="1"/>
    <col min="4" max="4" width="11.625" customWidth="1"/>
    <col min="20" max="20" width="22.625" customWidth="1"/>
    <col min="21" max="21" width="21.25" customWidth="1"/>
    <col min="22" max="22" width="24.75" customWidth="1"/>
  </cols>
  <sheetData>
    <row r="1" spans="1:22" ht="18">
      <c r="A1" s="10" t="s">
        <v>37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3" t="s">
        <v>5</v>
      </c>
      <c r="V3" s="3" t="s">
        <v>26</v>
      </c>
    </row>
    <row r="4" spans="1:22">
      <c r="A4" s="4">
        <v>1896</v>
      </c>
      <c r="B4" s="5">
        <v>46.2</v>
      </c>
      <c r="C4" s="6" cm="1">
        <f t="array" ref="C4:C21">TREND($B$4:$B$21,$A$4:$A$21,A4:A21)</f>
        <v>47.476608187134502</v>
      </c>
      <c r="D4" s="6">
        <f>C4-C5</f>
        <v>0.43384932920537267</v>
      </c>
      <c r="S4" s="4">
        <v>1896</v>
      </c>
    </row>
    <row r="5" spans="1:22">
      <c r="A5" s="4">
        <f>A4+1</f>
        <v>1897</v>
      </c>
      <c r="B5" s="5">
        <v>46.6</v>
      </c>
      <c r="C5" s="6">
        <v>47.04275885792913</v>
      </c>
      <c r="S5" s="4">
        <f>S4+1</f>
        <v>1897</v>
      </c>
      <c r="T5" s="1">
        <f>100 - 100 * B5/$B$4</f>
        <v>-0.86580086580086402</v>
      </c>
      <c r="U5" s="6">
        <f>100 - 100 * C5/$C$4</f>
        <v>0.91381702647187524</v>
      </c>
      <c r="V5" s="6">
        <f>U6-U5</f>
        <v>0.91381702647186103</v>
      </c>
    </row>
    <row r="6" spans="1:22">
      <c r="A6" s="4">
        <f t="shared" ref="A6:A21" si="0">A5+1</f>
        <v>1898</v>
      </c>
      <c r="B6" s="5">
        <v>45.5</v>
      </c>
      <c r="C6" s="6">
        <v>46.608909528723757</v>
      </c>
      <c r="S6" s="4">
        <f t="shared" ref="S6:S21" si="1">S5+1</f>
        <v>1898</v>
      </c>
      <c r="T6" s="1">
        <f>100 - 100 * B6/$B$4</f>
        <v>1.5151515151515156</v>
      </c>
      <c r="U6" s="6">
        <f t="shared" ref="U6:U21" si="2">100 - 100 * C6/$C$4</f>
        <v>1.8276340529437363</v>
      </c>
    </row>
    <row r="7" spans="1:22">
      <c r="A7" s="4">
        <f t="shared" si="0"/>
        <v>1899</v>
      </c>
      <c r="B7" s="5">
        <v>46.3</v>
      </c>
      <c r="C7" s="6">
        <v>46.175060199518384</v>
      </c>
      <c r="S7" s="4">
        <f t="shared" si="1"/>
        <v>1899</v>
      </c>
      <c r="T7" s="1">
        <f t="shared" ref="T7:T21" si="3">100 - 100 * B7/$B$4</f>
        <v>-0.21645021645021245</v>
      </c>
      <c r="U7" s="6">
        <f t="shared" si="2"/>
        <v>2.7414510794156115</v>
      </c>
    </row>
    <row r="8" spans="1:22">
      <c r="A8" s="4">
        <f t="shared" si="0"/>
        <v>1900</v>
      </c>
      <c r="B8" s="5">
        <v>47.3</v>
      </c>
      <c r="C8" s="6">
        <v>45.741210870313012</v>
      </c>
      <c r="S8" s="4">
        <f t="shared" si="1"/>
        <v>1900</v>
      </c>
      <c r="T8" s="1">
        <f t="shared" si="3"/>
        <v>-2.3809523809523796</v>
      </c>
      <c r="U8" s="6">
        <f t="shared" si="2"/>
        <v>3.6552681058874867</v>
      </c>
    </row>
    <row r="9" spans="1:22">
      <c r="A9" s="4">
        <f t="shared" si="0"/>
        <v>1901</v>
      </c>
      <c r="B9" s="5">
        <v>45.4</v>
      </c>
      <c r="C9" s="6">
        <v>45.307361541107639</v>
      </c>
      <c r="S9" s="4">
        <f t="shared" si="1"/>
        <v>1901</v>
      </c>
      <c r="T9" s="1">
        <f t="shared" si="3"/>
        <v>1.7316017316017422</v>
      </c>
      <c r="U9" s="6">
        <f t="shared" si="2"/>
        <v>4.5690851323593478</v>
      </c>
    </row>
    <row r="10" spans="1:22">
      <c r="A10" s="4">
        <f t="shared" si="0"/>
        <v>1902</v>
      </c>
      <c r="B10" s="5">
        <v>48.5</v>
      </c>
      <c r="C10" s="6">
        <v>44.873512211902266</v>
      </c>
      <c r="S10" s="4">
        <f t="shared" si="1"/>
        <v>1902</v>
      </c>
      <c r="T10" s="1">
        <f t="shared" si="3"/>
        <v>-4.9783549783549716</v>
      </c>
      <c r="U10" s="6">
        <f t="shared" si="2"/>
        <v>5.4829021588312088</v>
      </c>
    </row>
    <row r="11" spans="1:22">
      <c r="A11" s="4">
        <f t="shared" si="0"/>
        <v>1903</v>
      </c>
      <c r="B11" s="5">
        <v>43.2</v>
      </c>
      <c r="C11" s="6">
        <v>44.439662882696894</v>
      </c>
      <c r="S11" s="4">
        <f t="shared" si="1"/>
        <v>1903</v>
      </c>
      <c r="T11" s="1">
        <f t="shared" si="3"/>
        <v>6.4935064935065014</v>
      </c>
      <c r="U11" s="6">
        <f t="shared" si="2"/>
        <v>6.396719185303084</v>
      </c>
    </row>
    <row r="12" spans="1:22">
      <c r="A12" s="4">
        <f t="shared" si="0"/>
        <v>1904</v>
      </c>
      <c r="B12" s="5">
        <v>44.9</v>
      </c>
      <c r="C12" s="6">
        <v>44.005813553491521</v>
      </c>
      <c r="S12" s="4">
        <f t="shared" si="1"/>
        <v>1904</v>
      </c>
      <c r="T12" s="1">
        <f t="shared" si="3"/>
        <v>2.8138528138528187</v>
      </c>
      <c r="U12" s="6">
        <f t="shared" si="2"/>
        <v>7.3105362117749593</v>
      </c>
    </row>
    <row r="13" spans="1:22">
      <c r="A13" s="4">
        <f t="shared" si="0"/>
        <v>1905</v>
      </c>
      <c r="B13" s="5">
        <v>41.6</v>
      </c>
      <c r="C13" s="6">
        <v>43.571964224286148</v>
      </c>
      <c r="S13" s="4">
        <f t="shared" si="1"/>
        <v>1905</v>
      </c>
      <c r="T13" s="1">
        <f t="shared" si="3"/>
        <v>9.9567099567099575</v>
      </c>
      <c r="U13" s="6">
        <f t="shared" si="2"/>
        <v>8.2243532382468203</v>
      </c>
    </row>
    <row r="14" spans="1:22">
      <c r="A14" s="4">
        <f t="shared" si="0"/>
        <v>1906</v>
      </c>
      <c r="B14" s="5">
        <v>43.5</v>
      </c>
      <c r="C14" s="6">
        <v>43.138114895080776</v>
      </c>
      <c r="S14" s="4">
        <f t="shared" si="1"/>
        <v>1906</v>
      </c>
      <c r="T14" s="1">
        <f t="shared" si="3"/>
        <v>5.8441558441558499</v>
      </c>
      <c r="U14" s="6">
        <f t="shared" si="2"/>
        <v>9.1381702647186813</v>
      </c>
    </row>
    <row r="15" spans="1:22">
      <c r="A15" s="4">
        <f t="shared" si="0"/>
        <v>1907</v>
      </c>
      <c r="B15" s="5">
        <v>44.4</v>
      </c>
      <c r="C15" s="6">
        <v>42.704265565875403</v>
      </c>
      <c r="S15" s="7">
        <f t="shared" si="1"/>
        <v>1907</v>
      </c>
      <c r="T15" s="8">
        <f t="shared" si="3"/>
        <v>3.8961038961038952</v>
      </c>
      <c r="U15" s="12">
        <f t="shared" si="2"/>
        <v>10.051987291190571</v>
      </c>
    </row>
    <row r="16" spans="1:22">
      <c r="A16" s="4">
        <f t="shared" si="0"/>
        <v>1908</v>
      </c>
      <c r="B16" s="5">
        <v>41</v>
      </c>
      <c r="C16" s="6">
        <v>42.27041623667003</v>
      </c>
      <c r="S16" s="7">
        <f t="shared" si="1"/>
        <v>1908</v>
      </c>
      <c r="T16" s="8">
        <f t="shared" si="3"/>
        <v>11.255411255411261</v>
      </c>
      <c r="U16" s="12">
        <f t="shared" si="2"/>
        <v>10.965804317662446</v>
      </c>
    </row>
    <row r="17" spans="1:21">
      <c r="A17" s="4">
        <f t="shared" si="0"/>
        <v>1909</v>
      </c>
      <c r="B17" s="5">
        <v>41.3</v>
      </c>
      <c r="C17" s="6">
        <v>41.836566907464658</v>
      </c>
      <c r="S17" s="4">
        <f t="shared" si="1"/>
        <v>1909</v>
      </c>
      <c r="T17" s="1">
        <f t="shared" si="3"/>
        <v>10.606060606060609</v>
      </c>
      <c r="U17" s="6">
        <f t="shared" si="2"/>
        <v>11.879621344134307</v>
      </c>
    </row>
    <row r="18" spans="1:21">
      <c r="A18" s="4">
        <f t="shared" si="0"/>
        <v>1910</v>
      </c>
      <c r="B18" s="5">
        <v>40.9</v>
      </c>
      <c r="C18" s="6">
        <v>41.402717578259285</v>
      </c>
      <c r="S18" s="4">
        <f t="shared" si="1"/>
        <v>1910</v>
      </c>
      <c r="T18" s="1">
        <f t="shared" si="3"/>
        <v>11.471861471861473</v>
      </c>
      <c r="U18" s="6">
        <f t="shared" si="2"/>
        <v>12.793438370606168</v>
      </c>
    </row>
    <row r="19" spans="1:21">
      <c r="A19" s="4">
        <f t="shared" si="0"/>
        <v>1911</v>
      </c>
      <c r="B19" s="5">
        <v>40.9</v>
      </c>
      <c r="C19" s="6">
        <v>40.968868249053912</v>
      </c>
      <c r="S19" s="4">
        <f t="shared" si="1"/>
        <v>1911</v>
      </c>
      <c r="T19" s="1">
        <f t="shared" si="3"/>
        <v>11.471861471861473</v>
      </c>
      <c r="U19" s="6">
        <f t="shared" si="2"/>
        <v>13.707255397078043</v>
      </c>
    </row>
    <row r="20" spans="1:21">
      <c r="A20" s="4">
        <f t="shared" si="0"/>
        <v>1912</v>
      </c>
      <c r="B20" s="5">
        <v>40.5</v>
      </c>
      <c r="C20" s="6">
        <v>40.53501891984854</v>
      </c>
      <c r="S20" s="4">
        <f t="shared" si="1"/>
        <v>1912</v>
      </c>
      <c r="T20" s="1">
        <f t="shared" si="3"/>
        <v>12.337662337662337</v>
      </c>
      <c r="U20" s="6">
        <f t="shared" si="2"/>
        <v>14.621072423549919</v>
      </c>
    </row>
    <row r="21" spans="1:21">
      <c r="A21" s="4">
        <f t="shared" si="0"/>
        <v>1913</v>
      </c>
      <c r="B21" s="5">
        <v>40.200000000000003</v>
      </c>
      <c r="C21" s="6">
        <v>40.101169590643281</v>
      </c>
      <c r="S21" s="4">
        <f t="shared" si="1"/>
        <v>1913</v>
      </c>
      <c r="T21" s="1">
        <f t="shared" si="3"/>
        <v>12.987012987012989</v>
      </c>
      <c r="U21" s="6">
        <f t="shared" si="2"/>
        <v>15.534889450021538</v>
      </c>
    </row>
    <row r="22" spans="1:21">
      <c r="A22" s="4">
        <f>A21+1</f>
        <v>1914</v>
      </c>
      <c r="B22" s="1"/>
      <c r="C22" s="6">
        <f>C21-$D$4</f>
        <v>39.667320261437908</v>
      </c>
    </row>
    <row r="23" spans="1:21">
      <c r="A23" s="4">
        <f>A22+1</f>
        <v>1915</v>
      </c>
      <c r="C23" s="6">
        <f t="shared" ref="C23:C25" si="4">C22-$D$4</f>
        <v>39.233470932232535</v>
      </c>
    </row>
    <row r="24" spans="1:21">
      <c r="A24" s="4">
        <f>A23+1</f>
        <v>1916</v>
      </c>
      <c r="C24" s="6">
        <f t="shared" si="4"/>
        <v>38.799621603027163</v>
      </c>
    </row>
    <row r="25" spans="1:21">
      <c r="A25" s="4">
        <f>A24+1</f>
        <v>1917</v>
      </c>
      <c r="C25" s="6">
        <f t="shared" si="4"/>
        <v>38.36577227382179</v>
      </c>
    </row>
    <row r="29" spans="1:21" ht="15">
      <c r="A29" s="2" t="s">
        <v>2</v>
      </c>
    </row>
    <row r="31" spans="1:21" ht="15">
      <c r="A31" s="3" t="s">
        <v>0</v>
      </c>
      <c r="B31" s="3" t="s">
        <v>1</v>
      </c>
    </row>
    <row r="32" spans="1:21">
      <c r="A32" s="4">
        <v>1896</v>
      </c>
      <c r="B32" s="5">
        <v>46.5</v>
      </c>
    </row>
    <row r="33" spans="1:2">
      <c r="A33" s="4">
        <f>A32+1</f>
        <v>1897</v>
      </c>
      <c r="B33" s="5">
        <v>46.9</v>
      </c>
    </row>
    <row r="34" spans="1:2">
      <c r="A34" s="4">
        <f t="shared" ref="A34:A49" si="5">A33+1</f>
        <v>1898</v>
      </c>
      <c r="B34" s="5"/>
    </row>
    <row r="35" spans="1:2">
      <c r="A35" s="4">
        <f t="shared" si="5"/>
        <v>1899</v>
      </c>
      <c r="B35" s="5">
        <v>46.7</v>
      </c>
    </row>
    <row r="36" spans="1:2">
      <c r="A36" s="4">
        <f t="shared" si="5"/>
        <v>1900</v>
      </c>
      <c r="B36" s="5">
        <v>47.7</v>
      </c>
    </row>
    <row r="37" spans="1:2">
      <c r="A37" s="4">
        <f t="shared" si="5"/>
        <v>1901</v>
      </c>
      <c r="B37" s="5">
        <v>45.7</v>
      </c>
    </row>
    <row r="38" spans="1:2">
      <c r="A38" s="4">
        <f t="shared" si="5"/>
        <v>1902</v>
      </c>
      <c r="B38" s="5">
        <v>48.9</v>
      </c>
    </row>
    <row r="39" spans="1:2">
      <c r="A39" s="4">
        <f t="shared" si="5"/>
        <v>1903</v>
      </c>
      <c r="B39" s="5">
        <v>43.4</v>
      </c>
    </row>
    <row r="40" spans="1:2">
      <c r="A40" s="4">
        <f t="shared" si="5"/>
        <v>1904</v>
      </c>
      <c r="B40" s="5">
        <v>45.3</v>
      </c>
    </row>
    <row r="41" spans="1:2">
      <c r="A41" s="4">
        <f t="shared" si="5"/>
        <v>1905</v>
      </c>
      <c r="B41" s="5"/>
    </row>
    <row r="42" spans="1:2">
      <c r="A42" s="4">
        <f t="shared" si="5"/>
        <v>1906</v>
      </c>
      <c r="B42" s="5">
        <v>43.8</v>
      </c>
    </row>
    <row r="43" spans="1:2">
      <c r="A43" s="4">
        <f t="shared" si="5"/>
        <v>1907</v>
      </c>
      <c r="B43" s="5">
        <v>44.6</v>
      </c>
    </row>
    <row r="44" spans="1:2">
      <c r="A44" s="4">
        <f t="shared" si="5"/>
        <v>1908</v>
      </c>
      <c r="B44" s="5"/>
    </row>
    <row r="45" spans="1:2">
      <c r="A45" s="4">
        <f t="shared" si="5"/>
        <v>1909</v>
      </c>
      <c r="B45" s="5"/>
    </row>
    <row r="46" spans="1:2">
      <c r="A46" s="4">
        <f t="shared" si="5"/>
        <v>1910</v>
      </c>
      <c r="B46" s="5"/>
    </row>
    <row r="47" spans="1:2">
      <c r="A47" s="4">
        <f t="shared" si="5"/>
        <v>1911</v>
      </c>
      <c r="B47" s="5">
        <v>41.2</v>
      </c>
    </row>
    <row r="48" spans="1:2">
      <c r="A48" s="4">
        <f t="shared" si="5"/>
        <v>1912</v>
      </c>
      <c r="B48" s="5">
        <v>40.799999999999997</v>
      </c>
    </row>
    <row r="49" spans="1:2">
      <c r="A49" s="4">
        <f t="shared" si="5"/>
        <v>1913</v>
      </c>
      <c r="B49" s="5">
        <v>40.5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F504-F5DF-44D0-8AAF-FB92847F2F5A}">
  <dimension ref="A1:V49"/>
  <sheetViews>
    <sheetView topLeftCell="E1" workbookViewId="0">
      <selection activeCell="T4" sqref="T4:U21"/>
    </sheetView>
  </sheetViews>
  <sheetFormatPr defaultRowHeight="14.25"/>
  <cols>
    <col min="2" max="2" width="14.5" customWidth="1"/>
    <col min="4" max="4" width="11.625" customWidth="1"/>
    <col min="20" max="20" width="22.625" customWidth="1"/>
    <col min="21" max="21" width="21.25" customWidth="1"/>
    <col min="22" max="22" width="24.75" customWidth="1"/>
  </cols>
  <sheetData>
    <row r="1" spans="1:22" ht="18">
      <c r="A1" s="10" t="s">
        <v>36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3" t="s">
        <v>5</v>
      </c>
      <c r="V3" s="3" t="s">
        <v>26</v>
      </c>
    </row>
    <row r="4" spans="1:22">
      <c r="A4" s="4">
        <v>1896</v>
      </c>
      <c r="B4" s="5">
        <v>44.8</v>
      </c>
      <c r="C4" s="6" cm="1">
        <f t="array" ref="C4:C21">TREND($B$4:$B$21,$A$4:$A$21,A4:A21)</f>
        <v>45.785380116959004</v>
      </c>
      <c r="D4" s="6">
        <f>C4-C5</f>
        <v>0.44272445820433859</v>
      </c>
      <c r="S4" s="4">
        <v>1896</v>
      </c>
    </row>
    <row r="5" spans="1:22">
      <c r="A5" s="4">
        <f>A4+1</f>
        <v>1897</v>
      </c>
      <c r="B5" s="5">
        <v>44.8</v>
      </c>
      <c r="C5" s="6">
        <v>45.342655658754666</v>
      </c>
      <c r="S5" s="4">
        <f>S4+1</f>
        <v>1897</v>
      </c>
      <c r="T5" s="1">
        <f>100 - 100 * B5/$B$4</f>
        <v>0</v>
      </c>
      <c r="U5" s="6">
        <f>100 - 100 * C5/$C$4</f>
        <v>0.96695595203838991</v>
      </c>
      <c r="V5" s="6">
        <f>U6-U5</f>
        <v>0.96695595203840412</v>
      </c>
    </row>
    <row r="6" spans="1:22">
      <c r="A6" s="4">
        <f t="shared" ref="A6:A21" si="0">A5+1</f>
        <v>1898</v>
      </c>
      <c r="B6" s="5">
        <v>43.7</v>
      </c>
      <c r="C6" s="6">
        <v>44.899931200550327</v>
      </c>
      <c r="S6" s="4">
        <f t="shared" ref="S6:S21" si="1">S5+1</f>
        <v>1898</v>
      </c>
      <c r="T6" s="1">
        <f>100 - 100 * B6/$B$4</f>
        <v>2.4553571428571388</v>
      </c>
      <c r="U6" s="6">
        <f t="shared" ref="U6:U21" si="2">100 - 100 * C6/$C$4</f>
        <v>1.933911904076794</v>
      </c>
    </row>
    <row r="7" spans="1:22">
      <c r="A7" s="4">
        <f t="shared" si="0"/>
        <v>1899</v>
      </c>
      <c r="B7" s="5">
        <v>44.6</v>
      </c>
      <c r="C7" s="6">
        <v>44.457206742345988</v>
      </c>
      <c r="S7" s="4">
        <f t="shared" si="1"/>
        <v>1899</v>
      </c>
      <c r="T7" s="1">
        <f t="shared" ref="T7:T21" si="3">100 - 100 * B7/$B$4</f>
        <v>0.4464285714285694</v>
      </c>
      <c r="U7" s="6">
        <f t="shared" si="2"/>
        <v>2.9008678561151839</v>
      </c>
    </row>
    <row r="8" spans="1:22">
      <c r="A8" s="4">
        <f t="shared" si="0"/>
        <v>1900</v>
      </c>
      <c r="B8" s="5">
        <v>45.8</v>
      </c>
      <c r="C8" s="6">
        <v>44.01448228414165</v>
      </c>
      <c r="S8" s="4">
        <f t="shared" si="1"/>
        <v>1900</v>
      </c>
      <c r="T8" s="1">
        <f t="shared" si="3"/>
        <v>-2.2321428571428612</v>
      </c>
      <c r="U8" s="6">
        <f t="shared" si="2"/>
        <v>3.8678238081535739</v>
      </c>
    </row>
    <row r="9" spans="1:22">
      <c r="A9" s="4">
        <f t="shared" si="0"/>
        <v>1901</v>
      </c>
      <c r="B9" s="5">
        <v>43.7</v>
      </c>
      <c r="C9" s="6">
        <v>43.571757825937311</v>
      </c>
      <c r="S9" s="4">
        <f t="shared" si="1"/>
        <v>1901</v>
      </c>
      <c r="T9" s="1">
        <f t="shared" si="3"/>
        <v>2.4553571428571388</v>
      </c>
      <c r="U9" s="6">
        <f t="shared" si="2"/>
        <v>4.834779760191978</v>
      </c>
    </row>
    <row r="10" spans="1:22">
      <c r="A10" s="4">
        <f t="shared" si="0"/>
        <v>1902</v>
      </c>
      <c r="B10" s="5">
        <v>46.3</v>
      </c>
      <c r="C10" s="6">
        <v>43.129033367732973</v>
      </c>
      <c r="S10" s="4">
        <f t="shared" si="1"/>
        <v>1902</v>
      </c>
      <c r="T10" s="1">
        <f t="shared" si="3"/>
        <v>-3.3482142857142918</v>
      </c>
      <c r="U10" s="6">
        <f t="shared" si="2"/>
        <v>5.8017357122303679</v>
      </c>
    </row>
    <row r="11" spans="1:22">
      <c r="A11" s="4">
        <f t="shared" si="0"/>
        <v>1903</v>
      </c>
      <c r="B11" s="5">
        <v>41.6</v>
      </c>
      <c r="C11" s="6">
        <v>42.686308909528634</v>
      </c>
      <c r="S11" s="4">
        <f t="shared" si="1"/>
        <v>1903</v>
      </c>
      <c r="T11" s="1">
        <f t="shared" si="3"/>
        <v>7.1428571428571388</v>
      </c>
      <c r="U11" s="6">
        <f t="shared" si="2"/>
        <v>6.7686916642687578</v>
      </c>
    </row>
    <row r="12" spans="1:22">
      <c r="A12" s="4">
        <f t="shared" si="0"/>
        <v>1904</v>
      </c>
      <c r="B12" s="5">
        <v>42.6</v>
      </c>
      <c r="C12" s="6">
        <v>42.243584451324409</v>
      </c>
      <c r="S12" s="4">
        <f t="shared" si="1"/>
        <v>1904</v>
      </c>
      <c r="T12" s="1">
        <f t="shared" si="3"/>
        <v>4.9107142857142776</v>
      </c>
      <c r="U12" s="6">
        <f t="shared" si="2"/>
        <v>7.7356476163069203</v>
      </c>
    </row>
    <row r="13" spans="1:22">
      <c r="A13" s="4">
        <f t="shared" si="0"/>
        <v>1905</v>
      </c>
      <c r="B13" s="5">
        <v>40.200000000000003</v>
      </c>
      <c r="C13" s="6">
        <v>41.800859993120071</v>
      </c>
      <c r="S13" s="4">
        <f t="shared" si="1"/>
        <v>1905</v>
      </c>
      <c r="T13" s="1">
        <f t="shared" si="3"/>
        <v>10.267857142857125</v>
      </c>
      <c r="U13" s="6">
        <f t="shared" si="2"/>
        <v>8.7026035683453102</v>
      </c>
    </row>
    <row r="14" spans="1:22">
      <c r="A14" s="4">
        <f t="shared" si="0"/>
        <v>1906</v>
      </c>
      <c r="B14" s="5">
        <v>41.2</v>
      </c>
      <c r="C14" s="6">
        <v>41.358135534915732</v>
      </c>
      <c r="S14" s="4">
        <f t="shared" si="1"/>
        <v>1906</v>
      </c>
      <c r="T14" s="1">
        <f t="shared" si="3"/>
        <v>8.0357142857142776</v>
      </c>
      <c r="U14" s="6">
        <f t="shared" si="2"/>
        <v>9.6695595203837001</v>
      </c>
    </row>
    <row r="15" spans="1:22">
      <c r="A15" s="4">
        <f t="shared" si="0"/>
        <v>1907</v>
      </c>
      <c r="B15" s="5">
        <v>42.6</v>
      </c>
      <c r="C15" s="6">
        <v>40.915411076711393</v>
      </c>
      <c r="S15" s="7">
        <f t="shared" si="1"/>
        <v>1907</v>
      </c>
      <c r="T15" s="8">
        <f t="shared" si="3"/>
        <v>4.9107142857142776</v>
      </c>
      <c r="U15" s="12">
        <f t="shared" si="2"/>
        <v>10.63651547242209</v>
      </c>
    </row>
    <row r="16" spans="1:22">
      <c r="A16" s="4">
        <f t="shared" si="0"/>
        <v>1908</v>
      </c>
      <c r="B16" s="5">
        <v>39.6</v>
      </c>
      <c r="C16" s="6">
        <v>40.472686618507055</v>
      </c>
      <c r="S16" s="7">
        <f t="shared" si="1"/>
        <v>1908</v>
      </c>
      <c r="T16" s="8">
        <f t="shared" si="3"/>
        <v>11.607142857142847</v>
      </c>
      <c r="U16" s="12">
        <f t="shared" si="2"/>
        <v>11.60347142446048</v>
      </c>
    </row>
    <row r="17" spans="1:21">
      <c r="A17" s="4">
        <f t="shared" si="0"/>
        <v>1909</v>
      </c>
      <c r="B17" s="5">
        <v>39.700000000000003</v>
      </c>
      <c r="C17" s="6">
        <v>40.029962160302716</v>
      </c>
      <c r="S17" s="4">
        <f t="shared" si="1"/>
        <v>1909</v>
      </c>
      <c r="T17" s="1">
        <f t="shared" si="3"/>
        <v>11.383928571428555</v>
      </c>
      <c r="U17" s="6">
        <f t="shared" si="2"/>
        <v>12.57042737649887</v>
      </c>
    </row>
    <row r="18" spans="1:21">
      <c r="A18" s="4">
        <f t="shared" si="0"/>
        <v>1910</v>
      </c>
      <c r="B18" s="5">
        <v>39.299999999999997</v>
      </c>
      <c r="C18" s="6">
        <v>39.587237702098378</v>
      </c>
      <c r="S18" s="4">
        <f t="shared" si="1"/>
        <v>1910</v>
      </c>
      <c r="T18" s="1">
        <f t="shared" si="3"/>
        <v>12.276785714285722</v>
      </c>
      <c r="U18" s="6">
        <f t="shared" si="2"/>
        <v>13.537383328537274</v>
      </c>
    </row>
    <row r="19" spans="1:21">
      <c r="A19" s="4">
        <f t="shared" si="0"/>
        <v>1911</v>
      </c>
      <c r="B19" s="5">
        <v>39</v>
      </c>
      <c r="C19" s="6">
        <v>39.144513243894039</v>
      </c>
      <c r="S19" s="4">
        <f t="shared" si="1"/>
        <v>1911</v>
      </c>
      <c r="T19" s="1">
        <f t="shared" si="3"/>
        <v>12.946428571428569</v>
      </c>
      <c r="U19" s="6">
        <f t="shared" si="2"/>
        <v>14.504339280575664</v>
      </c>
    </row>
    <row r="20" spans="1:21">
      <c r="A20" s="4">
        <f t="shared" si="0"/>
        <v>1912</v>
      </c>
      <c r="B20" s="5">
        <v>38.799999999999997</v>
      </c>
      <c r="C20" s="6">
        <v>38.7017887856897</v>
      </c>
      <c r="S20" s="4">
        <f t="shared" si="1"/>
        <v>1912</v>
      </c>
      <c r="T20" s="1">
        <f t="shared" si="3"/>
        <v>13.392857142857153</v>
      </c>
      <c r="U20" s="6">
        <f t="shared" si="2"/>
        <v>15.471295232614054</v>
      </c>
    </row>
    <row r="21" spans="1:21">
      <c r="A21" s="4">
        <f t="shared" si="0"/>
        <v>1913</v>
      </c>
      <c r="B21" s="5">
        <v>38.1</v>
      </c>
      <c r="C21" s="6">
        <v>38.259064327485362</v>
      </c>
      <c r="S21" s="4">
        <f t="shared" si="1"/>
        <v>1913</v>
      </c>
      <c r="T21" s="1">
        <f t="shared" si="3"/>
        <v>14.955357142857139</v>
      </c>
      <c r="U21" s="6">
        <f t="shared" si="2"/>
        <v>16.438251184652458</v>
      </c>
    </row>
    <row r="22" spans="1:21">
      <c r="A22" s="4">
        <f>A21+1</f>
        <v>1914</v>
      </c>
      <c r="B22" s="1"/>
      <c r="C22" s="6">
        <f>C21-$D$4</f>
        <v>37.816339869281023</v>
      </c>
    </row>
    <row r="23" spans="1:21">
      <c r="A23" s="4">
        <f>A22+1</f>
        <v>1915</v>
      </c>
      <c r="C23" s="6">
        <f t="shared" ref="C23:C25" si="4">C22-$D$4</f>
        <v>37.373615411076685</v>
      </c>
    </row>
    <row r="24" spans="1:21">
      <c r="A24" s="4">
        <f>A23+1</f>
        <v>1916</v>
      </c>
      <c r="C24" s="6">
        <f t="shared" si="4"/>
        <v>36.930890952872346</v>
      </c>
    </row>
    <row r="25" spans="1:21">
      <c r="A25" s="4">
        <f>A24+1</f>
        <v>1917</v>
      </c>
      <c r="C25" s="6">
        <f t="shared" si="4"/>
        <v>36.488166494668008</v>
      </c>
    </row>
    <row r="29" spans="1:21" ht="15">
      <c r="A29" s="2" t="s">
        <v>2</v>
      </c>
    </row>
    <row r="31" spans="1:21" ht="15">
      <c r="A31" s="3" t="s">
        <v>0</v>
      </c>
      <c r="B31" s="3" t="s">
        <v>1</v>
      </c>
    </row>
    <row r="32" spans="1:21">
      <c r="A32" s="4">
        <v>1896</v>
      </c>
      <c r="B32" s="5">
        <v>45.1</v>
      </c>
    </row>
    <row r="33" spans="1:2">
      <c r="A33" s="4">
        <f>A32+1</f>
        <v>1897</v>
      </c>
      <c r="B33" s="5">
        <v>45.1</v>
      </c>
    </row>
    <row r="34" spans="1:2">
      <c r="A34" s="4">
        <f t="shared" ref="A34:A49" si="5">A33+1</f>
        <v>1898</v>
      </c>
      <c r="B34" s="5"/>
    </row>
    <row r="35" spans="1:2">
      <c r="A35" s="4">
        <f t="shared" si="5"/>
        <v>1899</v>
      </c>
      <c r="B35" s="5">
        <v>45</v>
      </c>
    </row>
    <row r="36" spans="1:2">
      <c r="A36" s="4">
        <f t="shared" si="5"/>
        <v>1900</v>
      </c>
      <c r="B36" s="5">
        <v>46.1</v>
      </c>
    </row>
    <row r="37" spans="1:2">
      <c r="A37" s="4">
        <f t="shared" si="5"/>
        <v>1901</v>
      </c>
      <c r="B37" s="5">
        <v>44</v>
      </c>
    </row>
    <row r="38" spans="1:2">
      <c r="A38" s="4">
        <f t="shared" si="5"/>
        <v>1902</v>
      </c>
      <c r="B38" s="5">
        <v>46.8</v>
      </c>
    </row>
    <row r="39" spans="1:2">
      <c r="A39" s="4">
        <f t="shared" si="5"/>
        <v>1903</v>
      </c>
      <c r="B39" s="5">
        <v>41.8</v>
      </c>
    </row>
    <row r="40" spans="1:2">
      <c r="A40" s="4">
        <f t="shared" si="5"/>
        <v>1904</v>
      </c>
      <c r="B40" s="5">
        <v>43</v>
      </c>
    </row>
    <row r="41" spans="1:2">
      <c r="A41" s="4">
        <f t="shared" si="5"/>
        <v>1905</v>
      </c>
      <c r="B41" s="5"/>
    </row>
    <row r="42" spans="1:2">
      <c r="A42" s="4">
        <f t="shared" si="5"/>
        <v>1906</v>
      </c>
      <c r="B42" s="5">
        <v>41.5</v>
      </c>
    </row>
    <row r="43" spans="1:2">
      <c r="A43" s="4">
        <f t="shared" si="5"/>
        <v>1907</v>
      </c>
      <c r="B43" s="5">
        <v>42.8</v>
      </c>
    </row>
    <row r="44" spans="1:2">
      <c r="A44" s="4">
        <f t="shared" si="5"/>
        <v>1908</v>
      </c>
      <c r="B44" s="5"/>
    </row>
    <row r="45" spans="1:2">
      <c r="A45" s="4">
        <f t="shared" si="5"/>
        <v>1909</v>
      </c>
      <c r="B45" s="5"/>
    </row>
    <row r="46" spans="1:2">
      <c r="A46" s="4">
        <f t="shared" si="5"/>
        <v>1910</v>
      </c>
      <c r="B46" s="5"/>
    </row>
    <row r="47" spans="1:2">
      <c r="A47" s="4">
        <f t="shared" si="5"/>
        <v>1911</v>
      </c>
      <c r="B47" s="5">
        <v>39.299999999999997</v>
      </c>
    </row>
    <row r="48" spans="1:2">
      <c r="A48" s="4">
        <f t="shared" si="5"/>
        <v>1912</v>
      </c>
      <c r="B48" s="5">
        <v>39.200000000000003</v>
      </c>
    </row>
    <row r="49" spans="1:2">
      <c r="A49" s="4">
        <f t="shared" si="5"/>
        <v>1913</v>
      </c>
      <c r="B49" s="5">
        <v>38.299999999999997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EFA1-9E72-4B80-AF4D-F111553A5002}">
  <dimension ref="A2:F22"/>
  <sheetViews>
    <sheetView workbookViewId="0">
      <selection activeCell="Y18" sqref="Y18"/>
    </sheetView>
  </sheetViews>
  <sheetFormatPr defaultRowHeight="14.25"/>
  <cols>
    <col min="1" max="1" width="4.875" bestFit="1" customWidth="1"/>
    <col min="2" max="2" width="12.5" bestFit="1" customWidth="1"/>
    <col min="3" max="3" width="12.125" bestFit="1" customWidth="1"/>
    <col min="4" max="4" width="12.375" bestFit="1" customWidth="1"/>
    <col min="5" max="5" width="12" bestFit="1" customWidth="1"/>
    <col min="6" max="6" width="12.875" customWidth="1"/>
  </cols>
  <sheetData>
    <row r="2" spans="1:6" ht="15" customHeight="1"/>
    <row r="3" spans="1:6" ht="47.25" customHeight="1">
      <c r="A3" s="14" t="s">
        <v>0</v>
      </c>
      <c r="B3" s="15" t="s">
        <v>34</v>
      </c>
      <c r="C3" s="15" t="s">
        <v>8</v>
      </c>
      <c r="D3" s="15" t="s">
        <v>7</v>
      </c>
      <c r="E3" s="15" t="s">
        <v>6</v>
      </c>
      <c r="F3" s="13" t="s">
        <v>35</v>
      </c>
    </row>
    <row r="4" spans="1:6">
      <c r="A4" s="4">
        <v>1896</v>
      </c>
      <c r="B4" s="5">
        <f>RSFSR!B4</f>
        <v>52.9</v>
      </c>
      <c r="C4" s="5">
        <f>NR!B4</f>
        <v>51.5</v>
      </c>
      <c r="D4" s="5">
        <f>MR!B4</f>
        <v>48.6</v>
      </c>
      <c r="E4" s="5">
        <f>F4</f>
        <v>44.8</v>
      </c>
      <c r="F4">
        <f>'BR без Смоленской'!B4</f>
        <v>44.8</v>
      </c>
    </row>
    <row r="5" spans="1:6">
      <c r="A5" s="4">
        <f>A4+1</f>
        <v>1897</v>
      </c>
      <c r="B5" s="5">
        <f>RSFSR!B5</f>
        <v>52.8</v>
      </c>
      <c r="C5" s="5">
        <f>NR!B5</f>
        <v>50.9</v>
      </c>
      <c r="D5" s="5">
        <f>MR!B5</f>
        <v>48</v>
      </c>
      <c r="E5" s="5">
        <f>BR!B5</f>
        <v>46.6</v>
      </c>
      <c r="F5" s="1">
        <f>'BR без Смоленской'!B5</f>
        <v>44.8</v>
      </c>
    </row>
    <row r="6" spans="1:6">
      <c r="A6" s="4">
        <f t="shared" ref="A6:A21" si="0">A5+1</f>
        <v>1898</v>
      </c>
      <c r="B6" s="5">
        <f>RSFSR!B6</f>
        <v>50.6</v>
      </c>
      <c r="C6" s="5">
        <f>NR!B6</f>
        <v>49.9</v>
      </c>
      <c r="D6" s="5">
        <f>MR!B6</f>
        <v>45.8</v>
      </c>
      <c r="E6" s="5">
        <f>BR!B6</f>
        <v>45.5</v>
      </c>
      <c r="F6" s="1">
        <f>'BR без Смоленской'!B6</f>
        <v>43.7</v>
      </c>
    </row>
    <row r="7" spans="1:6">
      <c r="A7" s="4">
        <f t="shared" si="0"/>
        <v>1899</v>
      </c>
      <c r="B7" s="5">
        <f>RSFSR!B7</f>
        <v>51.2</v>
      </c>
      <c r="C7" s="5">
        <f>NR!B7</f>
        <v>50.6</v>
      </c>
      <c r="D7" s="5">
        <f>MR!B7</f>
        <v>47.2</v>
      </c>
      <c r="E7" s="5">
        <f>BR!B7</f>
        <v>46.3</v>
      </c>
      <c r="F7" s="1">
        <f>'BR без Смоленской'!B7</f>
        <v>44.6</v>
      </c>
    </row>
    <row r="8" spans="1:6">
      <c r="A8" s="4">
        <f t="shared" si="0"/>
        <v>1900</v>
      </c>
      <c r="B8" s="5">
        <f>RSFSR!B8</f>
        <v>51.9</v>
      </c>
      <c r="C8" s="5">
        <f>NR!B8</f>
        <v>49.8</v>
      </c>
      <c r="D8" s="5">
        <f>MR!B8</f>
        <v>47.5</v>
      </c>
      <c r="E8" s="5">
        <f>BR!B8</f>
        <v>47.3</v>
      </c>
      <c r="F8" s="1">
        <f>'BR без Смоленской'!B8</f>
        <v>45.8</v>
      </c>
    </row>
    <row r="9" spans="1:6">
      <c r="A9" s="4">
        <f t="shared" si="0"/>
        <v>1901</v>
      </c>
      <c r="B9" s="5">
        <f>RSFSR!B9</f>
        <v>51.5</v>
      </c>
      <c r="C9" s="5">
        <f>NR!B9</f>
        <v>46.3</v>
      </c>
      <c r="D9" s="5">
        <f>MR!B9</f>
        <v>43.6</v>
      </c>
      <c r="E9" s="5">
        <f>BR!B9</f>
        <v>45.4</v>
      </c>
      <c r="F9" s="1">
        <f>'BR без Смоленской'!B9</f>
        <v>43.7</v>
      </c>
    </row>
    <row r="10" spans="1:6">
      <c r="A10" s="4">
        <f t="shared" si="0"/>
        <v>1902</v>
      </c>
      <c r="B10" s="5">
        <f>RSFSR!B10</f>
        <v>52.4</v>
      </c>
      <c r="C10" s="5">
        <f>NR!B10</f>
        <v>49.9</v>
      </c>
      <c r="D10" s="5">
        <f>MR!B10</f>
        <v>45.5</v>
      </c>
      <c r="E10" s="5">
        <f>BR!B10</f>
        <v>48.5</v>
      </c>
      <c r="F10" s="1">
        <f>'BR без Смоленской'!B10</f>
        <v>46.3</v>
      </c>
    </row>
    <row r="11" spans="1:6">
      <c r="A11" s="4">
        <f t="shared" si="0"/>
        <v>1903</v>
      </c>
      <c r="B11" s="5">
        <f>RSFSR!B11</f>
        <v>52</v>
      </c>
      <c r="C11" s="5">
        <f>NR!B11</f>
        <v>49.5</v>
      </c>
      <c r="D11" s="5">
        <f>MR!B11</f>
        <v>44.5</v>
      </c>
      <c r="E11" s="5">
        <f>BR!B11</f>
        <v>43.2</v>
      </c>
      <c r="F11" s="1">
        <f>'BR без Смоленской'!B11</f>
        <v>41.6</v>
      </c>
    </row>
    <row r="12" spans="1:6">
      <c r="A12" s="4">
        <f t="shared" si="0"/>
        <v>1904</v>
      </c>
      <c r="B12" s="5">
        <f>RSFSR!B12</f>
        <v>52.2</v>
      </c>
      <c r="C12" s="5">
        <f>NR!B12</f>
        <v>49.6</v>
      </c>
      <c r="D12" s="5">
        <f>MR!B12</f>
        <v>43.8</v>
      </c>
      <c r="E12" s="5">
        <f>BR!B12</f>
        <v>44.9</v>
      </c>
      <c r="F12" s="1">
        <f>'BR без Смоленской'!B12</f>
        <v>42.6</v>
      </c>
    </row>
    <row r="13" spans="1:6">
      <c r="A13" s="4">
        <f t="shared" si="0"/>
        <v>1905</v>
      </c>
      <c r="B13" s="5">
        <f>RSFSR!B13</f>
        <v>48.6</v>
      </c>
      <c r="C13" s="5">
        <f>NR!B13</f>
        <v>45.6</v>
      </c>
      <c r="D13" s="5">
        <f>MR!B13</f>
        <v>41.2</v>
      </c>
      <c r="E13" s="5">
        <f>BR!B13</f>
        <v>41.6</v>
      </c>
      <c r="F13" s="1">
        <f>'BR без Смоленской'!B13</f>
        <v>40.200000000000003</v>
      </c>
    </row>
    <row r="14" spans="1:6">
      <c r="A14" s="4">
        <f t="shared" si="0"/>
        <v>1906</v>
      </c>
      <c r="B14" s="5">
        <f>RSFSR!B14</f>
        <v>51.1</v>
      </c>
      <c r="C14" s="5">
        <f>NR!B14</f>
        <v>46.6</v>
      </c>
      <c r="D14" s="5">
        <f>MR!B14</f>
        <v>43</v>
      </c>
      <c r="E14" s="5">
        <f>BR!B14</f>
        <v>43.5</v>
      </c>
      <c r="F14" s="1">
        <f>'BR без Смоленской'!B14</f>
        <v>41.2</v>
      </c>
    </row>
    <row r="15" spans="1:6">
      <c r="A15" s="4">
        <f t="shared" si="0"/>
        <v>1907</v>
      </c>
      <c r="B15" s="5">
        <f>RSFSR!B15</f>
        <v>51.1</v>
      </c>
      <c r="C15" s="5">
        <f>NR!B15</f>
        <v>49.8</v>
      </c>
      <c r="D15" s="5">
        <f>MR!B15</f>
        <v>44.3</v>
      </c>
      <c r="E15" s="5">
        <f>BR!B15</f>
        <v>44.4</v>
      </c>
      <c r="F15" s="1">
        <f>'BR без Смоленской'!B15</f>
        <v>42.6</v>
      </c>
    </row>
    <row r="16" spans="1:6">
      <c r="A16" s="4">
        <f t="shared" si="0"/>
        <v>1908</v>
      </c>
      <c r="B16" s="5">
        <f>RSFSR!B16</f>
        <v>49.5</v>
      </c>
      <c r="C16" s="5">
        <f>NR!B16</f>
        <v>47.2</v>
      </c>
      <c r="D16" s="5">
        <f>MR!B16</f>
        <v>42</v>
      </c>
      <c r="E16" s="5">
        <f>BR!B16</f>
        <v>41</v>
      </c>
      <c r="F16" s="1">
        <f>'BR без Смоленской'!B16</f>
        <v>39.6</v>
      </c>
    </row>
    <row r="17" spans="1:6">
      <c r="A17" s="4">
        <f t="shared" si="0"/>
        <v>1909</v>
      </c>
      <c r="B17" s="5">
        <f>RSFSR!B17</f>
        <v>49.9</v>
      </c>
      <c r="C17" s="5">
        <f>NR!B17</f>
        <v>48.5</v>
      </c>
      <c r="D17" s="5">
        <f>MR!B17</f>
        <v>41</v>
      </c>
      <c r="E17" s="5">
        <f>BR!B17</f>
        <v>41.3</v>
      </c>
      <c r="F17" s="1">
        <f>'BR без Смоленской'!B17</f>
        <v>39.700000000000003</v>
      </c>
    </row>
    <row r="18" spans="1:6">
      <c r="A18" s="4">
        <f t="shared" si="0"/>
        <v>1910</v>
      </c>
      <c r="B18" s="5">
        <f>RSFSR!B18</f>
        <v>50.8</v>
      </c>
      <c r="C18" s="5">
        <f>NR!B18</f>
        <v>47.8</v>
      </c>
      <c r="D18" s="5">
        <f>MR!B18</f>
        <v>40.700000000000003</v>
      </c>
      <c r="E18" s="5">
        <f>BR!B18</f>
        <v>40.9</v>
      </c>
      <c r="F18" s="1">
        <f>'BR без Смоленской'!B18</f>
        <v>39.299999999999997</v>
      </c>
    </row>
    <row r="19" spans="1:6">
      <c r="A19" s="4">
        <f t="shared" si="0"/>
        <v>1911</v>
      </c>
      <c r="B19" s="5">
        <f>RSFSR!B19</f>
        <v>50.4</v>
      </c>
      <c r="C19" s="5">
        <f>NR!B19</f>
        <v>47.8</v>
      </c>
      <c r="D19" s="5">
        <f>MR!B19</f>
        <v>41.1</v>
      </c>
      <c r="E19" s="5">
        <f>BR!B19</f>
        <v>40.9</v>
      </c>
      <c r="F19" s="1">
        <f>'BR без Смоленской'!B19</f>
        <v>39</v>
      </c>
    </row>
    <row r="20" spans="1:6">
      <c r="A20" s="4">
        <f t="shared" si="0"/>
        <v>1912</v>
      </c>
      <c r="B20" s="5">
        <f>RSFSR!B20</f>
        <v>48.5</v>
      </c>
      <c r="C20" s="5">
        <f>NR!B20</f>
        <v>47.4</v>
      </c>
      <c r="D20" s="5">
        <f>MR!B20</f>
        <v>41.1</v>
      </c>
      <c r="E20" s="5">
        <f>BR!B20</f>
        <v>40.5</v>
      </c>
      <c r="F20" s="1">
        <f>'BR без Смоленской'!B20</f>
        <v>38.799999999999997</v>
      </c>
    </row>
    <row r="21" spans="1:6">
      <c r="A21" s="4">
        <f t="shared" si="0"/>
        <v>1913</v>
      </c>
      <c r="B21" s="5">
        <f>RSFSR!B21</f>
        <v>48.4</v>
      </c>
      <c r="C21" s="5">
        <f>NR!B21</f>
        <v>46.1</v>
      </c>
      <c r="D21" s="5">
        <f>MR!B21</f>
        <v>38.6</v>
      </c>
      <c r="E21" s="5">
        <f>BR!B21</f>
        <v>40.200000000000003</v>
      </c>
      <c r="F21" s="1">
        <f>'BR без Смоленской'!B21</f>
        <v>38.1</v>
      </c>
    </row>
    <row r="22" spans="1:6">
      <c r="A22" s="4">
        <v>1914</v>
      </c>
      <c r="B22" s="5">
        <f>RSFSR!B22</f>
        <v>48</v>
      </c>
      <c r="C22" s="5">
        <f>NR!B22</f>
        <v>44.2</v>
      </c>
    </row>
  </sheetData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Notes</vt:lpstr>
      <vt:lpstr>RSFSR</vt:lpstr>
      <vt:lpstr>NR</vt:lpstr>
      <vt:lpstr>MR</vt:lpstr>
      <vt:lpstr>BR</vt:lpstr>
      <vt:lpstr>BR без Смоленской</vt:lpstr>
      <vt:lpstr>все вместе</vt:lpstr>
      <vt:lpstr>STEP</vt:lpstr>
      <vt:lpstr>STEP_BR</vt:lpstr>
      <vt:lpstr>STEP_NR</vt:lpstr>
      <vt:lpstr>STEP_RSFSR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sergey</cp:lastModifiedBy>
  <dcterms:created xsi:type="dcterms:W3CDTF">2026-04-19T04:05:56Z</dcterms:created>
  <dcterms:modified xsi:type="dcterms:W3CDTF">2026-05-11T02:45:24Z</dcterms:modified>
</cp:coreProperties>
</file>